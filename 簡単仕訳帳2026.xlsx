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945" yWindow="1095" windowWidth="19110" windowHeight="14025" tabRatio="705" firstSheet="0" activeTab="6" autoFilterDateGrouping="1"/>
  </bookViews>
  <sheets>
    <sheet name="仕訳帳 " sheetId="1" state="visible" r:id="rId1"/>
    <sheet name="決算書" sheetId="2" state="visible" r:id="rId2"/>
    <sheet name="科目コード表" sheetId="3" state="visible" r:id="rId3"/>
    <sheet name="減価償却費" sheetId="4" state="visible" r:id="rId4"/>
    <sheet name="交通費精算書" sheetId="5" state="visible" r:id="rId5"/>
    <sheet name="メモ" sheetId="6" state="visible" r:id="rId6"/>
    <sheet name="Sheet1" sheetId="7" state="visible" r:id="rId7"/>
    <sheet name="月別残高試算表" sheetId="8" state="visible" r:id="rId8"/>
    <sheet name="総勘定元帳" sheetId="9" state="visible" r:id="rId9"/>
  </sheets>
  <definedNames>
    <definedName name="_xlnm.Print_Titles" localSheetId="0">'仕訳帳 '!$1:$4,'仕訳帳 '!$A:$C</definedName>
  </definedNames>
  <calcPr calcId="191029" fullCalcOnLoad="1"/>
  <pivotCaches>
    <pivotCache cacheId="4" r:id="rId10"/>
  </pivotCaches>
</workbook>
</file>

<file path=xl/styles.xml><?xml version="1.0" encoding="utf-8"?>
<styleSheet xmlns="http://schemas.openxmlformats.org/spreadsheetml/2006/main">
  <numFmts count="4">
    <numFmt numFmtId="164" formatCode="0_ ;[Red]\-0\ "/>
    <numFmt numFmtId="165" formatCode="0_ "/>
    <numFmt numFmtId="166" formatCode="#,###;\△#,###"/>
    <numFmt numFmtId="167" formatCode="0.0%"/>
  </numFmts>
  <fonts count="26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明朝"/>
      <charset val="128"/>
      <family val="1"/>
      <sz val="11"/>
    </font>
    <font>
      <name val="ＭＳ Ｐ明朝"/>
      <charset val="128"/>
      <family val="1"/>
      <sz val="18"/>
    </font>
    <font>
      <name val="ＭＳ Ｐ明朝"/>
      <charset val="128"/>
      <family val="1"/>
      <sz val="10"/>
    </font>
    <font>
      <name val="ＭＳ Ｐゴシック"/>
      <charset val="128"/>
      <family val="3"/>
      <b val="1"/>
      <color indexed="9"/>
      <sz val="11"/>
    </font>
    <font>
      <name val="ＭＳ Ｐ明朝"/>
      <charset val="128"/>
      <family val="1"/>
      <sz val="16"/>
    </font>
    <font>
      <name val="ＭＳ Ｐ明朝"/>
      <charset val="128"/>
      <family val="1"/>
      <sz val="9"/>
    </font>
    <font>
      <name val="ＭＳ Ｐゴシック"/>
      <charset val="128"/>
      <family val="3"/>
      <sz val="9"/>
    </font>
    <font>
      <name val="HG正楷書体-PRO"/>
      <charset val="128"/>
      <family val="4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color theme="1"/>
      <sz val="11"/>
      <scheme val="minor"/>
    </font>
    <font>
      <name val="ＭＳ Ｐ明朝"/>
      <charset val="128"/>
      <family val="1"/>
      <b val="1"/>
      <color rgb="FF0000CC"/>
      <sz val="12"/>
    </font>
    <font>
      <name val="ＭＳ Ｐ明朝"/>
      <charset val="128"/>
      <family val="1"/>
      <color rgb="FF00CC00"/>
      <sz val="10"/>
    </font>
    <font>
      <name val="ＭＳ Ｐ明朝"/>
      <charset val="128"/>
      <family val="1"/>
      <color rgb="FF00CC00"/>
      <sz val="11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10"/>
    </font>
    <font>
      <name val="ＭＳ Ｐゴシック"/>
      <charset val="128"/>
      <family val="3"/>
      <color theme="1"/>
      <sz val="12"/>
      <u val="double"/>
      <scheme val="minor"/>
    </font>
    <font>
      <name val="ＭＳ Ｐゴシック"/>
      <charset val="128"/>
      <family val="3"/>
      <color theme="1"/>
      <sz val="11"/>
      <u val="double"/>
      <scheme val="minor"/>
    </font>
    <font>
      <name val="HGP教科書体"/>
      <charset val="128"/>
      <family val="1"/>
      <color theme="1"/>
      <sz val="11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b val="1"/>
      <color rgb="FF33CC33"/>
      <sz val="11"/>
    </font>
    <font>
      <name val="ＭＳ Ｐゴシック"/>
      <charset val="128"/>
      <family val="3"/>
      <b val="1"/>
      <sz val="11"/>
    </font>
    <font>
      <b val="1"/>
    </font>
  </fonts>
  <fills count="12">
    <fill>
      <patternFill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10"/>
      </top>
      <bottom style="thin">
        <color indexed="48"/>
      </bottom>
      <diagonal/>
    </border>
    <border>
      <left style="double">
        <color indexed="10"/>
      </left>
      <right style="dotted">
        <color indexed="10"/>
      </right>
      <top style="double">
        <color indexed="10"/>
      </top>
      <bottom style="thin">
        <color indexed="48"/>
      </bottom>
      <diagonal/>
    </border>
    <border>
      <left style="dotted">
        <color indexed="10"/>
      </left>
      <right/>
      <top style="double">
        <color indexed="10"/>
      </top>
      <bottom style="thin">
        <color indexed="48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double">
        <color indexed="10"/>
      </left>
      <right style="dotted">
        <color indexed="10"/>
      </right>
      <top style="thin">
        <color indexed="48"/>
      </top>
      <bottom style="thin">
        <color indexed="48"/>
      </bottom>
      <diagonal/>
    </border>
    <border>
      <left style="dotted">
        <color indexed="10"/>
      </left>
      <right/>
      <top style="thin">
        <color indexed="48"/>
      </top>
      <bottom style="thin">
        <color indexed="48"/>
      </bottom>
      <diagonal/>
    </border>
    <border>
      <left style="double">
        <color indexed="10"/>
      </left>
      <right style="double">
        <color indexed="10"/>
      </right>
      <top style="thin">
        <color indexed="48"/>
      </top>
      <bottom style="thin">
        <color indexed="48"/>
      </bottom>
      <diagonal/>
    </border>
    <border>
      <left style="dotted">
        <color indexed="10"/>
      </left>
      <right style="thin">
        <color indexed="10"/>
      </right>
      <top style="thin">
        <color indexed="48"/>
      </top>
      <bottom style="thin">
        <color indexed="48"/>
      </bottom>
      <diagonal/>
    </border>
    <border>
      <left style="thin">
        <color indexed="10"/>
      </left>
      <right style="double">
        <color indexed="10"/>
      </right>
      <top style="thin">
        <color indexed="48"/>
      </top>
      <bottom style="thin">
        <color indexed="48"/>
      </bottom>
      <diagonal/>
    </border>
    <border>
      <left style="thin">
        <color indexed="10"/>
      </left>
      <right/>
      <top style="thin">
        <color indexed="48"/>
      </top>
      <bottom style="thin">
        <color indexed="48"/>
      </bottom>
      <diagonal/>
    </border>
    <border>
      <left style="dotted">
        <color indexed="10"/>
      </left>
      <right style="thin">
        <color indexed="10"/>
      </right>
      <top style="double">
        <color indexed="10"/>
      </top>
      <bottom style="thin">
        <color indexed="4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double">
        <color indexed="10"/>
      </right>
      <top style="double">
        <color indexed="10"/>
      </top>
      <bottom style="thin">
        <color indexed="48"/>
      </bottom>
      <diagonal/>
    </border>
    <border>
      <left style="thin">
        <color indexed="10"/>
      </left>
      <right/>
      <top style="double">
        <color indexed="10"/>
      </top>
      <bottom style="thin">
        <color indexed="48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48"/>
      </top>
      <bottom/>
      <diagonal/>
    </border>
    <border>
      <left style="double">
        <color indexed="10"/>
      </left>
      <right style="dotted">
        <color indexed="10"/>
      </right>
      <top style="thin">
        <color indexed="48"/>
      </top>
      <bottom/>
      <diagonal/>
    </border>
    <border>
      <left style="dotted">
        <color indexed="10"/>
      </left>
      <right/>
      <top style="thin">
        <color indexed="48"/>
      </top>
      <bottom/>
      <diagonal/>
    </border>
    <border>
      <left style="double">
        <color indexed="10"/>
      </left>
      <right style="double">
        <color indexed="10"/>
      </right>
      <top style="thin">
        <color indexed="48"/>
      </top>
      <bottom/>
      <diagonal/>
    </border>
    <border>
      <left style="dotted">
        <color indexed="10"/>
      </left>
      <right style="thin">
        <color indexed="10"/>
      </right>
      <top style="thin">
        <color indexed="48"/>
      </top>
      <bottom/>
      <diagonal/>
    </border>
    <border>
      <left style="thin">
        <color indexed="10"/>
      </left>
      <right style="double">
        <color indexed="10"/>
      </right>
      <top style="thin">
        <color indexed="48"/>
      </top>
      <bottom/>
      <diagonal/>
    </border>
    <border>
      <left style="thin">
        <color indexed="10"/>
      </left>
      <right/>
      <top style="thin">
        <color indexed="4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double">
        <color indexed="10"/>
      </bottom>
      <diagonal/>
    </border>
    <border>
      <left style="double">
        <color indexed="10"/>
      </left>
      <right style="dotted">
        <color indexed="10"/>
      </right>
      <top/>
      <bottom style="double">
        <color indexed="10"/>
      </bottom>
      <diagonal/>
    </border>
    <border>
      <left style="dotted">
        <color indexed="10"/>
      </left>
      <right/>
      <top/>
      <bottom style="double">
        <color indexed="10"/>
      </bottom>
      <diagonal/>
    </border>
    <border>
      <left style="double">
        <color indexed="10"/>
      </left>
      <right style="double">
        <color indexed="10"/>
      </right>
      <top/>
      <bottom style="double">
        <color indexed="10"/>
      </bottom>
      <diagonal/>
    </border>
    <border>
      <left style="dotted">
        <color indexed="10"/>
      </left>
      <right style="thin">
        <color indexed="10"/>
      </right>
      <top/>
      <bottom style="double">
        <color indexed="10"/>
      </bottom>
      <diagonal/>
    </border>
    <border>
      <left style="thin">
        <color indexed="10"/>
      </left>
      <right style="double">
        <color indexed="10"/>
      </right>
      <top/>
      <bottom style="double">
        <color indexed="10"/>
      </bottom>
      <diagonal/>
    </border>
    <border>
      <left style="thin">
        <color indexed="10"/>
      </left>
      <right/>
      <top/>
      <bottom style="double">
        <color indexed="10"/>
      </bottom>
      <diagonal/>
    </border>
    <border>
      <left/>
      <right/>
      <top/>
      <bottom style="thin">
        <color indexed="10"/>
      </bottom>
      <diagonal/>
    </border>
    <border>
      <left style="double">
        <color indexed="10"/>
      </left>
      <right style="dotted">
        <color indexed="10"/>
      </right>
      <top/>
      <bottom style="thin">
        <color indexed="10"/>
      </bottom>
      <diagonal/>
    </border>
    <border>
      <left style="dotted">
        <color indexed="10"/>
      </left>
      <right/>
      <top/>
      <bottom style="thin">
        <color indexed="10"/>
      </bottom>
      <diagonal/>
    </border>
    <border>
      <left style="double">
        <color indexed="10"/>
      </left>
      <right style="double">
        <color indexed="10"/>
      </right>
      <top/>
      <bottom style="thin">
        <color indexed="10"/>
      </bottom>
      <diagonal/>
    </border>
    <border diagonalUp="1">
      <left style="double">
        <color indexed="10"/>
      </left>
      <right style="dotted">
        <color indexed="10"/>
      </right>
      <top/>
      <bottom style="thin">
        <color indexed="10"/>
      </bottom>
      <diagonal style="thin">
        <color indexed="10"/>
      </diagonal>
    </border>
    <border>
      <left style="dotted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double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9" fontId="1" fillId="0" borderId="0" applyAlignment="1">
      <alignment vertical="center"/>
    </xf>
    <xf numFmtId="38" fontId="1" fillId="0" borderId="0" applyAlignment="1">
      <alignment vertical="center"/>
    </xf>
  </cellStyleXfs>
  <cellXfs count="270">
    <xf numFmtId="0" fontId="0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3" fillId="0" borderId="2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5" fillId="0" borderId="7" applyAlignment="1" applyProtection="1" pivotButton="0" quotePrefix="0" xfId="0">
      <alignment vertical="center"/>
      <protection locked="0" hidden="0"/>
    </xf>
    <xf numFmtId="0" fontId="5" fillId="0" borderId="8" applyAlignment="1" applyProtection="1" pivotButton="0" quotePrefix="0" xfId="0">
      <alignment vertical="center"/>
      <protection locked="0" hidden="0"/>
    </xf>
    <xf numFmtId="0" fontId="5" fillId="0" borderId="9" applyAlignment="1" applyProtection="1" pivotButton="0" quotePrefix="0" xfId="0">
      <alignment vertical="center"/>
      <protection locked="0" hidden="0"/>
    </xf>
    <xf numFmtId="0" fontId="5" fillId="0" borderId="10" applyAlignment="1" applyProtection="1" pivotButton="0" quotePrefix="0" xfId="0">
      <alignment vertical="center"/>
      <protection locked="0" hidden="0"/>
    </xf>
    <xf numFmtId="0" fontId="5" fillId="0" borderId="11" applyAlignment="1" pivotButton="0" quotePrefix="0" xfId="0">
      <alignment vertical="center"/>
    </xf>
    <xf numFmtId="0" fontId="5" fillId="3" borderId="3" applyAlignment="1" applyProtection="1" pivotButton="0" quotePrefix="0" xfId="0">
      <alignment vertical="center"/>
      <protection locked="0" hidden="0"/>
    </xf>
    <xf numFmtId="0" fontId="5" fillId="3" borderId="4" applyAlignment="1" applyProtection="1" pivotButton="0" quotePrefix="0" xfId="0">
      <alignment vertical="center"/>
      <protection locked="0" hidden="0"/>
    </xf>
    <xf numFmtId="0" fontId="5" fillId="3" borderId="5" applyAlignment="1" applyProtection="1" pivotButton="0" quotePrefix="0" xfId="0">
      <alignment vertical="center"/>
      <protection locked="0" hidden="0"/>
    </xf>
    <xf numFmtId="0" fontId="5" fillId="3" borderId="6" applyAlignment="1" applyProtection="1" pivotButton="0" quotePrefix="0" xfId="0">
      <alignment vertical="center"/>
      <protection locked="0" hidden="0"/>
    </xf>
    <xf numFmtId="0" fontId="5" fillId="3" borderId="14" applyAlignment="1" pivotButton="0" quotePrefix="0" xfId="0">
      <alignment vertical="center"/>
    </xf>
    <xf numFmtId="0" fontId="3" fillId="3" borderId="0" applyAlignment="1" applyProtection="1" pivotButton="0" quotePrefix="0" xfId="0">
      <alignment vertical="center"/>
      <protection locked="0" hidden="0"/>
    </xf>
    <xf numFmtId="0" fontId="0" fillId="4" borderId="15" applyAlignment="1" pivotButton="0" quotePrefix="0" xfId="0">
      <alignment vertical="center"/>
    </xf>
    <xf numFmtId="0" fontId="0" fillId="4" borderId="16" applyAlignment="1" pivotButton="0" quotePrefix="0" xfId="0">
      <alignment vertical="center"/>
    </xf>
    <xf numFmtId="0" fontId="0" fillId="4" borderId="17" applyAlignment="1" pivotButton="0" quotePrefix="0" xfId="0">
      <alignment vertical="center"/>
    </xf>
    <xf numFmtId="0" fontId="0" fillId="5" borderId="18" applyAlignment="1" pivotButton="0" quotePrefix="0" xfId="0">
      <alignment vertical="center"/>
    </xf>
    <xf numFmtId="0" fontId="0" fillId="5" borderId="16" applyAlignment="1" pivotButton="0" quotePrefix="0" xfId="0">
      <alignment vertical="center"/>
    </xf>
    <xf numFmtId="0" fontId="0" fillId="5" borderId="17" applyAlignment="1" pivotButton="0" quotePrefix="0" xfId="0">
      <alignment vertical="center"/>
    </xf>
    <xf numFmtId="0" fontId="0" fillId="6" borderId="18" applyAlignment="1" pivotButton="0" quotePrefix="0" xfId="0">
      <alignment vertical="center"/>
    </xf>
    <xf numFmtId="0" fontId="0" fillId="6" borderId="16" applyAlignment="1" pivotButton="0" quotePrefix="0" xfId="0">
      <alignment vertical="center"/>
    </xf>
    <xf numFmtId="0" fontId="0" fillId="6" borderId="17" applyAlignment="1" pivotButton="0" quotePrefix="0" xfId="0">
      <alignment vertical="center"/>
    </xf>
    <xf numFmtId="0" fontId="0" fillId="7" borderId="18" applyAlignment="1" pivotButton="0" quotePrefix="0" xfId="0">
      <alignment vertical="center"/>
    </xf>
    <xf numFmtId="0" fontId="0" fillId="7" borderId="16" applyAlignment="1" pivotButton="0" quotePrefix="0" xfId="0">
      <alignment vertical="center"/>
    </xf>
    <xf numFmtId="0" fontId="0" fillId="7" borderId="17" applyAlignment="1" pivotButton="0" quotePrefix="0" xfId="0">
      <alignment vertical="center"/>
    </xf>
    <xf numFmtId="0" fontId="0" fillId="8" borderId="18" applyAlignment="1" pivotButton="0" quotePrefix="0" xfId="0">
      <alignment vertical="center"/>
    </xf>
    <xf numFmtId="0" fontId="0" fillId="8" borderId="16" applyAlignment="1" pivotButton="0" quotePrefix="0" xfId="0">
      <alignment vertical="center"/>
    </xf>
    <xf numFmtId="0" fontId="0" fillId="8" borderId="17" applyAlignment="1" pivotButton="0" quotePrefix="0" xfId="0">
      <alignment vertical="center"/>
    </xf>
    <xf numFmtId="164" fontId="5" fillId="3" borderId="4" applyAlignment="1" applyProtection="1" pivotButton="0" quotePrefix="0" xfId="2">
      <alignment vertical="center"/>
      <protection locked="0" hidden="0"/>
    </xf>
    <xf numFmtId="164" fontId="5" fillId="0" borderId="8" applyAlignment="1" applyProtection="1" pivotButton="0" quotePrefix="0" xfId="2">
      <alignment vertical="center"/>
      <protection locked="0" hidden="0"/>
    </xf>
    <xf numFmtId="164" fontId="5" fillId="3" borderId="4" applyAlignment="1" applyProtection="1" pivotButton="0" quotePrefix="0" xfId="0">
      <alignment vertical="center"/>
      <protection locked="0" hidden="0"/>
    </xf>
    <xf numFmtId="164" fontId="5" fillId="0" borderId="8" applyAlignment="1" applyProtection="1" pivotButton="0" quotePrefix="0" xfId="0">
      <alignment vertical="center"/>
      <protection locked="0" hidden="0"/>
    </xf>
    <xf numFmtId="38" fontId="5" fillId="3" borderId="19" applyAlignment="1" applyProtection="1" pivotButton="0" quotePrefix="0" xfId="2">
      <alignment vertical="center"/>
      <protection locked="0" hidden="0"/>
    </xf>
    <xf numFmtId="38" fontId="5" fillId="0" borderId="12" applyAlignment="1" applyProtection="1" pivotButton="0" quotePrefix="0" xfId="2">
      <alignment vertical="center"/>
      <protection locked="0" hidden="0"/>
    </xf>
    <xf numFmtId="38" fontId="5" fillId="3" borderId="20" applyAlignment="1" applyProtection="1" pivotButton="0" quotePrefix="0" xfId="2">
      <alignment vertical="center"/>
      <protection locked="0" hidden="0"/>
    </xf>
    <xf numFmtId="38" fontId="5" fillId="0" borderId="13" applyAlignment="1" applyProtection="1" pivotButton="0" quotePrefix="0" xfId="2">
      <alignment vertical="center"/>
      <protection locked="0" hidden="0"/>
    </xf>
    <xf numFmtId="0" fontId="3" fillId="0" borderId="0" applyAlignment="1" pivotButton="0" quotePrefix="0" xfId="0">
      <alignment vertical="center"/>
    </xf>
    <xf numFmtId="38" fontId="3" fillId="3" borderId="21" applyAlignment="1" pivotButton="0" quotePrefix="0" xfId="0">
      <alignment vertical="center"/>
    </xf>
    <xf numFmtId="38" fontId="3" fillId="3" borderId="22" applyAlignment="1" pivotButton="0" quotePrefix="0" xfId="0">
      <alignment vertical="center"/>
    </xf>
    <xf numFmtId="38" fontId="3" fillId="3" borderId="23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38" fontId="3" fillId="0" borderId="21" applyAlignment="1" pivotButton="0" quotePrefix="0" xfId="0">
      <alignment vertical="center"/>
    </xf>
    <xf numFmtId="38" fontId="3" fillId="0" borderId="22" applyAlignment="1" pivotButton="0" quotePrefix="0" xfId="0">
      <alignment vertical="center"/>
    </xf>
    <xf numFmtId="38" fontId="3" fillId="0" borderId="23" applyAlignment="1" pivotButton="0" quotePrefix="0" xfId="0">
      <alignment vertical="center"/>
    </xf>
    <xf numFmtId="0" fontId="5" fillId="0" borderId="24" applyAlignment="1" applyProtection="1" pivotButton="0" quotePrefix="0" xfId="0">
      <alignment vertical="center"/>
      <protection locked="0" hidden="0"/>
    </xf>
    <xf numFmtId="0" fontId="5" fillId="0" borderId="25" applyAlignment="1" applyProtection="1" pivotButton="0" quotePrefix="0" xfId="0">
      <alignment vertical="center"/>
      <protection locked="0" hidden="0"/>
    </xf>
    <xf numFmtId="0" fontId="5" fillId="0" borderId="26" applyAlignment="1" applyProtection="1" pivotButton="0" quotePrefix="0" xfId="0">
      <alignment vertical="center"/>
      <protection locked="0" hidden="0"/>
    </xf>
    <xf numFmtId="0" fontId="5" fillId="0" borderId="27" applyAlignment="1" applyProtection="1" pivotButton="0" quotePrefix="0" xfId="0">
      <alignment vertical="center"/>
      <protection locked="0" hidden="0"/>
    </xf>
    <xf numFmtId="164" fontId="5" fillId="0" borderId="25" applyAlignment="1" applyProtection="1" pivotButton="0" quotePrefix="0" xfId="2">
      <alignment vertical="center"/>
      <protection locked="0" hidden="0"/>
    </xf>
    <xf numFmtId="0" fontId="5" fillId="0" borderId="28" applyAlignment="1" pivotButton="0" quotePrefix="0" xfId="0">
      <alignment vertical="center"/>
    </xf>
    <xf numFmtId="38" fontId="5" fillId="0" borderId="29" applyAlignment="1" applyProtection="1" pivotButton="0" quotePrefix="0" xfId="2">
      <alignment vertical="center"/>
      <protection locked="0" hidden="0"/>
    </xf>
    <xf numFmtId="164" fontId="5" fillId="0" borderId="25" applyAlignment="1" applyProtection="1" pivotButton="0" quotePrefix="0" xfId="0">
      <alignment vertical="center"/>
      <protection locked="0" hidden="0"/>
    </xf>
    <xf numFmtId="38" fontId="5" fillId="0" borderId="30" applyAlignment="1" applyProtection="1" pivotButton="0" quotePrefix="0" xfId="2">
      <alignment vertical="center"/>
      <protection locked="0" hidden="0"/>
    </xf>
    <xf numFmtId="38" fontId="3" fillId="0" borderId="31" applyAlignment="1" pivotButton="0" quotePrefix="0" xfId="0">
      <alignment vertical="center"/>
    </xf>
    <xf numFmtId="38" fontId="3" fillId="0" borderId="17" applyAlignment="1" pivotButton="0" quotePrefix="0" xfId="0">
      <alignment vertical="center"/>
    </xf>
    <xf numFmtId="38" fontId="3" fillId="0" borderId="32" applyAlignment="1" pivotButton="0" quotePrefix="0" xfId="0">
      <alignment vertical="center"/>
    </xf>
    <xf numFmtId="0" fontId="8" fillId="8" borderId="33" applyAlignment="1" pivotButton="0" quotePrefix="0" xfId="0">
      <alignment vertical="center"/>
    </xf>
    <xf numFmtId="0" fontId="8" fillId="8" borderId="16" applyAlignment="1" pivotButton="0" quotePrefix="0" xfId="0">
      <alignment vertical="center"/>
    </xf>
    <xf numFmtId="0" fontId="8" fillId="8" borderId="34" applyAlignment="1" pivotButton="0" quotePrefix="0" xfId="0">
      <alignment vertical="center"/>
    </xf>
    <xf numFmtId="0" fontId="8" fillId="7" borderId="33" applyAlignment="1" pivotButton="0" quotePrefix="0" xfId="0">
      <alignment vertical="center"/>
    </xf>
    <xf numFmtId="0" fontId="8" fillId="7" borderId="16" applyAlignment="1" pivotButton="0" quotePrefix="0" xfId="0">
      <alignment vertical="center"/>
    </xf>
    <xf numFmtId="0" fontId="8" fillId="7" borderId="34" applyAlignment="1" pivotButton="0" quotePrefix="0" xfId="0">
      <alignment vertical="center"/>
    </xf>
    <xf numFmtId="0" fontId="8" fillId="4" borderId="33" applyAlignment="1" pivotButton="0" quotePrefix="0" xfId="0">
      <alignment vertical="center"/>
    </xf>
    <xf numFmtId="0" fontId="8" fillId="4" borderId="16" applyAlignment="1" pivotButton="0" quotePrefix="0" xfId="0">
      <alignment vertical="center"/>
    </xf>
    <xf numFmtId="0" fontId="8" fillId="5" borderId="33" applyAlignment="1" pivotButton="0" quotePrefix="0" xfId="0">
      <alignment vertical="center"/>
    </xf>
    <xf numFmtId="0" fontId="8" fillId="5" borderId="16" applyAlignment="1" pivotButton="0" quotePrefix="0" xfId="0">
      <alignment vertical="center"/>
    </xf>
    <xf numFmtId="0" fontId="8" fillId="6" borderId="33" applyAlignment="1" pivotButton="0" quotePrefix="0" xfId="0">
      <alignment vertical="center"/>
    </xf>
    <xf numFmtId="0" fontId="8" fillId="6" borderId="34" applyAlignment="1" pivotButton="0" quotePrefix="0" xfId="0">
      <alignment vertical="center"/>
    </xf>
    <xf numFmtId="165" fontId="0" fillId="8" borderId="35" applyAlignment="1" pivotButton="0" quotePrefix="0" xfId="0">
      <alignment horizontal="center" vertical="center"/>
    </xf>
    <xf numFmtId="165" fontId="0" fillId="8" borderId="15" applyAlignment="1" pivotButton="0" quotePrefix="0" xfId="0">
      <alignment horizontal="center" vertical="center"/>
    </xf>
    <xf numFmtId="165" fontId="0" fillId="8" borderId="36" applyAlignment="1" pivotButton="0" quotePrefix="0" xfId="0">
      <alignment horizontal="center" vertical="center"/>
    </xf>
    <xf numFmtId="165" fontId="0" fillId="7" borderId="35" applyAlignment="1" pivotButton="0" quotePrefix="0" xfId="0">
      <alignment horizontal="center" vertical="center"/>
    </xf>
    <xf numFmtId="165" fontId="0" fillId="7" borderId="15" applyAlignment="1" pivotButton="0" quotePrefix="0" xfId="0">
      <alignment horizontal="center" vertical="center"/>
    </xf>
    <xf numFmtId="165" fontId="0" fillId="7" borderId="36" applyAlignment="1" pivotButton="0" quotePrefix="0" xfId="0">
      <alignment horizontal="center" vertical="center"/>
    </xf>
    <xf numFmtId="165" fontId="0" fillId="4" borderId="35" applyAlignment="1" pivotButton="0" quotePrefix="0" xfId="0">
      <alignment horizontal="center" vertical="center"/>
    </xf>
    <xf numFmtId="165" fontId="0" fillId="4" borderId="15" applyAlignment="1" pivotButton="0" quotePrefix="0" xfId="0">
      <alignment horizontal="center" vertical="center"/>
    </xf>
    <xf numFmtId="165" fontId="0" fillId="5" borderId="35" applyAlignment="1" pivotButton="0" quotePrefix="0" xfId="0">
      <alignment horizontal="center" vertical="center"/>
    </xf>
    <xf numFmtId="165" fontId="0" fillId="5" borderId="15" applyAlignment="1" pivotButton="0" quotePrefix="0" xfId="0">
      <alignment horizontal="center" vertical="center"/>
    </xf>
    <xf numFmtId="165" fontId="0" fillId="6" borderId="35" applyAlignment="1" pivotButton="0" quotePrefix="0" xfId="0">
      <alignment horizontal="center" vertical="center"/>
    </xf>
    <xf numFmtId="165" fontId="0" fillId="6" borderId="36" applyAlignment="1" pivotButton="0" quotePrefix="0" xfId="0">
      <alignment horizontal="center" vertical="center"/>
    </xf>
    <xf numFmtId="166" fontId="3" fillId="0" borderId="37" applyAlignment="1" applyProtection="1" pivotButton="0" quotePrefix="0" xfId="0">
      <alignment vertical="center"/>
      <protection locked="0" hidden="0"/>
    </xf>
    <xf numFmtId="166" fontId="5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6" fontId="3" fillId="0" borderId="37" applyAlignment="1" pivotButton="0" quotePrefix="0" xfId="0">
      <alignment vertical="center"/>
    </xf>
    <xf numFmtId="166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6" fontId="3" fillId="0" borderId="2" applyAlignment="1" pivotButton="0" quotePrefix="0" xfId="0">
      <alignment vertical="center"/>
    </xf>
    <xf numFmtId="166" fontId="3" fillId="0" borderId="38" applyAlignment="1" pivotButton="0" quotePrefix="0" xfId="0">
      <alignment vertical="center"/>
    </xf>
    <xf numFmtId="166" fontId="3" fillId="0" borderId="39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0" fillId="0" borderId="0" applyAlignment="1" applyProtection="1" pivotButton="0" quotePrefix="0" xfId="0">
      <alignment vertical="center"/>
      <protection locked="0" hidden="0"/>
    </xf>
    <xf numFmtId="166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6" fontId="17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166" fontId="3" fillId="9" borderId="40" applyAlignment="1" pivotButton="0" quotePrefix="0" xfId="0">
      <alignment vertical="center"/>
    </xf>
    <xf numFmtId="0" fontId="0" fillId="9" borderId="4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38" fontId="0" fillId="0" borderId="0" applyAlignment="1" pivotButton="0" quotePrefix="0" xfId="2">
      <alignment vertical="center"/>
    </xf>
    <xf numFmtId="38" fontId="12" fillId="0" borderId="0" applyAlignment="1" pivotButton="0" quotePrefix="0" xfId="2">
      <alignment vertical="center"/>
    </xf>
    <xf numFmtId="167" fontId="0" fillId="0" borderId="0" applyAlignment="1" pivotButton="0" quotePrefix="0" xfId="1">
      <alignment vertical="center"/>
    </xf>
    <xf numFmtId="0" fontId="0" fillId="10" borderId="41" applyAlignment="1" pivotButton="0" quotePrefix="0" xfId="0">
      <alignment horizontal="center" vertical="center"/>
    </xf>
    <xf numFmtId="0" fontId="0" fillId="10" borderId="42" applyAlignment="1" pivotButton="0" quotePrefix="0" xfId="0">
      <alignment horizontal="center" vertical="center"/>
    </xf>
    <xf numFmtId="38" fontId="1" fillId="10" borderId="42" applyAlignment="1" pivotButton="0" quotePrefix="0" xfId="2">
      <alignment horizontal="center" vertical="center"/>
    </xf>
    <xf numFmtId="38" fontId="1" fillId="10" borderId="42" applyAlignment="1" pivotButton="0" quotePrefix="0" xfId="2">
      <alignment horizontal="center" vertical="center" wrapText="1"/>
    </xf>
    <xf numFmtId="0" fontId="0" fillId="10" borderId="42" applyAlignment="1" pivotButton="0" quotePrefix="0" xfId="0">
      <alignment horizontal="center" vertical="center" wrapText="1"/>
    </xf>
    <xf numFmtId="0" fontId="12" fillId="10" borderId="42" applyAlignment="1" pivotButton="0" quotePrefix="0" xfId="0">
      <alignment horizontal="center" vertical="center" wrapText="1"/>
    </xf>
    <xf numFmtId="167" fontId="1" fillId="10" borderId="42" applyAlignment="1" pivotButton="0" quotePrefix="0" xfId="1">
      <alignment horizontal="center" vertical="center" wrapText="1"/>
    </xf>
    <xf numFmtId="38" fontId="1" fillId="10" borderId="43" applyAlignment="1" pivotButton="0" quotePrefix="0" xfId="2">
      <alignment horizontal="center" vertical="center"/>
    </xf>
    <xf numFmtId="0" fontId="0" fillId="10" borderId="44" applyAlignment="1" pivotButton="0" quotePrefix="0" xfId="0">
      <alignment horizontal="center" vertical="center"/>
    </xf>
    <xf numFmtId="0" fontId="0" fillId="0" borderId="45" applyAlignment="1" applyProtection="1" pivotButton="0" quotePrefix="0" xfId="0">
      <alignment vertical="center"/>
      <protection locked="0" hidden="0"/>
    </xf>
    <xf numFmtId="0" fontId="0" fillId="0" borderId="45" applyAlignment="1" applyProtection="1" pivotButton="0" quotePrefix="0" xfId="0">
      <alignment horizontal="center" vertical="center"/>
      <protection locked="0" hidden="0"/>
    </xf>
    <xf numFmtId="38" fontId="0" fillId="0" borderId="45" applyAlignment="1" applyProtection="1" pivotButton="0" quotePrefix="0" xfId="2">
      <alignment vertical="center"/>
      <protection locked="0" hidden="0"/>
    </xf>
    <xf numFmtId="38" fontId="1" fillId="11" borderId="45" applyAlignment="1" pivotButton="0" quotePrefix="0" xfId="2">
      <alignment vertical="center"/>
    </xf>
    <xf numFmtId="0" fontId="0" fillId="10" borderId="45" applyAlignment="1" pivotButton="0" quotePrefix="0" xfId="0">
      <alignment horizontal="center" vertical="center"/>
    </xf>
    <xf numFmtId="38" fontId="1" fillId="10" borderId="45" applyAlignment="1" pivotButton="0" quotePrefix="0" xfId="2">
      <alignment vertical="center"/>
    </xf>
    <xf numFmtId="167" fontId="0" fillId="0" borderId="45" applyAlignment="1" applyProtection="1" pivotButton="0" quotePrefix="0" xfId="1">
      <alignment vertical="center"/>
      <protection locked="0" hidden="0"/>
    </xf>
    <xf numFmtId="38" fontId="1" fillId="10" borderId="46" applyAlignment="1" pivotButton="0" quotePrefix="0" xfId="2">
      <alignment vertical="center"/>
    </xf>
    <xf numFmtId="0" fontId="0" fillId="10" borderId="47" applyAlignment="1" pivotButton="0" quotePrefix="0" xfId="0">
      <alignment horizontal="center" vertical="center"/>
    </xf>
    <xf numFmtId="0" fontId="0" fillId="0" borderId="48" applyAlignment="1" applyProtection="1" pivotButton="0" quotePrefix="0" xfId="0">
      <alignment vertical="center"/>
      <protection locked="0" hidden="0"/>
    </xf>
    <xf numFmtId="0" fontId="0" fillId="0" borderId="48" applyAlignment="1" applyProtection="1" pivotButton="0" quotePrefix="0" xfId="0">
      <alignment horizontal="center" vertical="center"/>
      <protection locked="0" hidden="0"/>
    </xf>
    <xf numFmtId="38" fontId="0" fillId="0" borderId="48" applyAlignment="1" applyProtection="1" pivotButton="0" quotePrefix="0" xfId="2">
      <alignment vertical="center"/>
      <protection locked="0" hidden="0"/>
    </xf>
    <xf numFmtId="38" fontId="1" fillId="11" borderId="48" applyAlignment="1" pivotButton="0" quotePrefix="0" xfId="2">
      <alignment vertical="center"/>
    </xf>
    <xf numFmtId="0" fontId="0" fillId="10" borderId="48" applyAlignment="1" pivotButton="0" quotePrefix="0" xfId="0">
      <alignment horizontal="center" vertical="center"/>
    </xf>
    <xf numFmtId="38" fontId="1" fillId="10" borderId="48" applyAlignment="1" pivotButton="0" quotePrefix="0" xfId="2">
      <alignment vertical="center"/>
    </xf>
    <xf numFmtId="167" fontId="0" fillId="0" borderId="48" applyAlignment="1" applyProtection="1" pivotButton="0" quotePrefix="0" xfId="1">
      <alignment vertical="center"/>
      <protection locked="0" hidden="0"/>
    </xf>
    <xf numFmtId="38" fontId="1" fillId="10" borderId="49" applyAlignment="1" pivotButton="0" quotePrefix="0" xfId="2">
      <alignment vertical="center"/>
    </xf>
    <xf numFmtId="38" fontId="20" fillId="0" borderId="50" applyAlignment="1" pivotButton="0" quotePrefix="0" xfId="2">
      <alignment vertical="center"/>
    </xf>
    <xf numFmtId="38" fontId="20" fillId="0" borderId="0" applyAlignment="1" pivotButton="0" quotePrefix="0" xfId="2">
      <alignment vertical="center"/>
    </xf>
    <xf numFmtId="38" fontId="20" fillId="0" borderId="0" applyAlignment="1" pivotButton="0" quotePrefix="0" xfId="2">
      <alignment horizontal="center" vertical="center"/>
    </xf>
    <xf numFmtId="0" fontId="21" fillId="10" borderId="16" applyAlignment="1" pivotButton="0" quotePrefix="0" xfId="0">
      <alignment vertical="center" wrapText="1"/>
    </xf>
    <xf numFmtId="0" fontId="0" fillId="10" borderId="16" applyAlignment="1" pivotButton="0" quotePrefix="0" xfId="0">
      <alignment horizontal="center" vertical="center"/>
    </xf>
    <xf numFmtId="0" fontId="0" fillId="10" borderId="51" applyAlignment="1" pivotButton="0" quotePrefix="0" xfId="0">
      <alignment vertical="center"/>
    </xf>
    <xf numFmtId="0" fontId="0" fillId="10" borderId="52" applyAlignment="1" pivotButton="0" quotePrefix="0" xfId="0">
      <alignment horizontal="center" vertical="center"/>
    </xf>
    <xf numFmtId="0" fontId="0" fillId="10" borderId="53" applyAlignment="1" pivotButton="0" quotePrefix="0" xfId="0">
      <alignment vertical="center"/>
    </xf>
    <xf numFmtId="0" fontId="0" fillId="10" borderId="22" applyAlignment="1" pivotButton="0" quotePrefix="0" xfId="0">
      <alignment horizontal="center" vertical="center"/>
    </xf>
    <xf numFmtId="0" fontId="0" fillId="10" borderId="54" applyAlignment="1" pivotButton="0" quotePrefix="0" xfId="0">
      <alignment vertical="center"/>
    </xf>
    <xf numFmtId="0" fontId="0" fillId="10" borderId="18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49" fontId="0" fillId="0" borderId="55" applyAlignment="1" applyProtection="1" pivotButton="0" quotePrefix="0" xfId="0">
      <alignment vertical="center"/>
      <protection locked="0" hidden="0"/>
    </xf>
    <xf numFmtId="49" fontId="0" fillId="0" borderId="0" applyAlignment="1" pivotButton="0" quotePrefix="0" xfId="0">
      <alignment horizontal="right" vertical="center"/>
    </xf>
    <xf numFmtId="38" fontId="0" fillId="0" borderId="16" applyAlignment="1" applyProtection="1" pivotButton="0" quotePrefix="0" xfId="2">
      <alignment vertical="center"/>
      <protection locked="0" hidden="0"/>
    </xf>
    <xf numFmtId="49" fontId="0" fillId="0" borderId="56" applyAlignment="1" applyProtection="1" pivotButton="0" quotePrefix="0" xfId="0">
      <alignment vertical="center"/>
      <protection locked="0" hidden="0"/>
    </xf>
    <xf numFmtId="49" fontId="22" fillId="0" borderId="0" applyAlignment="1" pivotButton="0" quotePrefix="0" xfId="0">
      <alignment horizontal="center" vertical="center"/>
    </xf>
    <xf numFmtId="49" fontId="10" fillId="10" borderId="35" applyAlignment="1" pivotButton="0" quotePrefix="0" xfId="0">
      <alignment horizontal="center" vertical="center"/>
    </xf>
    <xf numFmtId="49" fontId="10" fillId="10" borderId="15" applyAlignment="1" pivotButton="0" quotePrefix="0" xfId="0">
      <alignment horizontal="center" vertical="center"/>
    </xf>
    <xf numFmtId="49" fontId="10" fillId="10" borderId="57" applyAlignment="1" pivotButton="0" quotePrefix="0" xfId="0">
      <alignment horizontal="center" vertical="center"/>
    </xf>
    <xf numFmtId="38" fontId="10" fillId="10" borderId="15" applyAlignment="1" pivotButton="0" quotePrefix="0" xfId="2">
      <alignment horizontal="center" vertical="center"/>
    </xf>
    <xf numFmtId="0" fontId="10" fillId="10" borderId="36" applyAlignment="1" pivotButton="0" quotePrefix="0" xfId="0">
      <alignment horizontal="center" vertical="center"/>
    </xf>
    <xf numFmtId="49" fontId="0" fillId="0" borderId="33" applyAlignment="1" applyProtection="1" pivotButton="0" quotePrefix="0" xfId="0">
      <alignment horizontal="right" vertical="center"/>
      <protection locked="0" hidden="0"/>
    </xf>
    <xf numFmtId="0" fontId="0" fillId="0" borderId="34" applyAlignment="1" applyProtection="1" pivotButton="0" quotePrefix="0" xfId="0">
      <alignment vertical="center"/>
      <protection locked="0" hidden="0"/>
    </xf>
    <xf numFmtId="38" fontId="0" fillId="0" borderId="17" applyAlignment="1" pivotButton="0" quotePrefix="0" xfId="2">
      <alignment vertical="center"/>
    </xf>
    <xf numFmtId="0" fontId="0" fillId="0" borderId="32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49" fontId="3" fillId="0" borderId="58" applyAlignment="1" applyProtection="1" pivotButton="0" quotePrefix="0" xfId="0">
      <alignment vertical="center"/>
      <protection locked="0" hidden="0"/>
    </xf>
    <xf numFmtId="0" fontId="3" fillId="0" borderId="45" applyAlignment="1" applyProtection="1" pivotButton="0" quotePrefix="0" xfId="0">
      <alignment vertical="center"/>
      <protection locked="0" hidden="0"/>
    </xf>
    <xf numFmtId="3" fontId="3" fillId="0" borderId="45" applyAlignment="1" applyProtection="1" pivotButton="0" quotePrefix="0" xfId="0">
      <alignment horizontal="center" vertical="center"/>
      <protection locked="0" hidden="0"/>
    </xf>
    <xf numFmtId="0" fontId="3" fillId="0" borderId="45" applyAlignment="1" applyProtection="1" pivotButton="0" quotePrefix="0" xfId="0">
      <alignment horizontal="center" vertical="center"/>
      <protection locked="0" hidden="0"/>
    </xf>
    <xf numFmtId="0" fontId="3" fillId="0" borderId="59" applyAlignment="1" applyProtection="1" pivotButton="0" quotePrefix="0" xfId="0">
      <alignment vertical="center"/>
      <protection locked="0" hidden="0"/>
    </xf>
    <xf numFmtId="49" fontId="3" fillId="0" borderId="53" applyAlignment="1" applyProtection="1" pivotButton="0" quotePrefix="0" xfId="0">
      <alignment vertical="center"/>
      <protection locked="0" hidden="0"/>
    </xf>
    <xf numFmtId="0" fontId="3" fillId="0" borderId="60" applyAlignment="1" applyProtection="1" pivotButton="0" quotePrefix="0" xfId="0">
      <alignment vertical="center"/>
      <protection locked="0" hidden="0"/>
    </xf>
    <xf numFmtId="0" fontId="3" fillId="0" borderId="60" applyAlignment="1" applyProtection="1" pivotButton="0" quotePrefix="1" xfId="0">
      <alignment horizontal="left" vertical="center"/>
      <protection locked="0" hidden="0"/>
    </xf>
    <xf numFmtId="38" fontId="3" fillId="0" borderId="61" applyAlignment="1" applyProtection="1" pivotButton="0" quotePrefix="0" xfId="2">
      <alignment vertical="center"/>
      <protection locked="0" hidden="0"/>
    </xf>
    <xf numFmtId="38" fontId="3" fillId="0" borderId="62" applyAlignment="1" applyProtection="1" pivotButton="0" quotePrefix="0" xfId="0">
      <alignment vertical="center"/>
      <protection locked="0" hidden="0"/>
    </xf>
    <xf numFmtId="38" fontId="3" fillId="0" borderId="60" applyAlignment="1" applyProtection="1" pivotButton="0" quotePrefix="0" xfId="2">
      <alignment vertical="center"/>
      <protection locked="0" hidden="0"/>
    </xf>
    <xf numFmtId="49" fontId="3" fillId="0" borderId="53" applyAlignment="1" applyProtection="1" pivotButton="0" quotePrefix="1" xfId="0">
      <alignment horizontal="left" vertical="center"/>
      <protection locked="0" hidden="0"/>
    </xf>
    <xf numFmtId="49" fontId="3" fillId="0" borderId="54" applyAlignment="1" applyProtection="1" pivotButton="0" quotePrefix="0" xfId="0">
      <alignment vertical="center"/>
      <protection locked="0" hidden="0"/>
    </xf>
    <xf numFmtId="0" fontId="3" fillId="0" borderId="63" applyAlignment="1" applyProtection="1" pivotButton="0" quotePrefix="1" xfId="0">
      <alignment horizontal="left" vertical="center"/>
      <protection locked="0" hidden="0"/>
    </xf>
    <xf numFmtId="0" fontId="3" fillId="0" borderId="63" applyAlignment="1" applyProtection="1" pivotButton="0" quotePrefix="0" xfId="0">
      <alignment vertical="center"/>
      <protection locked="0" hidden="0"/>
    </xf>
    <xf numFmtId="38" fontId="3" fillId="0" borderId="63" applyAlignment="1" applyProtection="1" pivotButton="0" quotePrefix="0" xfId="2">
      <alignment vertical="center"/>
      <protection locked="0" hidden="0"/>
    </xf>
    <xf numFmtId="38" fontId="3" fillId="0" borderId="64" applyAlignment="1" applyProtection="1" pivotButton="0" quotePrefix="0" xfId="0">
      <alignment vertical="center"/>
      <protection locked="0" hidden="0"/>
    </xf>
    <xf numFmtId="0" fontId="0" fillId="3" borderId="34" applyAlignment="1" applyProtection="1" pivotButton="0" quotePrefix="0" xfId="0">
      <alignment vertical="center"/>
      <protection locked="0" hidden="0"/>
    </xf>
    <xf numFmtId="0" fontId="0" fillId="3" borderId="23" applyAlignment="1" applyProtection="1" pivotButton="0" quotePrefix="0" xfId="0">
      <alignment vertical="center"/>
      <protection locked="0" hidden="0"/>
    </xf>
    <xf numFmtId="0" fontId="0" fillId="3" borderId="32" applyAlignment="1" applyProtection="1" pivotButton="0" quotePrefix="0" xfId="0">
      <alignment vertical="center"/>
      <protection locked="0" hidden="0"/>
    </xf>
    <xf numFmtId="0" fontId="3" fillId="3" borderId="34" applyAlignment="1" applyProtection="1" pivotButton="0" quotePrefix="0" xfId="0">
      <alignment vertical="center"/>
      <protection locked="0" hidden="0"/>
    </xf>
    <xf numFmtId="0" fontId="0" fillId="0" borderId="65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50" applyAlignment="1" pivotButton="0" quotePrefix="0" xfId="0">
      <alignment vertical="center"/>
    </xf>
    <xf numFmtId="49" fontId="0" fillId="0" borderId="0" applyAlignment="1" applyProtection="1" pivotButton="0" quotePrefix="0" xfId="0">
      <alignment horizontal="left" vertical="center"/>
      <protection locked="0" hidden="0"/>
    </xf>
    <xf numFmtId="0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1" xfId="0">
      <alignment vertical="center"/>
    </xf>
    <xf numFmtId="166" fontId="3" fillId="0" borderId="66" applyAlignment="1" pivotButton="0" quotePrefix="0" xfId="0">
      <alignment vertical="center"/>
    </xf>
    <xf numFmtId="0" fontId="23" fillId="3" borderId="34" applyAlignment="1" pivotButton="0" quotePrefix="0" xfId="0">
      <alignment vertical="center"/>
    </xf>
    <xf numFmtId="0" fontId="23" fillId="3" borderId="67" applyAlignment="1" pivotButton="0" quotePrefix="0" xfId="0">
      <alignment vertical="center"/>
    </xf>
    <xf numFmtId="0" fontId="23" fillId="3" borderId="32" applyAlignment="1" pivotButton="0" quotePrefix="0" xfId="0">
      <alignment vertical="center"/>
    </xf>
    <xf numFmtId="0" fontId="5" fillId="0" borderId="74" applyAlignment="1" applyProtection="1" pivotButton="0" quotePrefix="0" xfId="0">
      <alignment horizontal="distributed" vertical="center" justifyLastLine="1"/>
      <protection locked="0" hidden="0"/>
    </xf>
    <xf numFmtId="0" fontId="5" fillId="0" borderId="75" applyAlignment="1" applyProtection="1" pivotButton="0" quotePrefix="0" xfId="0">
      <alignment horizontal="distributed" vertical="center" justifyLastLine="1"/>
      <protection locked="0" hidden="0"/>
    </xf>
    <xf numFmtId="0" fontId="5" fillId="0" borderId="76" applyAlignment="1" applyProtection="1" pivotButton="0" quotePrefix="0" xfId="0">
      <alignment horizontal="distributed" vertical="center" justifyLastLine="1"/>
      <protection locked="0" hidden="0"/>
    </xf>
    <xf numFmtId="0" fontId="5" fillId="0" borderId="77" applyAlignment="1" applyProtection="1" pivotButton="0" quotePrefix="0" xfId="0">
      <alignment horizontal="distributed" vertical="center" justifyLastLine="1"/>
      <protection locked="0" hidden="0"/>
    </xf>
    <xf numFmtId="0" fontId="8" fillId="0" borderId="75" applyAlignment="1" applyProtection="1" pivotButton="0" quotePrefix="0" xfId="0">
      <alignment horizontal="distributed" vertical="center" justifyLastLine="1"/>
      <protection locked="0" hidden="0"/>
    </xf>
    <xf numFmtId="0" fontId="5" fillId="0" borderId="78" applyAlignment="1" applyProtection="1" pivotButton="0" quotePrefix="0" xfId="0">
      <alignment horizontal="distributed" vertical="center" justifyLastLine="1"/>
      <protection locked="0" hidden="0"/>
    </xf>
    <xf numFmtId="0" fontId="5" fillId="0" borderId="79" applyAlignment="1" applyProtection="1" pivotButton="0" quotePrefix="0" xfId="0">
      <alignment horizontal="distributed" vertical="center" justifyLastLine="1"/>
      <protection locked="0" hidden="0"/>
    </xf>
    <xf numFmtId="0" fontId="5" fillId="0" borderId="80" applyAlignment="1" applyProtection="1" pivotButton="0" quotePrefix="0" xfId="0">
      <alignment horizontal="distributed" vertical="center" justifyLastLine="1"/>
      <protection locked="0" hidden="0"/>
    </xf>
    <xf numFmtId="0" fontId="5" fillId="0" borderId="81" applyAlignment="1" pivotButton="0" quotePrefix="0" xfId="0">
      <alignment vertical="center"/>
    </xf>
    <xf numFmtId="0" fontId="5" fillId="0" borderId="82" applyAlignment="1" pivotButton="0" quotePrefix="0" xfId="0">
      <alignment vertical="center"/>
    </xf>
    <xf numFmtId="0" fontId="5" fillId="0" borderId="83" applyAlignment="1" pivotButton="0" quotePrefix="0" xfId="0">
      <alignment vertical="center"/>
    </xf>
    <xf numFmtId="0" fontId="5" fillId="0" borderId="84" applyAlignment="1" pivotButton="0" quotePrefix="0" xfId="0">
      <alignment vertical="center"/>
    </xf>
    <xf numFmtId="164" fontId="5" fillId="0" borderId="85" applyAlignment="1" pivotButton="0" quotePrefix="0" xfId="2">
      <alignment vertical="center"/>
    </xf>
    <xf numFmtId="0" fontId="5" fillId="0" borderId="86" applyAlignment="1" pivotButton="0" quotePrefix="0" xfId="0">
      <alignment vertical="center"/>
    </xf>
    <xf numFmtId="38" fontId="5" fillId="0" borderId="87" applyAlignment="1" pivotButton="0" quotePrefix="0" xfId="2">
      <alignment vertical="center"/>
    </xf>
    <xf numFmtId="38" fontId="5" fillId="0" borderId="88" applyAlignment="1" pivotButton="0" quotePrefix="0" xfId="2">
      <alignment vertical="center"/>
    </xf>
    <xf numFmtId="0" fontId="6" fillId="2" borderId="71" applyAlignment="1" pivotButton="0" quotePrefix="0" xfId="0">
      <alignment vertical="center"/>
    </xf>
    <xf numFmtId="0" fontId="0" fillId="0" borderId="0" pivotButton="0" quotePrefix="0" xfId="0"/>
    <xf numFmtId="0" fontId="24" fillId="0" borderId="0" applyAlignment="1" pivotButton="0" quotePrefix="0" xfId="0">
      <alignment horizontal="center"/>
    </xf>
    <xf numFmtId="166" fontId="3" fillId="9" borderId="40" applyAlignment="1" pivotButton="0" quotePrefix="0" xfId="0">
      <alignment horizontal="center" vertical="center"/>
    </xf>
    <xf numFmtId="0" fontId="0" fillId="0" borderId="40" pivotButton="0" quotePrefix="0" xfId="0"/>
    <xf numFmtId="0" fontId="7" fillId="0" borderId="73" applyAlignment="1" applyProtection="1" pivotButton="0" quotePrefix="0" xfId="0">
      <alignment horizontal="center" vertical="center"/>
      <protection locked="0" hidden="0"/>
    </xf>
    <xf numFmtId="0" fontId="0" fillId="0" borderId="73" applyProtection="1" pivotButton="0" quotePrefix="0" xfId="0">
      <protection locked="0" hidden="0"/>
    </xf>
    <xf numFmtId="0" fontId="0" fillId="4" borderId="89" applyAlignment="1" pivotButton="0" quotePrefix="0" xfId="0">
      <alignment horizontal="center" vertical="center" textRotation="255"/>
    </xf>
    <xf numFmtId="0" fontId="0" fillId="0" borderId="21" pivotButton="0" quotePrefix="0" xfId="0"/>
    <xf numFmtId="0" fontId="0" fillId="0" borderId="69" pivotButton="0" quotePrefix="0" xfId="0"/>
    <xf numFmtId="0" fontId="0" fillId="6" borderId="68" applyAlignment="1" pivotButton="0" quotePrefix="0" xfId="0">
      <alignment horizontal="center" vertical="center" textRotation="255"/>
    </xf>
    <xf numFmtId="0" fontId="0" fillId="5" borderId="89" applyAlignment="1" pivotButton="0" quotePrefix="0" xfId="0">
      <alignment horizontal="center" vertical="center" textRotation="255"/>
    </xf>
    <xf numFmtId="0" fontId="0" fillId="7" borderId="89" applyAlignment="1" pivotButton="0" quotePrefix="0" xfId="0">
      <alignment horizontal="center" vertical="center" textRotation="255"/>
    </xf>
    <xf numFmtId="0" fontId="0" fillId="8" borderId="70" applyAlignment="1" pivotButton="0" quotePrefix="0" xfId="0">
      <alignment horizontal="center" vertical="center" textRotation="255"/>
    </xf>
    <xf numFmtId="0" fontId="0" fillId="0" borderId="37" pivotButton="0" quotePrefix="0" xfId="0"/>
    <xf numFmtId="0" fontId="0" fillId="0" borderId="70" pivotButton="0" quotePrefix="0" xfId="0"/>
    <xf numFmtId="49" fontId="0" fillId="0" borderId="47" applyAlignment="1" pivotButton="0" quotePrefix="0" xfId="0">
      <alignment horizontal="center" vertical="center"/>
    </xf>
    <xf numFmtId="0" fontId="0" fillId="0" borderId="72" pivotButton="0" quotePrefix="0" xfId="0"/>
    <xf numFmtId="0" fontId="0" fillId="0" borderId="0" applyAlignment="1" pivotButton="1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8" borderId="35" applyAlignment="1" pivotButton="0" quotePrefix="0" xfId="0">
      <alignment horizontal="center" vertical="center"/>
    </xf>
    <xf numFmtId="165" fontId="0" fillId="8" borderId="15" applyAlignment="1" pivotButton="0" quotePrefix="0" xfId="0">
      <alignment horizontal="center" vertical="center"/>
    </xf>
    <xf numFmtId="165" fontId="0" fillId="8" borderId="36" applyAlignment="1" pivotButton="0" quotePrefix="0" xfId="0">
      <alignment horizontal="center" vertical="center"/>
    </xf>
    <xf numFmtId="165" fontId="0" fillId="7" borderId="35" applyAlignment="1" pivotButton="0" quotePrefix="0" xfId="0">
      <alignment horizontal="center" vertical="center"/>
    </xf>
    <xf numFmtId="165" fontId="0" fillId="7" borderId="15" applyAlignment="1" pivotButton="0" quotePrefix="0" xfId="0">
      <alignment horizontal="center" vertical="center"/>
    </xf>
    <xf numFmtId="165" fontId="0" fillId="7" borderId="36" applyAlignment="1" pivotButton="0" quotePrefix="0" xfId="0">
      <alignment horizontal="center" vertical="center"/>
    </xf>
    <xf numFmtId="165" fontId="0" fillId="4" borderId="35" applyAlignment="1" pivotButton="0" quotePrefix="0" xfId="0">
      <alignment horizontal="center" vertical="center"/>
    </xf>
    <xf numFmtId="165" fontId="0" fillId="4" borderId="15" applyAlignment="1" pivotButton="0" quotePrefix="0" xfId="0">
      <alignment horizontal="center" vertical="center"/>
    </xf>
    <xf numFmtId="165" fontId="0" fillId="5" borderId="35" applyAlignment="1" pivotButton="0" quotePrefix="0" xfId="0">
      <alignment horizontal="center" vertical="center"/>
    </xf>
    <xf numFmtId="165" fontId="0" fillId="5" borderId="15" applyAlignment="1" pivotButton="0" quotePrefix="0" xfId="0">
      <alignment horizontal="center" vertical="center"/>
    </xf>
    <xf numFmtId="165" fontId="0" fillId="6" borderId="35" applyAlignment="1" pivotButton="0" quotePrefix="0" xfId="0">
      <alignment horizontal="center" vertical="center"/>
    </xf>
    <xf numFmtId="165" fontId="0" fillId="6" borderId="36" applyAlignment="1" pivotButton="0" quotePrefix="0" xfId="0">
      <alignment horizontal="center" vertical="center"/>
    </xf>
    <xf numFmtId="164" fontId="5" fillId="3" borderId="4" applyAlignment="1" applyProtection="1" pivotButton="0" quotePrefix="0" xfId="2">
      <alignment vertical="center"/>
      <protection locked="0" hidden="0"/>
    </xf>
    <xf numFmtId="164" fontId="5" fillId="3" borderId="4" applyAlignment="1" applyProtection="1" pivotButton="0" quotePrefix="0" xfId="0">
      <alignment vertical="center"/>
      <protection locked="0" hidden="0"/>
    </xf>
    <xf numFmtId="164" fontId="5" fillId="0" borderId="8" applyAlignment="1" applyProtection="1" pivotButton="0" quotePrefix="0" xfId="2">
      <alignment vertical="center"/>
      <protection locked="0" hidden="0"/>
    </xf>
    <xf numFmtId="164" fontId="5" fillId="0" borderId="8" applyAlignment="1" applyProtection="1" pivotButton="0" quotePrefix="0" xfId="0">
      <alignment vertical="center"/>
      <protection locked="0" hidden="0"/>
    </xf>
    <xf numFmtId="164" fontId="5" fillId="0" borderId="25" applyAlignment="1" applyProtection="1" pivotButton="0" quotePrefix="0" xfId="2">
      <alignment vertical="center"/>
      <protection locked="0" hidden="0"/>
    </xf>
    <xf numFmtId="164" fontId="5" fillId="0" borderId="25" applyAlignment="1" applyProtection="1" pivotButton="0" quotePrefix="0" xfId="0">
      <alignment vertical="center"/>
      <protection locked="0" hidden="0"/>
    </xf>
    <xf numFmtId="164" fontId="5" fillId="0" borderId="85" applyAlignment="1" pivotButton="0" quotePrefix="0" xfId="2">
      <alignment vertical="center"/>
    </xf>
    <xf numFmtId="166" fontId="3" fillId="9" borderId="40" applyAlignment="1" pivotButton="0" quotePrefix="0" xfId="0">
      <alignment horizontal="center" vertical="center"/>
    </xf>
    <xf numFmtId="166" fontId="14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6" fontId="3" fillId="0" borderId="37" applyAlignment="1" applyProtection="1" pivotButton="0" quotePrefix="0" xfId="0">
      <alignment vertical="center"/>
      <protection locked="0" hidden="0"/>
    </xf>
    <xf numFmtId="166" fontId="17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166" fontId="3" fillId="0" borderId="37" applyAlignment="1" pivotButton="0" quotePrefix="0" xfId="0">
      <alignment vertical="center"/>
    </xf>
    <xf numFmtId="166" fontId="5" fillId="0" borderId="0" applyAlignment="1" pivotButton="0" quotePrefix="0" xfId="0">
      <alignment horizontal="center" vertical="center"/>
    </xf>
    <xf numFmtId="166" fontId="3" fillId="0" borderId="39" applyAlignment="1" pivotButton="0" quotePrefix="0" xfId="0">
      <alignment vertical="center"/>
    </xf>
    <xf numFmtId="166" fontId="3" fillId="0" borderId="38" applyAlignment="1" pivotButton="0" quotePrefix="0" xfId="0">
      <alignment vertical="center"/>
    </xf>
    <xf numFmtId="166" fontId="3" fillId="9" borderId="40" applyAlignment="1" pivotButton="0" quotePrefix="0" xfId="0">
      <alignment vertical="center"/>
    </xf>
    <xf numFmtId="166" fontId="3" fillId="0" borderId="66" applyAlignment="1" pivotButton="0" quotePrefix="0" xfId="0">
      <alignment vertical="center"/>
    </xf>
    <xf numFmtId="166" fontId="3" fillId="0" borderId="2" applyAlignment="1" pivotButton="0" quotePrefix="0" xfId="0">
      <alignment vertical="center"/>
    </xf>
    <xf numFmtId="167" fontId="0" fillId="0" borderId="0" applyAlignment="1" pivotButton="0" quotePrefix="0" xfId="1">
      <alignment vertical="center"/>
    </xf>
    <xf numFmtId="167" fontId="1" fillId="10" borderId="42" applyAlignment="1" pivotButton="0" quotePrefix="0" xfId="1">
      <alignment horizontal="center" vertical="center" wrapText="1"/>
    </xf>
    <xf numFmtId="167" fontId="0" fillId="0" borderId="45" applyAlignment="1" applyProtection="1" pivotButton="0" quotePrefix="0" xfId="1">
      <alignment vertical="center"/>
      <protection locked="0" hidden="0"/>
    </xf>
    <xf numFmtId="167" fontId="0" fillId="0" borderId="48" applyAlignment="1" applyProtection="1" pivotButton="0" quotePrefix="0" xfId="1">
      <alignment vertical="center"/>
      <protection locked="0" hidden="0"/>
    </xf>
    <xf numFmtId="0" fontId="25" fillId="0" borderId="0" applyAlignment="1" pivotButton="0" quotePrefix="0" xfId="0">
      <alignment horizontal="center"/>
    </xf>
  </cellXfs>
  <cellStyles count="3">
    <cellStyle name="標準" xfId="0" builtinId="0"/>
    <cellStyle name="パーセント" xfId="1" builtinId="5"/>
    <cellStyle name="桁区切り" xfId="2" builtinId="6"/>
  </cellStyles>
  <dxfs count="13">
    <dxf>
      <fill>
        <patternFill>
          <bgColor indexed="43"/>
        </patternFill>
      </fill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10"/>
        </left>
        <right/>
        <top style="thin">
          <color indexed="48"/>
        </top>
        <bottom style="thin">
          <color indexed="48"/>
        </bottom>
        <vertical/>
        <horizontal/>
      </border>
      <protection locked="0" hidden="0"/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border>
        <left style="dotted">
          <color indexed="10"/>
        </left>
        <right style="thin">
          <color indexed="10"/>
        </right>
        <top style="thin">
          <color indexed="48"/>
        </top>
        <bottom style="thin">
          <color indexed="48"/>
        </bottom>
        <vertical/>
        <horizontal/>
      </border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numFmt numFmtId="176" formatCode="0_ ;[Red]\-0\ "/>
      <border>
        <left style="double">
          <color indexed="10"/>
        </left>
        <right style="dotted">
          <color indexed="10"/>
        </right>
        <top style="thin">
          <color indexed="48"/>
        </top>
        <bottom style="thin">
          <color indexed="48"/>
        </bottom>
        <vertical/>
        <horizontal/>
      </border>
      <protection locked="0" hidden="0"/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border>
        <left style="thin">
          <color indexed="10"/>
        </left>
        <right style="double">
          <color indexed="10"/>
        </right>
        <top style="thin">
          <color indexed="48"/>
        </top>
        <bottom style="thin">
          <color indexed="48"/>
        </bottom>
        <vertical/>
        <horizontal/>
      </border>
      <protection locked="0" hidden="0"/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border>
        <left style="dotted">
          <color indexed="10"/>
        </left>
        <right style="thin">
          <color indexed="10"/>
        </right>
        <top style="thin">
          <color indexed="48"/>
        </top>
        <bottom style="thin">
          <color indexed="48"/>
        </bottom>
        <vertical/>
        <horizontal/>
      </border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numFmt numFmtId="176" formatCode="0_ ;[Red]\-0\ "/>
      <border>
        <left style="double">
          <color indexed="10"/>
        </left>
        <right style="dotted">
          <color indexed="10"/>
        </right>
        <top style="thin">
          <color indexed="48"/>
        </top>
        <bottom style="thin">
          <color indexed="48"/>
        </bottom>
        <vertical/>
        <horizontal/>
      </border>
      <protection locked="0" hidden="0"/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border>
        <left style="double">
          <color indexed="10"/>
        </left>
        <right style="double">
          <color indexed="10"/>
        </right>
        <top style="thin">
          <color indexed="48"/>
        </top>
        <bottom style="thin">
          <color indexed="48"/>
        </bottom>
        <vertical/>
        <horizontal/>
      </border>
      <protection locked="0" hidden="0"/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border>
        <left style="dotted">
          <color indexed="10"/>
        </left>
        <right/>
        <top style="thin">
          <color indexed="48"/>
        </top>
        <bottom style="thin">
          <color indexed="48"/>
        </bottom>
        <vertical/>
        <horizontal/>
      </border>
      <protection locked="0" hidden="0"/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border>
        <left style="double">
          <color indexed="10"/>
        </left>
        <right style="dotted">
          <color indexed="10"/>
        </right>
        <top style="thin">
          <color indexed="48"/>
        </top>
        <bottom style="thin">
          <color indexed="48"/>
        </bottom>
        <vertical/>
        <horizontal/>
      </border>
      <protection locked="0" hidden="0"/>
    </dxf>
    <dxf>
      <font>
        <name val="ＭＳ Ｐ明朝"/>
        <charset val="128"/>
        <family val="1"/>
        <strike val="0"/>
        <outline val="0"/>
        <shadow val="0"/>
        <condense val="0"/>
        <color auto="1"/>
        <extend val="0"/>
        <sz val="10"/>
        <vertAlign val="baseline"/>
      </font>
      <border>
        <left/>
        <right/>
        <top style="thin">
          <color indexed="48"/>
        </top>
        <bottom style="thin">
          <color indexed="48"/>
        </bottom>
        <vertical/>
        <horizontal/>
      </border>
      <protection locked="0" hidden="0"/>
    </dxf>
    <dxf>
      <border outline="0">
        <top style="double">
          <color indexed="10"/>
        </top>
        <bottom style="thin">
          <color rgb="FFFF0000"/>
        </bottom>
      </border>
    </dxf>
    <dxf>
      <border outline="0">
        <bottom style="double">
          <color indexed="1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pivotCacheDefinition" Target="/xl/pivotCache/pivotCacheDefinition1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山下宣章" refreshedDate="46092.67884444445" createdVersion="8" refreshedVersion="8" minRefreshableVersion="3" recordCount="31" r:id="rId1">
  <cacheSource type="worksheet">
    <worksheetSource ref="A1:E32" sheet="月別残高試算表"/>
  </cacheSource>
  <cacheFields count="5">
    <cacheField name="月" uniqueList="1" numFmtId="0" sqlType="0" hierarchy="0" level="0" databaseField="1">
      <sharedItems count="3" containsInteger="1" containsNumber="1" containsSemiMixedTypes="0" containsString="0" minValue="1" maxValue="3">
        <n v="1"/>
        <n v="2"/>
        <n v="3"/>
      </sharedItems>
    </cacheField>
    <cacheField name="科目" uniqueList="1" numFmtId="0" sqlType="0" hierarchy="0" level="0" databaseField="1">
      <sharedItems count="18">
        <s v="101 現金"/>
        <s v="103 普通預金"/>
        <s v="107 売掛金"/>
        <s v="114 リサイクル預託金"/>
        <s v="121 建物"/>
        <s v="124 車両運搬具"/>
        <s v="127 構築物"/>
        <s v="204 未払金"/>
        <s v="302 元入金"/>
        <s v="401 売上(報酬）"/>
        <s v="403 雑収入(車両売却)"/>
        <s v="507 水道光熱費"/>
        <s v="511 接待交際費"/>
        <s v="514 消耗品費"/>
        <s v="520 地代家賃"/>
        <s v="523 車両費"/>
        <s v="524 新聞図書費"/>
        <s v="525 リース・賃借料"/>
      </sharedItems>
    </cacheField>
    <cacheField name="借方合計" uniqueList="1" numFmtId="0" sqlType="0" hierarchy="0" level="0" databaseField="1">
      <sharedItems count="0" containsInteger="1" containsNumber="1" containsSemiMixedTypes="0" containsString="0" minValue="0" maxValue="14597430"/>
    </cacheField>
    <cacheField name="貸方合計" uniqueList="1" numFmtId="0" sqlType="0" hierarchy="0" level="0" databaseField="1">
      <sharedItems count="0" containsInteger="1" containsNumber="1" containsSemiMixedTypes="0" containsString="0" minValue="0" maxValue="28740668"/>
    </cacheField>
    <cacheField name="残高" uniqueList="1" numFmtId="0" sqlType="0" hierarchy="0" level="0" databaseField="1">
      <sharedItems count="0" containsInteger="1" containsNumber="1" containsSemiMixedTypes="0" containsString="0" minValue="-28740668" maxValue="14597430"/>
    </cacheField>
  </cacheFields>
</pivotCacheDefinition>
</file>

<file path=xl/pivotCache/pivotCacheRecords1.xml><?xml version="1.0" encoding="utf-8"?>
<pivotCacheRecords xmlns="http://schemas.openxmlformats.org/spreadsheetml/2006/main" count="31">
  <r>
    <x v="0"/>
    <x v="0"/>
    <n v="1046520"/>
    <n v="1046520"/>
    <n v="0"/>
  </r>
  <r>
    <x v="0"/>
    <x v="1"/>
    <n v="10475394"/>
    <n v="10475394"/>
    <n v="0"/>
  </r>
  <r>
    <x v="0"/>
    <x v="2"/>
    <n v="1481500"/>
    <n v="1337500"/>
    <n v="144000"/>
  </r>
  <r>
    <x v="1"/>
    <x v="2"/>
    <n v="881000"/>
    <n v="100000"/>
    <n v="781000"/>
  </r>
  <r>
    <x v="0"/>
    <x v="3"/>
    <n v="20780"/>
    <n v="9130"/>
    <n v="11650"/>
  </r>
  <r>
    <x v="0"/>
    <x v="4"/>
    <n v="14597430"/>
    <n v="0"/>
    <n v="14597430"/>
  </r>
  <r>
    <x v="0"/>
    <x v="5"/>
    <n v="3057481"/>
    <n v="1"/>
    <n v="3057480"/>
  </r>
  <r>
    <x v="0"/>
    <x v="6"/>
    <n v="1303020"/>
    <n v="0"/>
    <n v="1303020"/>
  </r>
  <r>
    <x v="0"/>
    <x v="7"/>
    <n v="61327"/>
    <n v="61327"/>
    <n v="0"/>
  </r>
  <r>
    <x v="0"/>
    <x v="8"/>
    <n v="0"/>
    <n v="28740668"/>
    <n v="-28740668"/>
  </r>
  <r>
    <x v="0"/>
    <x v="9"/>
    <n v="0"/>
    <n v="111000"/>
    <n v="-111000"/>
  </r>
  <r>
    <x v="1"/>
    <x v="9"/>
    <n v="0"/>
    <n v="881000"/>
    <n v="-881000"/>
  </r>
  <r>
    <x v="0"/>
    <x v="10"/>
    <n v="0"/>
    <n v="329999"/>
    <n v="-329999"/>
  </r>
  <r>
    <x v="0"/>
    <x v="11"/>
    <n v="10715"/>
    <n v="0"/>
    <n v="10715"/>
  </r>
  <r>
    <x v="1"/>
    <x v="11"/>
    <n v="2618"/>
    <n v="0"/>
    <n v="2618"/>
  </r>
  <r>
    <x v="2"/>
    <x v="11"/>
    <n v="10343"/>
    <n v="0"/>
    <n v="10343"/>
  </r>
  <r>
    <x v="1"/>
    <x v="12"/>
    <n v="16354"/>
    <n v="0"/>
    <n v="16354"/>
  </r>
  <r>
    <x v="0"/>
    <x v="13"/>
    <n v="1190"/>
    <n v="0"/>
    <n v="1190"/>
  </r>
  <r>
    <x v="1"/>
    <x v="13"/>
    <n v="33402"/>
    <n v="0"/>
    <n v="33402"/>
  </r>
  <r>
    <x v="2"/>
    <x v="13"/>
    <n v="14369"/>
    <n v="0"/>
    <n v="14369"/>
  </r>
  <r>
    <x v="0"/>
    <x v="14"/>
    <n v="20000"/>
    <n v="0"/>
    <n v="20000"/>
  </r>
  <r>
    <x v="1"/>
    <x v="14"/>
    <n v="20000"/>
    <n v="0"/>
    <n v="20000"/>
  </r>
  <r>
    <x v="2"/>
    <x v="14"/>
    <n v="20000"/>
    <n v="0"/>
    <n v="20000"/>
  </r>
  <r>
    <x v="0"/>
    <x v="15"/>
    <n v="20752"/>
    <n v="0"/>
    <n v="20752"/>
  </r>
  <r>
    <x v="1"/>
    <x v="15"/>
    <n v="929"/>
    <n v="0"/>
    <n v="929"/>
  </r>
  <r>
    <x v="2"/>
    <x v="15"/>
    <n v="11645"/>
    <n v="0"/>
    <n v="11645"/>
  </r>
  <r>
    <x v="0"/>
    <x v="16"/>
    <n v="980"/>
    <n v="0"/>
    <n v="980"/>
  </r>
  <r>
    <x v="1"/>
    <x v="16"/>
    <n v="20228"/>
    <n v="0"/>
    <n v="20228"/>
  </r>
  <r>
    <x v="2"/>
    <x v="16"/>
    <n v="10012"/>
    <n v="0"/>
    <n v="10012"/>
  </r>
  <r>
    <x v="0"/>
    <x v="17"/>
    <n v="12369"/>
    <n v="0"/>
    <n v="12369"/>
  </r>
  <r>
    <x v="1"/>
    <x v="17"/>
    <n v="7834"/>
    <n v="0"/>
    <n v="783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ピボットテーブル1" cacheId="4" dataOnRows="0" dataCaption="値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E23" firstHeaderRow="1" firstDataRow="2" firstDataCol="1"/>
  <pivotFields count="5"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1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grand" r="0" i="0">
      <x v="0"/>
    </i>
  </rowItems>
  <colFields count="1">
    <field x="0"/>
  </colFields>
  <colItems count="4">
    <i t="data" r="0" i="0">
      <x v="0"/>
    </i>
    <i t="data" r="0" i="0">
      <x v="1"/>
    </i>
    <i t="data" r="0" i="0">
      <x v="2"/>
    </i>
    <i t="grand" r="0" i="0">
      <x v="0"/>
    </i>
  </colItems>
  <dataFields count="1">
    <dataField name="合計 / 残高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テーブル1" displayName="テーブル1" ref="A4:J309" headerRowCount="1" totalsRowShown="0" headerRowBorderDxfId="12" tableBorderDxfId="11">
  <autoFilter ref="A4:J309"/>
  <tableColumns count="10">
    <tableColumn id="1" name="伝票№" dataDxfId="10"/>
    <tableColumn id="2" name="月" dataDxfId="9"/>
    <tableColumn id="3" name="日" dataDxfId="8"/>
    <tableColumn id="4" name="摘要" dataDxfId="7"/>
    <tableColumn id="5" name="ｺｰﾄﾞ" dataDxfId="6" dataCellStyle="桁区切り"/>
    <tableColumn id="6" name="借方科目" dataDxfId="5">
      <calculatedColumnFormula>IF(E5="","",IF(ISNA(VLOOKUP(E5,科目コード表!$C$4:$D$67,2,FALSE)),"該当科目なし",VLOOKUP(E5,科目コード表!$C$4:$D$67,2,FALSE)))</calculatedColumnFormula>
    </tableColumn>
    <tableColumn id="7" name="金額" dataDxfId="4" dataCellStyle="桁区切り"/>
    <tableColumn id="8" name="ｺｰﾄﾞ2" dataDxfId="3"/>
    <tableColumn id="9" name="貸方科目" dataDxfId="2">
      <calculatedColumnFormula>IF(H5="","",IF(ISNA(VLOOKUP(H5,科目コード表!$C$4:$D$67,2,FALSE)),"該当科目なし",VLOOKUP(H5,科目コード表!$C$4:$D$67,2,FALSE)))</calculatedColumnFormula>
    </tableColumn>
    <tableColumn id="10" name="金額3" dataDxfId="1" dataCellStyle="桁区切り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tabColor indexed="41"/>
    <outlinePr summaryBelow="1" summaryRight="1"/>
    <pageSetUpPr fitToPage="1"/>
  </sheetPr>
  <dimension ref="A1:BW336"/>
  <sheetViews>
    <sheetView showGridLines="0" showZeros="0" workbookViewId="0">
      <pane xSplit="3" ySplit="4" topLeftCell="D18" activePane="bottomRight" state="frozen"/>
      <selection pane="topRight" activeCell="D1" sqref="D1"/>
      <selection pane="bottomLeft" activeCell="A5" sqref="A5"/>
      <selection pane="bottomRight" activeCell="J25" sqref="J25"/>
    </sheetView>
  </sheetViews>
  <sheetFormatPr baseColWidth="8" defaultColWidth="9" defaultRowHeight="13.5"/>
  <cols>
    <col width="8" customWidth="1" style="3" min="1" max="1"/>
    <col width="4.5" customWidth="1" style="3" min="2" max="3"/>
    <col width="22.5" customWidth="1" style="3" min="4" max="4"/>
    <col width="6" customWidth="1" style="3" min="5" max="5"/>
    <col width="10" customWidth="1" style="3" min="6" max="7"/>
    <col width="6.875" customWidth="1" style="3" min="8" max="8"/>
    <col width="10" customWidth="1" style="3" min="9" max="10"/>
    <col width="1.75" customWidth="1" style="3" min="11" max="11"/>
    <col hidden="1" width="9" customWidth="1" style="41" min="12" max="12"/>
    <col width="9" customWidth="1" style="41" min="13" max="13"/>
    <col hidden="1" width="9" customWidth="1" style="41" min="14" max="15"/>
    <col width="9" customWidth="1" style="41" min="16" max="26"/>
    <col hidden="1" width="9" customWidth="1" style="41" min="27" max="29"/>
    <col width="9" customWidth="1" style="41" min="30" max="31"/>
    <col hidden="1" width="9" customWidth="1" style="41" min="32" max="32"/>
    <col width="9" customWidth="1" style="41" min="33" max="40"/>
    <col hidden="1" width="9" customWidth="1" style="41" min="41" max="41"/>
    <col width="9" customWidth="1" style="41" min="42" max="42"/>
    <col hidden="1" width="9" customWidth="1" style="41" min="43" max="43"/>
    <col width="9" customWidth="1" style="41" min="44" max="44"/>
    <col hidden="1" width="9" customWidth="1" style="41" min="45" max="47"/>
    <col width="9" customWidth="1" style="41" min="48" max="48"/>
    <col hidden="1" width="9" customWidth="1" style="41" min="49" max="49"/>
    <col width="9" customWidth="1" style="41" min="50" max="50"/>
    <col hidden="1" width="9" customWidth="1" style="41" min="51" max="52"/>
    <col width="9" customWidth="1" style="41" min="53" max="57"/>
    <col hidden="1" width="9" customWidth="1" style="41" min="58" max="59"/>
    <col width="9" customWidth="1" style="41" min="60" max="61"/>
    <col hidden="1" width="9" customWidth="1" style="41" min="62" max="62"/>
    <col width="9" customWidth="1" style="41" min="63" max="63"/>
    <col hidden="1" width="9" customWidth="1" style="41" min="64" max="64"/>
    <col width="9" customWidth="1" style="41" min="65" max="67"/>
    <col hidden="1" width="9" customWidth="1" style="41" min="68" max="68"/>
    <col width="9" customWidth="1" style="41" min="69" max="69"/>
    <col hidden="1" width="9" customWidth="1" style="41" min="70" max="70"/>
    <col width="9" customWidth="1" style="41" min="71" max="71"/>
    <col hidden="1" width="9" customWidth="1" style="41" min="72" max="72"/>
    <col width="12.375" customWidth="1" style="41" min="73" max="73"/>
    <col width="12.625" customWidth="1" style="41" min="74" max="74"/>
    <col width="2.375" customWidth="1" style="41" min="75" max="75"/>
    <col width="2.375" customWidth="1" style="3" min="76" max="85"/>
    <col width="9" customWidth="1" style="3" min="86" max="86"/>
    <col width="9" customWidth="1" style="3" min="87" max="16384"/>
  </cols>
  <sheetData>
    <row r="1">
      <c r="A1" s="2" t="n">
        <v>2026</v>
      </c>
      <c r="B1" s="2" t="inlineStr">
        <is>
          <t>年</t>
        </is>
      </c>
      <c r="I1" s="4" t="n"/>
    </row>
    <row r="2" ht="16.5" customHeight="1" s="214" thickBot="1">
      <c r="D2" s="5" t="n"/>
      <c r="E2" s="218" t="inlineStr">
        <is>
          <t>簡 単 仕 訳 帳</t>
        </is>
      </c>
      <c r="F2" s="219" t="n"/>
      <c r="G2" s="219" t="n"/>
      <c r="H2" s="6" t="n"/>
      <c r="I2" s="4" t="n"/>
      <c r="L2" s="95" t="inlineStr">
        <is>
          <t>元帳兼仕訳帳</t>
        </is>
      </c>
      <c r="P2" s="95" t="inlineStr">
        <is>
          <t>元帳兼精算表</t>
        </is>
      </c>
    </row>
    <row r="3" ht="12" customHeight="1" s="214" thickTop="1">
      <c r="L3" s="233" t="n">
        <v>501</v>
      </c>
      <c r="M3" s="234" t="n">
        <v>502</v>
      </c>
      <c r="N3" s="234" t="n">
        <v>503</v>
      </c>
      <c r="O3" s="234" t="n">
        <v>504</v>
      </c>
      <c r="P3" s="234" t="n">
        <v>505</v>
      </c>
      <c r="Q3" s="234" t="n">
        <v>506</v>
      </c>
      <c r="R3" s="234" t="n">
        <v>507</v>
      </c>
      <c r="S3" s="234" t="n">
        <v>508</v>
      </c>
      <c r="T3" s="234" t="n">
        <v>509</v>
      </c>
      <c r="U3" s="234" t="n">
        <v>510</v>
      </c>
      <c r="V3" s="234" t="n">
        <v>511</v>
      </c>
      <c r="W3" s="234" t="n">
        <v>512</v>
      </c>
      <c r="X3" s="234" t="n">
        <v>513</v>
      </c>
      <c r="Y3" s="234" t="n">
        <v>514</v>
      </c>
      <c r="Z3" s="234" t="n">
        <v>515</v>
      </c>
      <c r="AA3" s="234" t="n">
        <v>516</v>
      </c>
      <c r="AB3" s="234" t="n">
        <v>517</v>
      </c>
      <c r="AC3" s="234" t="n">
        <v>518</v>
      </c>
      <c r="AD3" s="234" t="n">
        <v>519</v>
      </c>
      <c r="AE3" s="234" t="n">
        <v>520</v>
      </c>
      <c r="AF3" s="234" t="n">
        <v>521</v>
      </c>
      <c r="AG3" s="234" t="n">
        <v>522</v>
      </c>
      <c r="AH3" s="234" t="n">
        <v>523</v>
      </c>
      <c r="AI3" s="234" t="n">
        <v>524</v>
      </c>
      <c r="AJ3" s="234" t="n">
        <v>525</v>
      </c>
      <c r="AK3" s="234" t="n">
        <v>526</v>
      </c>
      <c r="AL3" s="235" t="n">
        <v>530</v>
      </c>
      <c r="AM3" s="236" t="n">
        <v>401</v>
      </c>
      <c r="AN3" s="237" t="n">
        <v>402</v>
      </c>
      <c r="AO3" s="238" t="n">
        <v>403</v>
      </c>
      <c r="AP3" s="239" t="n">
        <v>101</v>
      </c>
      <c r="AQ3" s="240" t="n">
        <v>102</v>
      </c>
      <c r="AR3" s="240" t="n">
        <v>103</v>
      </c>
      <c r="AS3" s="240" t="n">
        <v>104</v>
      </c>
      <c r="AT3" s="240" t="n">
        <v>105</v>
      </c>
      <c r="AU3" s="240" t="n">
        <v>106</v>
      </c>
      <c r="AV3" s="240" t="n">
        <v>107</v>
      </c>
      <c r="AW3" s="240" t="n">
        <v>108</v>
      </c>
      <c r="AX3" s="240" t="n">
        <v>109</v>
      </c>
      <c r="AY3" s="240" t="n">
        <v>110</v>
      </c>
      <c r="AZ3" s="240" t="n">
        <v>111</v>
      </c>
      <c r="BA3" s="240" t="n">
        <v>112</v>
      </c>
      <c r="BB3" s="240" t="n">
        <v>113</v>
      </c>
      <c r="BC3" s="240" t="n">
        <v>114</v>
      </c>
      <c r="BD3" s="240" t="n">
        <v>121</v>
      </c>
      <c r="BE3" s="240" t="n">
        <v>122</v>
      </c>
      <c r="BF3" s="240" t="n">
        <v>123</v>
      </c>
      <c r="BG3" s="240" t="n">
        <v>124</v>
      </c>
      <c r="BH3" s="240" t="n">
        <v>125</v>
      </c>
      <c r="BI3" s="240" t="n">
        <v>126</v>
      </c>
      <c r="BJ3" s="240" t="n">
        <v>127</v>
      </c>
      <c r="BK3" s="240" t="n">
        <v>128</v>
      </c>
      <c r="BL3" s="241" t="n">
        <v>201</v>
      </c>
      <c r="BM3" s="242" t="n">
        <v>202</v>
      </c>
      <c r="BN3" s="242" t="n">
        <v>203</v>
      </c>
      <c r="BO3" s="242" t="n">
        <v>204</v>
      </c>
      <c r="BP3" s="242" t="n">
        <v>205</v>
      </c>
      <c r="BQ3" s="242" t="n">
        <v>206</v>
      </c>
      <c r="BR3" s="242" t="n">
        <v>207</v>
      </c>
      <c r="BS3" s="242" t="n">
        <v>208</v>
      </c>
      <c r="BT3" s="242" t="n">
        <v>209</v>
      </c>
      <c r="BU3" s="243" t="n">
        <v>301</v>
      </c>
      <c r="BV3" s="244" t="n">
        <v>302</v>
      </c>
    </row>
    <row r="4" ht="15.75" customHeight="1" s="214" thickBot="1">
      <c r="A4" s="197" t="inlineStr">
        <is>
          <t>伝票№</t>
        </is>
      </c>
      <c r="B4" s="198" t="inlineStr">
        <is>
          <t>月</t>
        </is>
      </c>
      <c r="C4" s="199" t="inlineStr">
        <is>
          <t>日</t>
        </is>
      </c>
      <c r="D4" s="200" t="inlineStr">
        <is>
          <t>摘要</t>
        </is>
      </c>
      <c r="E4" s="201" t="inlineStr">
        <is>
          <t>ｺｰﾄﾞ</t>
        </is>
      </c>
      <c r="F4" s="202" t="inlineStr">
        <is>
          <t>借方科目</t>
        </is>
      </c>
      <c r="G4" s="203" t="inlineStr">
        <is>
          <t>金額</t>
        </is>
      </c>
      <c r="H4" s="201" t="inlineStr">
        <is>
          <t>ｺｰﾄﾞ2</t>
        </is>
      </c>
      <c r="I4" s="202" t="inlineStr">
        <is>
          <t>貸方科目</t>
        </is>
      </c>
      <c r="J4" s="204" t="inlineStr">
        <is>
          <t>金額3</t>
        </is>
      </c>
      <c r="L4" s="61">
        <f>IF(L$3="","",IF(ISNA(VLOOKUP(L$3,科目コード表!$C$4:$D$67,2,FALSE)),"該当科目なし",VLOOKUP(L$3,科目コード表!$C$4:$D$67,2,FALSE)))</f>
        <v/>
      </c>
      <c r="M4" s="62">
        <f>IF(M$3="","",IF(ISNA(VLOOKUP(M$3,科目コード表!$C$4:$D$67,2,FALSE)),"該当科目なし",VLOOKUP(M$3,科目コード表!$C$4:$D$67,2,FALSE)))</f>
        <v/>
      </c>
      <c r="N4" s="62">
        <f>IF(N$3="","",IF(ISNA(VLOOKUP(N$3,科目コード表!$C$4:$D$67,2,FALSE)),"該当科目なし",VLOOKUP(N$3,科目コード表!$C$4:$D$67,2,FALSE)))</f>
        <v/>
      </c>
      <c r="O4" s="62">
        <f>IF(O$3="","",IF(ISNA(VLOOKUP(O$3,科目コード表!$C$4:$D$67,2,FALSE)),"該当科目なし",VLOOKUP(O$3,科目コード表!$C$4:$D$67,2,FALSE)))</f>
        <v/>
      </c>
      <c r="P4" s="62">
        <f>IF(P$3="","",IF(ISNA(VLOOKUP(P$3,科目コード表!$C$4:$D$67,2,FALSE)),"該当科目なし",VLOOKUP(P$3,科目コード表!$C$4:$D$67,2,FALSE)))</f>
        <v/>
      </c>
      <c r="Q4" s="62">
        <f>IF(Q$3="","",IF(ISNA(VLOOKUP(Q$3,科目コード表!$C$4:$D$67,2,FALSE)),"該当科目なし",VLOOKUP(Q$3,科目コード表!$C$4:$D$67,2,FALSE)))</f>
        <v/>
      </c>
      <c r="R4" s="62">
        <f>IF(R$3="","",IF(ISNA(VLOOKUP(R$3,科目コード表!$C$4:$D$67,2,FALSE)),"該当科目なし",VLOOKUP(R$3,科目コード表!$C$4:$D$67,2,FALSE)))</f>
        <v/>
      </c>
      <c r="S4" s="62">
        <f>IF(S$3="","",IF(ISNA(VLOOKUP(S$3,科目コード表!$C$4:$D$67,2,FALSE)),"該当科目なし",VLOOKUP(S$3,科目コード表!$C$4:$D$67,2,FALSE)))</f>
        <v/>
      </c>
      <c r="T4" s="62">
        <f>IF(T$3="","",IF(ISNA(VLOOKUP(T$3,科目コード表!$C$4:$D$67,2,FALSE)),"該当科目なし",VLOOKUP(T$3,科目コード表!$C$4:$D$67,2,FALSE)))</f>
        <v/>
      </c>
      <c r="U4" s="62">
        <f>IF(U$3="","",IF(ISNA(VLOOKUP(U$3,科目コード表!$C$4:$D$67,2,FALSE)),"該当科目なし",VLOOKUP(U$3,科目コード表!$C$4:$D$67,2,FALSE)))</f>
        <v/>
      </c>
      <c r="V4" s="62">
        <f>IF(V$3="","",IF(ISNA(VLOOKUP(V$3,科目コード表!$C$4:$D$67,2,FALSE)),"該当科目なし",VLOOKUP(V$3,科目コード表!$C$4:$D$67,2,FALSE)))</f>
        <v/>
      </c>
      <c r="W4" s="62">
        <f>IF(W$3="","",IF(ISNA(VLOOKUP(W$3,科目コード表!$C$4:$D$67,2,FALSE)),"該当科目なし",VLOOKUP(W$3,科目コード表!$C$4:$D$67,2,FALSE)))</f>
        <v/>
      </c>
      <c r="X4" s="62">
        <f>IF(X$3="","",IF(ISNA(VLOOKUP(X$3,科目コード表!$C$4:$D$67,2,FALSE)),"該当科目なし",VLOOKUP(X$3,科目コード表!$C$4:$D$67,2,FALSE)))</f>
        <v/>
      </c>
      <c r="Y4" s="62">
        <f>IF(Y$3="","",IF(ISNA(VLOOKUP(Y$3,科目コード表!$C$4:$D$67,2,FALSE)),"該当科目なし",VLOOKUP(Y$3,科目コード表!$C$4:$D$67,2,FALSE)))</f>
        <v/>
      </c>
      <c r="Z4" s="62">
        <f>IF(Z$3="","",IF(ISNA(VLOOKUP(Z$3,科目コード表!$C$4:$D$67,2,FALSE)),"該当科目なし",VLOOKUP(Z$3,科目コード表!$C$4:$D$67,2,FALSE)))</f>
        <v/>
      </c>
      <c r="AA4" s="62">
        <f>IF(AA$3="","",IF(ISNA(VLOOKUP(AA$3,科目コード表!$C$4:$D$67,2,FALSE)),"該当科目なし",VLOOKUP(AA$3,科目コード表!$C$4:$D$67,2,FALSE)))</f>
        <v/>
      </c>
      <c r="AB4" s="62">
        <f>IF(AB$3="","",IF(ISNA(VLOOKUP(AB$3,科目コード表!$C$4:$D$67,2,FALSE)),"該当科目なし",VLOOKUP(AB$3,科目コード表!$C$4:$D$67,2,FALSE)))</f>
        <v/>
      </c>
      <c r="AC4" s="62">
        <f>IF(AC$3="","",IF(ISNA(VLOOKUP(AC$3,科目コード表!$C$4:$D$67,2,FALSE)),"該当科目なし",VLOOKUP(AC$3,科目コード表!$C$4:$D$67,2,FALSE)))</f>
        <v/>
      </c>
      <c r="AD4" s="62">
        <f>IF(AD$3="","",IF(ISNA(VLOOKUP(AD$3,科目コード表!$C$4:$D$67,2,FALSE)),"該当科目なし",VLOOKUP(AD$3,科目コード表!$C$4:$D$67,2,FALSE)))</f>
        <v/>
      </c>
      <c r="AE4" s="62">
        <f>IF(AE$3="","",IF(ISNA(VLOOKUP(AE$3,科目コード表!$C$4:$D$67,2,FALSE)),"該当科目なし",VLOOKUP(AE$3,科目コード表!$C$4:$D$67,2,FALSE)))</f>
        <v/>
      </c>
      <c r="AF4" s="62">
        <f>IF(AF$3="","",IF(ISNA(VLOOKUP(AF$3,科目コード表!$C$4:$D$67,2,FALSE)),"該当科目なし",VLOOKUP(AF$3,科目コード表!$C$4:$D$67,2,FALSE)))</f>
        <v/>
      </c>
      <c r="AG4" s="62">
        <f>IF(AG$3="","",IF(ISNA(VLOOKUP(AG$3,科目コード表!$C$4:$D$67,2,FALSE)),"該当科目なし",VLOOKUP(AG$3,科目コード表!$C$4:$D$67,2,FALSE)))</f>
        <v/>
      </c>
      <c r="AH4" s="62">
        <f>IF(AH$3="","",IF(ISNA(VLOOKUP(AH$3,科目コード表!$C$4:$D$67,2,FALSE)),"該当科目なし",VLOOKUP(AH$3,科目コード表!$C$4:$D$67,2,FALSE)))</f>
        <v/>
      </c>
      <c r="AI4" s="62">
        <f>IF(AI$3="","",IF(ISNA(VLOOKUP(AI$3,科目コード表!$C$4:$D$67,2,FALSE)),"該当科目なし",VLOOKUP(AI$3,科目コード表!$C$4:$D$67,2,FALSE)))</f>
        <v/>
      </c>
      <c r="AJ4" s="62">
        <f>IF(AJ$3="","",IF(ISNA(VLOOKUP(AJ$3,科目コード表!$C$4:$D$67,2,FALSE)),"該当科目なし",VLOOKUP(AJ$3,科目コード表!$C$4:$D$67,2,FALSE)))</f>
        <v/>
      </c>
      <c r="AK4" s="62">
        <f>IF(AK$3="","",IF(ISNA(VLOOKUP(AK$3,科目コード表!$C$4:$D$67,2,FALSE)),"該当科目なし",VLOOKUP(AK$3,科目コード表!$C$4:$D$67,2,FALSE)))</f>
        <v/>
      </c>
      <c r="AL4" s="63">
        <f>IF(AL$3="","",IF(ISNA(VLOOKUP(AL$3,科目コード表!$C$4:$D$67,2,FALSE)),"該当科目なし",VLOOKUP(AL$3,科目コード表!$C$4:$D$67,2,FALSE)))</f>
        <v/>
      </c>
      <c r="AM4" s="64">
        <f>IF(AM$3="","",IF(ISNA(VLOOKUP(AM$3,科目コード表!$C$4:$D$67,2,FALSE)),"該当科目なし",VLOOKUP(AM$3,科目コード表!$C$4:$D$67,2,FALSE)))</f>
        <v/>
      </c>
      <c r="AN4" s="65">
        <f>IF(AN$3="","",IF(ISNA(VLOOKUP(AN$3,科目コード表!$C$4:$D$67,2,FALSE)),"該当科目なし",VLOOKUP(AN$3,科目コード表!$C$4:$D$67,2,FALSE)))</f>
        <v/>
      </c>
      <c r="AO4" s="66">
        <f>IF(AO$3="","",IF(ISNA(VLOOKUP(AO$3,科目コード表!$C$4:$D$67,2,FALSE)),"該当科目なし",VLOOKUP(AO$3,科目コード表!$C$4:$D$67,2,FALSE)))</f>
        <v/>
      </c>
      <c r="AP4" s="67">
        <f>IF(AP$3="","",IF(ISNA(VLOOKUP(AP$3,科目コード表!$C$4:$D$67,2,FALSE)),"該当科目なし",VLOOKUP(AP$3,科目コード表!$C$4:$D$67,2,FALSE)))</f>
        <v/>
      </c>
      <c r="AQ4" s="68">
        <f>IF(AQ$3="","",IF(ISNA(VLOOKUP(AQ$3,科目コード表!$C$4:$D$67,2,FALSE)),"該当科目なし",VLOOKUP(AQ$3,科目コード表!$C$4:$D$67,2,FALSE)))</f>
        <v/>
      </c>
      <c r="AR4" s="68">
        <f>IF(AR$3="","",IF(ISNA(VLOOKUP(AR$3,科目コード表!$C$4:$D$67,2,FALSE)),"該当科目なし",VLOOKUP(AR$3,科目コード表!$C$4:$D$67,2,FALSE)))</f>
        <v/>
      </c>
      <c r="AS4" s="68">
        <f>IF(AS$3="","",IF(ISNA(VLOOKUP(AS$3,科目コード表!$C$4:$D$67,2,FALSE)),"該当科目なし",VLOOKUP(AS$3,科目コード表!$C$4:$D$67,2,FALSE)))</f>
        <v/>
      </c>
      <c r="AT4" s="68">
        <f>IF(AT$3="","",IF(ISNA(VLOOKUP(AT$3,科目コード表!$C$4:$D$67,2,FALSE)),"該当科目なし",VLOOKUP(AT$3,科目コード表!$C$4:$D$67,2,FALSE)))</f>
        <v/>
      </c>
      <c r="AU4" s="68">
        <f>IF(AU$3="","",IF(ISNA(VLOOKUP(AU$3,科目コード表!$C$4:$D$67,2,FALSE)),"該当科目なし",VLOOKUP(AU$3,科目コード表!$C$4:$D$67,2,FALSE)))</f>
        <v/>
      </c>
      <c r="AV4" s="68">
        <f>IF(AV$3="","",IF(ISNA(VLOOKUP(AV$3,科目コード表!$C$4:$D$67,2,FALSE)),"該当科目なし",VLOOKUP(AV$3,科目コード表!$C$4:$D$67,2,FALSE)))</f>
        <v/>
      </c>
      <c r="AW4" s="68">
        <f>IF(AW$3="","",IF(ISNA(VLOOKUP(AW$3,科目コード表!$C$4:$D$67,2,FALSE)),"該当科目なし",VLOOKUP(AW$3,科目コード表!$C$4:$D$67,2,FALSE)))</f>
        <v/>
      </c>
      <c r="AX4" s="68">
        <f>IF(AX$3="","",IF(ISNA(VLOOKUP(AX$3,科目コード表!$C$4:$D$67,2,FALSE)),"該当科目なし",VLOOKUP(AX$3,科目コード表!$C$4:$D$67,2,FALSE)))</f>
        <v/>
      </c>
      <c r="AY4" s="68">
        <f>IF(AY$3="","",IF(ISNA(VLOOKUP(AY$3,科目コード表!$C$4:$D$67,2,FALSE)),"該当科目なし",VLOOKUP(AY$3,科目コード表!$C$4:$D$67,2,FALSE)))</f>
        <v/>
      </c>
      <c r="AZ4" s="68">
        <f>IF(AZ$3="","",IF(ISNA(VLOOKUP(AZ$3,科目コード表!$C$4:$D$67,2,FALSE)),"該当科目なし",VLOOKUP(AZ$3,科目コード表!$C$4:$D$67,2,FALSE)))</f>
        <v/>
      </c>
      <c r="BA4" s="68">
        <f>IF(BA$3="","",IF(ISNA(VLOOKUP(BA$3,科目コード表!$C$4:$D$67,2,FALSE)),"該当科目なし",VLOOKUP(BA$3,科目コード表!$C$4:$D$67,2,FALSE)))</f>
        <v/>
      </c>
      <c r="BB4" s="68">
        <f>IF(BB$3="","",IF(ISNA(VLOOKUP(BB$3,科目コード表!$C$4:$D$67,2,FALSE)),"該当科目なし",VLOOKUP(BB$3,科目コード表!$C$4:$D$67,2,FALSE)))</f>
        <v/>
      </c>
      <c r="BC4" s="68">
        <f>IF(BC$3="","",IF(ISNA(VLOOKUP(BC$3,科目コード表!$C$4:$D$67,2,FALSE)),"該当科目なし",VLOOKUP(BC$3,科目コード表!$C$4:$D$67,2,FALSE)))</f>
        <v/>
      </c>
      <c r="BD4" s="68">
        <f>IF(BD$3="","",IF(ISNA(VLOOKUP(BD$3,科目コード表!$C$4:$D$67,2,FALSE)),"該当科目なし",VLOOKUP(BD$3,科目コード表!$C$4:$D$67,2,FALSE)))</f>
        <v/>
      </c>
      <c r="BE4" s="68">
        <f>IF(BE$3="","",IF(ISNA(VLOOKUP(BE$3,科目コード表!$C$4:$D$67,2,FALSE)),"該当科目なし",VLOOKUP(BE$3,科目コード表!$C$4:$D$67,2,FALSE)))</f>
        <v/>
      </c>
      <c r="BF4" s="68">
        <f>IF(BF$3="","",IF(ISNA(VLOOKUP(BF$3,科目コード表!$C$4:$D$67,2,FALSE)),"該当科目なし",VLOOKUP(BF$3,科目コード表!$C$4:$D$67,2,FALSE)))</f>
        <v/>
      </c>
      <c r="BG4" s="68">
        <f>IF(BG$3="","",IF(ISNA(VLOOKUP(BG$3,科目コード表!$C$4:$D$67,2,FALSE)),"該当科目なし",VLOOKUP(BG$3,科目コード表!$C$4:$D$67,2,FALSE)))</f>
        <v/>
      </c>
      <c r="BH4" s="68">
        <f>IF(BH$3="","",IF(ISNA(VLOOKUP(BH$3,科目コード表!$C$4:$D$67,2,FALSE)),"該当科目なし",VLOOKUP(BH$3,科目コード表!$C$4:$D$67,2,FALSE)))</f>
        <v/>
      </c>
      <c r="BI4" s="68">
        <f>IF(BI$3="","",IF(ISNA(VLOOKUP(BI$3,科目コード表!$C$4:$D$67,2,FALSE)),"該当科目なし",VLOOKUP(BI$3,科目コード表!$C$4:$D$67,2,FALSE)))</f>
        <v/>
      </c>
      <c r="BJ4" s="68">
        <f>IF(BJ$3="","",IF(ISNA(VLOOKUP(BJ$3,科目コード表!$C$4:$D$67,2,FALSE)),"該当科目なし",VLOOKUP(BJ$3,科目コード表!$C$4:$D$67,2,FALSE)))</f>
        <v/>
      </c>
      <c r="BK4" s="68">
        <f>IF(BK$3="","",IF(ISNA(VLOOKUP(BK$3,科目コード表!$C$4:$D$67,2,FALSE)),"該当科目なし",VLOOKUP(BK$3,科目コード表!$C$4:$D$67,2,FALSE)))</f>
        <v/>
      </c>
      <c r="BL4" s="69">
        <f>IF(BL$3="","",IF(ISNA(VLOOKUP(BL$3,科目コード表!$C$4:$D$67,2,FALSE)),"該当科目なし",VLOOKUP(BL$3,科目コード表!$C$4:$D$67,2,FALSE)))</f>
        <v/>
      </c>
      <c r="BM4" s="70">
        <f>IF(BM$3="","",IF(ISNA(VLOOKUP(BM$3,科目コード表!$C$4:$D$67,2,FALSE)),"該当科目なし",VLOOKUP(BM$3,科目コード表!$C$4:$D$67,2,FALSE)))</f>
        <v/>
      </c>
      <c r="BN4" s="70">
        <f>IF(BN$3="","",IF(ISNA(VLOOKUP(BN$3,科目コード表!$C$4:$D$67,2,FALSE)),"該当科目なし",VLOOKUP(BN$3,科目コード表!$C$4:$D$67,2,FALSE)))</f>
        <v/>
      </c>
      <c r="BO4" s="70">
        <f>IF(BO$3="","",IF(ISNA(VLOOKUP(BO$3,科目コード表!$C$4:$D$67,2,FALSE)),"該当科目なし",VLOOKUP(BO$3,科目コード表!$C$4:$D$67,2,FALSE)))</f>
        <v/>
      </c>
      <c r="BP4" s="70">
        <f>IF(BP$3="","",IF(ISNA(VLOOKUP(BP$3,科目コード表!$C$4:$D$67,2,FALSE)),"該当科目なし",VLOOKUP(BP$3,科目コード表!$C$4:$D$67,2,FALSE)))</f>
        <v/>
      </c>
      <c r="BQ4" s="70">
        <f>IF(BQ$3="","",IF(ISNA(VLOOKUP(BQ$3,科目コード表!$C$4:$D$67,2,FALSE)),"該当科目なし",VLOOKUP(BQ$3,科目コード表!$C$4:$D$67,2,FALSE)))</f>
        <v/>
      </c>
      <c r="BR4" s="70">
        <f>IF(BR$3="","",IF(ISNA(VLOOKUP(BR$3,科目コード表!$C$4:$D$67,2,FALSE)),"該当科目なし",VLOOKUP(BR$3,科目コード表!$C$4:$D$67,2,FALSE)))</f>
        <v/>
      </c>
      <c r="BS4" s="70">
        <f>IF(BS$3="","",IF(ISNA(VLOOKUP(BS$3,科目コード表!$C$4:$D$67,2,FALSE)),"該当科目なし",VLOOKUP(BS$3,科目コード表!$C$4:$D$67,2,FALSE)))</f>
        <v/>
      </c>
      <c r="BT4" s="70">
        <f>IF(BT$3="","",IF(ISNA(VLOOKUP(BT$3,科目コード表!$C$4:$D$67,2,FALSE)),"該当科目なし",VLOOKUP(BT$3,科目コード表!$C$4:$D$67,2,FALSE)))</f>
        <v/>
      </c>
      <c r="BU4" s="71">
        <f>IF(BU$3="","",IF(ISNA(VLOOKUP(BU$3,科目コード表!$C$4:$D$67,2,FALSE)),"該当科目なし",VLOOKUP(BU$3,科目コード表!$C$4:$D$67,2,FALSE)))</f>
        <v/>
      </c>
      <c r="BV4" s="72">
        <f>IF(BV$3="","",IF(ISNA(VLOOKUP(BV$3,科目コード表!$C$4:$D$67,2,FALSE)),"該当科目なし",VLOOKUP(BV$3,科目コード表!$C$4:$D$67,2,FALSE)))</f>
        <v/>
      </c>
    </row>
    <row r="5" ht="15.75" customFormat="1" customHeight="1" s="17" thickTop="1">
      <c r="A5" s="12" t="n"/>
      <c r="B5" s="13" t="n">
        <v>1</v>
      </c>
      <c r="C5" s="14" t="n">
        <v>1</v>
      </c>
      <c r="D5" s="15" t="inlineStr">
        <is>
          <t>前年繰越 現金</t>
        </is>
      </c>
      <c r="E5" s="245" t="n">
        <v>101</v>
      </c>
      <c r="F5" s="16">
        <f>IF(E5="","",IF(ISNA(VLOOKUP(E5,科目コード表!$C$4:$D$67,2,FALSE)),"該当科目なし",VLOOKUP(E5,科目コード表!$C$4:$D$67,2,FALSE)))</f>
        <v/>
      </c>
      <c r="G5" s="37" t="n">
        <v>1046520</v>
      </c>
      <c r="H5" s="246" t="n"/>
      <c r="I5" s="16">
        <f>IF(H5="","",IF(ISNA(VLOOKUP(H5,科目コード表!$C$4:$D$67,2,FALSE)),"該当科目なし",VLOOKUP(H5,科目コード表!$C$4:$D$67,2,FALSE)))</f>
        <v/>
      </c>
      <c r="J5" s="39" t="n"/>
      <c r="L5" s="42">
        <f>IF($E5=L$3,$G5,0)-IF($H5=L$3,$J5,0)</f>
        <v/>
      </c>
      <c r="M5" s="43">
        <f>IF($E5=M$3,$G5,0)-IF($H5=M$3,$J5,0)</f>
        <v/>
      </c>
      <c r="N5" s="43">
        <f>IF($E5=N$3,$G5,0)-IF($H5=N$3,$J5,0)</f>
        <v/>
      </c>
      <c r="O5" s="43">
        <f>IF($E5=O$3,$G5,0)-IF($H5=O$3,$J5,0)</f>
        <v/>
      </c>
      <c r="P5" s="43">
        <f>IF($E5=P$3,$G5,0)-IF($H5=P$3,$J5,0)</f>
        <v/>
      </c>
      <c r="Q5" s="43">
        <f>IF($E5=Q$3,$G5,0)-IF($H5=Q$3,$J5,0)</f>
        <v/>
      </c>
      <c r="R5" s="43">
        <f>IF($E5=R$3,$G5,0)-IF($H5=R$3,$J5,0)</f>
        <v/>
      </c>
      <c r="S5" s="43">
        <f>IF($E5=S$3,$G5,0)-IF($H5=S$3,$J5,0)</f>
        <v/>
      </c>
      <c r="T5" s="43">
        <f>IF($E5=T$3,$G5,0)-IF($H5=T$3,$J5,0)</f>
        <v/>
      </c>
      <c r="U5" s="43">
        <f>IF($E5=U$3,$G5,0)-IF($H5=U$3,$J5,0)</f>
        <v/>
      </c>
      <c r="V5" s="43">
        <f>IF($E5=V$3,$G5,0)-IF($H5=V$3,$J5,0)</f>
        <v/>
      </c>
      <c r="W5" s="43">
        <f>IF($E5=W$3,$G5,0)-IF($H5=W$3,$J5,0)</f>
        <v/>
      </c>
      <c r="X5" s="43">
        <f>IF($E5=X$3,$G5,0)-IF($H5=X$3,$J5,0)</f>
        <v/>
      </c>
      <c r="Y5" s="43">
        <f>IF($E5=Y$3,$G5,0)-IF($H5=Y$3,$J5,0)</f>
        <v/>
      </c>
      <c r="Z5" s="43">
        <f>IF($E5=Z$3,$G5,0)-IF($H5=Z$3,$J5,0)</f>
        <v/>
      </c>
      <c r="AA5" s="43">
        <f>IF($E5=AA$3,$G5,0)-IF($H5=AA$3,$J5,0)</f>
        <v/>
      </c>
      <c r="AB5" s="43">
        <f>IF($E5=AB$3,$G5,0)-IF($H5=AB$3,$J5,0)</f>
        <v/>
      </c>
      <c r="AC5" s="43">
        <f>IF($E5=AC$3,$G5,0)-IF($H5=AC$3,$J5,0)</f>
        <v/>
      </c>
      <c r="AD5" s="43">
        <f>IF($E5=AD$3,$G5,0)-IF($H5=AD$3,$J5,0)</f>
        <v/>
      </c>
      <c r="AE5" s="43">
        <f>IF($E5=AE$3,$G5,0)-IF($H5=AE$3,$J5,0)</f>
        <v/>
      </c>
      <c r="AF5" s="43">
        <f>IF($E5=AF$3,$G5,0)-IF($H5=AF$3,$J5,0)</f>
        <v/>
      </c>
      <c r="AG5" s="43">
        <f>IF($E5=AG$3,$G5,0)-IF($H5=AG$3,$J5,0)</f>
        <v/>
      </c>
      <c r="AH5" s="43">
        <f>IF($E5=AH$3,$G5,0)-IF($H5=AH$3,$J5,0)</f>
        <v/>
      </c>
      <c r="AI5" s="43">
        <f>IF($E5=AI$3,$G5,0)-IF($H5=AI$3,$J5,0)</f>
        <v/>
      </c>
      <c r="AJ5" s="43">
        <f>IF($E5=AJ$3,$G5,0)-IF($H5=AJ$3,$J5,0)</f>
        <v/>
      </c>
      <c r="AK5" s="43">
        <f>IF($E5=AK$3,$G5,0)-IF($H5=AK$3,$J5,0)</f>
        <v/>
      </c>
      <c r="AL5" s="44">
        <f>IF($E5=AL$3,$G5,0)-IF($H5=AL$3,$J5,0)</f>
        <v/>
      </c>
      <c r="AM5" s="42">
        <f>-IF($E5=AM$3,$G5,0)+IF($H5=AM$3,$J5,0)</f>
        <v/>
      </c>
      <c r="AN5" s="43">
        <f>-IF($E5=AN$3,$G5,0)+IF($H5=AN$3,$J5,0)</f>
        <v/>
      </c>
      <c r="AO5" s="44">
        <f>-IF($E5=AO$3,$G5,0)+IF($H5=AO$3,$J5,0)</f>
        <v/>
      </c>
      <c r="AP5" s="42">
        <f>IF($E5=AP$3,$G5,0)-IF($H5=AP$3,$J5,0)</f>
        <v/>
      </c>
      <c r="AQ5" s="43">
        <f>IF($E5=AQ$3,$G5,0)-IF($H5=AQ$3,$J5,0)</f>
        <v/>
      </c>
      <c r="AR5" s="43">
        <f>IF($E5=AR$3,$G5,0)-IF($H5=AR$3,$J5,0)</f>
        <v/>
      </c>
      <c r="AS5" s="43">
        <f>IF($E5=AS$3,$G5,0)-IF($H5=AS$3,$J5,0)</f>
        <v/>
      </c>
      <c r="AT5" s="43">
        <f>IF($E5=AT$3,$G5,0)-IF($H5=AT$3,$J5,0)</f>
        <v/>
      </c>
      <c r="AU5" s="43">
        <f>IF($E5=AU$3,$G5,0)-IF($H5=AU$3,$J5,0)</f>
        <v/>
      </c>
      <c r="AV5" s="43">
        <f>IF($E5=AV$3,$G5,0)-IF($H5=AV$3,$J5,0)</f>
        <v/>
      </c>
      <c r="AW5" s="43">
        <f>IF($E5=AW$3,$G5,0)-IF($H5=AW$3,$J5,0)</f>
        <v/>
      </c>
      <c r="AX5" s="43">
        <f>IF($E5=AX$3,$G5,0)-IF($H5=AX$3,$J5,0)</f>
        <v/>
      </c>
      <c r="AY5" s="43">
        <f>IF($E5=AY$3,$G5,0)-IF($H5=AY$3,$J5,0)</f>
        <v/>
      </c>
      <c r="AZ5" s="43">
        <f>IF($E5=AZ$3,$G5,0)-IF($H5=AZ$3,$J5,0)</f>
        <v/>
      </c>
      <c r="BA5" s="43">
        <f>IF($E5=BA$3,$G5,0)-IF($H5=BA$3,$J5,0)</f>
        <v/>
      </c>
      <c r="BB5" s="43">
        <f>IF($E5=BB$3,$G5,0)-IF($H5=BB$3,$J5,0)</f>
        <v/>
      </c>
      <c r="BC5" s="43">
        <f>IF($E5=BC$3,$G5,0)-IF($H5=BC$3,$J5,0)</f>
        <v/>
      </c>
      <c r="BD5" s="43">
        <f>IF($E5=BD$3,$G5,0)-IF($H5=BD$3,$J5,0)</f>
        <v/>
      </c>
      <c r="BE5" s="43">
        <f>IF($E5=BE$3,$G5,0)-IF($H5=BE$3,$J5,0)</f>
        <v/>
      </c>
      <c r="BF5" s="43">
        <f>IF($E5=BF$3,$G5,0)-IF($H5=BF$3,$J5,0)</f>
        <v/>
      </c>
      <c r="BG5" s="43">
        <f>IF($E5=BG$3,$G5,0)-IF($H5=BG$3,$J5,0)</f>
        <v/>
      </c>
      <c r="BH5" s="43">
        <f>IF($E5=BH$3,$G5,0)-IF($H5=BH$3,$J5,0)</f>
        <v/>
      </c>
      <c r="BI5" s="43">
        <f>IF($E5=BI$3,$G5,0)-IF($H5=BI$3,$J5,0)</f>
        <v/>
      </c>
      <c r="BJ5" s="43">
        <f>IF($E5=BJ$3,$G5,0)-IF($H5=BJ$3,$J5,0)</f>
        <v/>
      </c>
      <c r="BK5" s="43">
        <f>IF($E5=BK$3,$G5,0)-IF($H5=BK$3,$J5,0)</f>
        <v/>
      </c>
      <c r="BL5" s="42">
        <f>-IF($E5=BL$3,$G5,0)+IF($H5=BL$3,$J5,0)</f>
        <v/>
      </c>
      <c r="BM5" s="43">
        <f>-IF($E5=BM$3,$G5,0)+IF($H5=BM$3,$J5,0)</f>
        <v/>
      </c>
      <c r="BN5" s="43">
        <f>-IF($E5=BN$3,$G5,0)+IF($H5=BN$3,$J5,0)</f>
        <v/>
      </c>
      <c r="BO5" s="43">
        <f>-IF($E5=BO$3,$G5,0)+IF($H5=BO$3,$J5,0)</f>
        <v/>
      </c>
      <c r="BP5" s="43">
        <f>-IF($E5=BP$3,$G5,0)+IF($H5=BP$3,$J5,0)</f>
        <v/>
      </c>
      <c r="BQ5" s="43">
        <f>-IF($E5=BQ$3,$G5,0)+IF($H5=BQ$3,$J5,0)</f>
        <v/>
      </c>
      <c r="BR5" s="43">
        <f>-IF($E5=BR$3,$G5,0)+IF($H5=BR$3,$J5,0)</f>
        <v/>
      </c>
      <c r="BS5" s="43">
        <f>-IF($E5=BS$3,$G5,0)+IF($H5=BS$3,$J5,0)</f>
        <v/>
      </c>
      <c r="BT5" s="43">
        <f>-IF($E5=BT$3,$G5,0)+IF($H5=BT$3,$J5,0)</f>
        <v/>
      </c>
      <c r="BU5" s="42">
        <f>+G5-J5</f>
        <v/>
      </c>
      <c r="BV5" s="44">
        <f>-IF($E5=BV$3,$G5,0)+IF($H5=BV$3,$J5,0)</f>
        <v/>
      </c>
      <c r="BW5" s="45" t="n"/>
    </row>
    <row r="6" ht="15.75" customHeight="1" s="214">
      <c r="A6" s="7" t="n"/>
      <c r="B6" s="8" t="n">
        <v>1</v>
      </c>
      <c r="C6" s="9" t="n">
        <v>1</v>
      </c>
      <c r="D6" s="10" t="inlineStr">
        <is>
          <t>前年繰越 売掛金</t>
        </is>
      </c>
      <c r="E6" s="247" t="n">
        <v>107</v>
      </c>
      <c r="F6" s="11">
        <f>IF(E6="","",IF(ISNA(VLOOKUP(E6,科目コード表!$C$4:$D$67,2,FALSE)),"該当科目なし",VLOOKUP(E6,科目コード表!$C$4:$D$67,2,FALSE)))</f>
        <v/>
      </c>
      <c r="G6" s="38" t="n">
        <v>1370500</v>
      </c>
      <c r="H6" s="248" t="n"/>
      <c r="I6" s="11">
        <f>IF(H6="","",IF(ISNA(VLOOKUP(H6,科目コード表!$C$4:$D$67,2,FALSE)),"該当科目なし",VLOOKUP(H6,科目コード表!$C$4:$D$67,2,FALSE)))</f>
        <v/>
      </c>
      <c r="J6" s="40" t="n"/>
      <c r="L6" s="46">
        <f>IF($E6=L$3,$G6,0)-IF($H6=L$3,$J6,0)</f>
        <v/>
      </c>
      <c r="M6" s="47">
        <f>IF($E6=M$3,$G6,0)-IF($H6=M$3,$J6,0)</f>
        <v/>
      </c>
      <c r="N6" s="47">
        <f>IF($E6=N$3,$G6,0)-IF($H6=N$3,$J6,0)</f>
        <v/>
      </c>
      <c r="O6" s="47">
        <f>IF($E6=O$3,$G6,0)-IF($H6=O$3,$J6,0)</f>
        <v/>
      </c>
      <c r="P6" s="47">
        <f>IF($E6=P$3,$G6,0)-IF($H6=P$3,$J6,0)</f>
        <v/>
      </c>
      <c r="Q6" s="47">
        <f>IF($E6=Q$3,$G6,0)-IF($H6=Q$3,$J6,0)</f>
        <v/>
      </c>
      <c r="R6" s="47">
        <f>IF($E6=R$3,$G6,0)-IF($H6=R$3,$J6,0)</f>
        <v/>
      </c>
      <c r="S6" s="47">
        <f>IF($E6=S$3,$G6,0)-IF($H6=S$3,$J6,0)</f>
        <v/>
      </c>
      <c r="T6" s="47">
        <f>IF($E6=T$3,$G6,0)-IF($H6=T$3,$J6,0)</f>
        <v/>
      </c>
      <c r="U6" s="47">
        <f>IF($E6=U$3,$G6,0)-IF($H6=U$3,$J6,0)</f>
        <v/>
      </c>
      <c r="V6" s="47">
        <f>IF($E6=V$3,$G6,0)-IF($H6=V$3,$J6,0)</f>
        <v/>
      </c>
      <c r="W6" s="47">
        <f>IF($E6=W$3,$G6,0)-IF($H6=W$3,$J6,0)</f>
        <v/>
      </c>
      <c r="X6" s="47">
        <f>IF($E6=X$3,$G6,0)-IF($H6=X$3,$J6,0)</f>
        <v/>
      </c>
      <c r="Y6" s="47">
        <f>IF($E6=Y$3,$G6,0)-IF($H6=Y$3,$J6,0)</f>
        <v/>
      </c>
      <c r="Z6" s="47">
        <f>IF($E6=Z$3,$G6,0)-IF($H6=Z$3,$J6,0)</f>
        <v/>
      </c>
      <c r="AA6" s="47">
        <f>IF($E6=AA$3,$G6,0)-IF($H6=AA$3,$J6,0)</f>
        <v/>
      </c>
      <c r="AB6" s="47">
        <f>IF($E6=AB$3,$G6,0)-IF($H6=AB$3,$J6,0)</f>
        <v/>
      </c>
      <c r="AC6" s="47">
        <f>IF($E6=AC$3,$G6,0)-IF($H6=AC$3,$J6,0)</f>
        <v/>
      </c>
      <c r="AD6" s="47">
        <f>IF($E6=AD$3,$G6,0)-IF($H6=AD$3,$J6,0)</f>
        <v/>
      </c>
      <c r="AE6" s="47">
        <f>IF($E6=AE$3,$G6,0)-IF($H6=AE$3,$J6,0)</f>
        <v/>
      </c>
      <c r="AF6" s="47">
        <f>IF($E6=AF$3,$G6,0)-IF($H6=AF$3,$J6,0)</f>
        <v/>
      </c>
      <c r="AG6" s="47">
        <f>IF($E6=AG$3,$G6,0)-IF($H6=AG$3,$J6,0)</f>
        <v/>
      </c>
      <c r="AH6" s="47">
        <f>IF($E6=AH$3,$G6,0)-IF($H6=AH$3,$J6,0)</f>
        <v/>
      </c>
      <c r="AI6" s="47">
        <f>IF($E6=AI$3,$G6,0)-IF($H6=AI$3,$J6,0)</f>
        <v/>
      </c>
      <c r="AJ6" s="47">
        <f>IF($E6=AJ$3,$G6,0)-IF($H6=AJ$3,$J6,0)</f>
        <v/>
      </c>
      <c r="AK6" s="47">
        <f>IF($E6=AK$3,$G6,0)-IF($H6=AK$3,$J6,0)</f>
        <v/>
      </c>
      <c r="AL6" s="48">
        <f>IF($E6=AL$3,$G6,0)-IF($H6=AL$3,$J6,0)</f>
        <v/>
      </c>
      <c r="AM6" s="46">
        <f>-IF($E6=AM$3,$G6,0)+IF($H6=AM$3,$J6,0)</f>
        <v/>
      </c>
      <c r="AN6" s="47">
        <f>-IF($E6=AN$3,$G6,0)+IF($H6=AN$3,$J6,0)</f>
        <v/>
      </c>
      <c r="AO6" s="48">
        <f>-IF($E6=AO$3,$G6,0)+IF($H6=AO$3,$J6,0)</f>
        <v/>
      </c>
      <c r="AP6" s="46">
        <f>IF($E6=AP$3,$G6,0)-IF($H6=AP$3,$J6,0)</f>
        <v/>
      </c>
      <c r="AQ6" s="47">
        <f>IF($E6=AQ$3,$G6,0)-IF($H6=AQ$3,$J6,0)</f>
        <v/>
      </c>
      <c r="AR6" s="47">
        <f>IF($E6=AR$3,$G6,0)-IF($H6=AR$3,$J6,0)</f>
        <v/>
      </c>
      <c r="AS6" s="47">
        <f>IF($E6=AS$3,$G6,0)-IF($H6=AS$3,$J6,0)</f>
        <v/>
      </c>
      <c r="AT6" s="47">
        <f>IF($E6=AT$3,$G6,0)-IF($H6=AT$3,$J6,0)</f>
        <v/>
      </c>
      <c r="AU6" s="47">
        <f>IF($E6=AU$3,$G6,0)-IF($H6=AU$3,$J6,0)</f>
        <v/>
      </c>
      <c r="AV6" s="47">
        <f>IF($E6=AV$3,$G6,0)-IF($H6=AV$3,$J6,0)</f>
        <v/>
      </c>
      <c r="AW6" s="47">
        <f>IF($E6=AW$3,$G6,0)-IF($H6=AW$3,$J6,0)</f>
        <v/>
      </c>
      <c r="AX6" s="47">
        <f>IF($E6=AX$3,$G6,0)-IF($H6=AX$3,$J6,0)</f>
        <v/>
      </c>
      <c r="AY6" s="47">
        <f>IF($E6=AY$3,$G6,0)-IF($H6=AY$3,$J6,0)</f>
        <v/>
      </c>
      <c r="AZ6" s="47">
        <f>IF($E6=AZ$3,$G6,0)-IF($H6=AZ$3,$J6,0)</f>
        <v/>
      </c>
      <c r="BA6" s="47">
        <f>IF($E6=BA$3,$G6,0)-IF($H6=BA$3,$J6,0)</f>
        <v/>
      </c>
      <c r="BB6" s="47">
        <f>IF($E6=BB$3,$G6,0)-IF($H6=BB$3,$J6,0)</f>
        <v/>
      </c>
      <c r="BC6" s="47">
        <f>IF($E6=BC$3,$G6,0)-IF($H6=BC$3,$J6,0)</f>
        <v/>
      </c>
      <c r="BD6" s="47">
        <f>IF($E6=BD$3,$G6,0)-IF($H6=BD$3,$J6,0)</f>
        <v/>
      </c>
      <c r="BE6" s="47">
        <f>IF($E6=BE$3,$G6,0)-IF($H6=BE$3,$J6,0)</f>
        <v/>
      </c>
      <c r="BF6" s="47">
        <f>IF($E6=BF$3,$G6,0)-IF($H6=BF$3,$J6,0)</f>
        <v/>
      </c>
      <c r="BG6" s="47">
        <f>IF($E6=BG$3,$G6,0)-IF($H6=BG$3,$J6,0)</f>
        <v/>
      </c>
      <c r="BH6" s="47">
        <f>IF($E6=BH$3,$G6,0)-IF($H6=BH$3,$J6,0)</f>
        <v/>
      </c>
      <c r="BI6" s="47">
        <f>IF($E6=BI$3,$G6,0)-IF($H6=BI$3,$J6,0)</f>
        <v/>
      </c>
      <c r="BJ6" s="47">
        <f>IF($E6=BJ$3,$G6,0)-IF($H6=BJ$3,$J6,0)</f>
        <v/>
      </c>
      <c r="BK6" s="47">
        <f>IF($E6=BK$3,$G6,0)-IF($H6=BK$3,$J6,0)</f>
        <v/>
      </c>
      <c r="BL6" s="46">
        <f>-IF($E6=BL$3,$G6,0)+IF($H6=BL$3,$J6,0)</f>
        <v/>
      </c>
      <c r="BM6" s="47">
        <f>-IF($E6=BM$3,$G6,0)+IF($H6=BM$3,$J6,0)</f>
        <v/>
      </c>
      <c r="BN6" s="47">
        <f>-IF($E6=BN$3,$G6,0)+IF($H6=BN$3,$J6,0)</f>
        <v/>
      </c>
      <c r="BO6" s="47">
        <f>-IF($E6=BO$3,$G6,0)+IF($H6=BO$3,$J6,0)</f>
        <v/>
      </c>
      <c r="BP6" s="47">
        <f>-IF($E6=BP$3,$G6,0)+IF($H6=BP$3,$J6,0)</f>
        <v/>
      </c>
      <c r="BQ6" s="47">
        <f>-IF($E6=BQ$3,$G6,0)+IF($H6=BQ$3,$J6,0)</f>
        <v/>
      </c>
      <c r="BR6" s="47">
        <f>-IF($E6=BR$3,$G6,0)+IF($H6=BR$3,$J6,0)</f>
        <v/>
      </c>
      <c r="BS6" s="47">
        <f>-IF($E6=BS$3,$G6,0)+IF($H6=BS$3,$J6,0)</f>
        <v/>
      </c>
      <c r="BT6" s="47">
        <f>-IF($E6=BT$3,$G6,0)+IF($H6=BT$3,$J6,0)</f>
        <v/>
      </c>
      <c r="BU6" s="46">
        <f>+G6-J6</f>
        <v/>
      </c>
      <c r="BV6" s="48">
        <f>-IF($E6=BV$3,$G6,0)+IF($H6=BV$3,$J6,0)</f>
        <v/>
      </c>
    </row>
    <row r="7" ht="15.75" customHeight="1" s="214">
      <c r="A7" s="7" t="n"/>
      <c r="B7" s="8" t="n">
        <v>1</v>
      </c>
      <c r="C7" s="9" t="n">
        <v>1</v>
      </c>
      <c r="D7" s="10" t="inlineStr">
        <is>
          <t>前年繰越 普通預金</t>
        </is>
      </c>
      <c r="E7" s="247" t="n">
        <v>103</v>
      </c>
      <c r="F7" s="11">
        <f>IF(E7="","",IF(ISNA(VLOOKUP(E7,科目コード表!$C$4:$D$67,2,FALSE)),"該当科目なし",VLOOKUP(E7,科目コード表!$C$4:$D$67,2,FALSE)))</f>
        <v/>
      </c>
      <c r="G7" s="38" t="n">
        <v>10475394</v>
      </c>
      <c r="H7" s="248" t="n"/>
      <c r="I7" s="11">
        <f>IF(H7="","",IF(ISNA(VLOOKUP(H7,科目コード表!$C$4:$D$67,2,FALSE)),"該当科目なし",VLOOKUP(H7,科目コード表!$C$4:$D$67,2,FALSE)))</f>
        <v/>
      </c>
      <c r="J7" s="40" t="n"/>
      <c r="L7" s="46">
        <f>IF($E7=L$3,$G7,0)-IF($H7=L$3,$J7,0)</f>
        <v/>
      </c>
      <c r="M7" s="47">
        <f>IF($E7=M$3,$G7,0)-IF($H7=M$3,$J7,0)</f>
        <v/>
      </c>
      <c r="N7" s="47">
        <f>IF($E7=N$3,$G7,0)-IF($H7=N$3,$J7,0)</f>
        <v/>
      </c>
      <c r="O7" s="47">
        <f>IF($E7=O$3,$G7,0)-IF($H7=O$3,$J7,0)</f>
        <v/>
      </c>
      <c r="P7" s="47">
        <f>IF($E7=P$3,$G7,0)-IF($H7=P$3,$J7,0)</f>
        <v/>
      </c>
      <c r="Q7" s="47">
        <f>IF($E7=Q$3,$G7,0)-IF($H7=Q$3,$J7,0)</f>
        <v/>
      </c>
      <c r="R7" s="47">
        <f>IF($E7=R$3,$G7,0)-IF($H7=R$3,$J7,0)</f>
        <v/>
      </c>
      <c r="S7" s="47">
        <f>IF($E7=S$3,$G7,0)-IF($H7=S$3,$J7,0)</f>
        <v/>
      </c>
      <c r="T7" s="47">
        <f>IF($E7=T$3,$G7,0)-IF($H7=T$3,$J7,0)</f>
        <v/>
      </c>
      <c r="U7" s="47">
        <f>IF($E7=U$3,$G7,0)-IF($H7=U$3,$J7,0)</f>
        <v/>
      </c>
      <c r="V7" s="47">
        <f>IF($E7=V$3,$G7,0)-IF($H7=V$3,$J7,0)</f>
        <v/>
      </c>
      <c r="W7" s="47">
        <f>IF($E7=W$3,$G7,0)-IF($H7=W$3,$J7,0)</f>
        <v/>
      </c>
      <c r="X7" s="47">
        <f>IF($E7=X$3,$G7,0)-IF($H7=X$3,$J7,0)</f>
        <v/>
      </c>
      <c r="Y7" s="47">
        <f>IF($E7=Y$3,$G7,0)-IF($H7=Y$3,$J7,0)</f>
        <v/>
      </c>
      <c r="Z7" s="47">
        <f>IF($E7=Z$3,$G7,0)-IF($H7=Z$3,$J7,0)</f>
        <v/>
      </c>
      <c r="AA7" s="47">
        <f>IF($E7=AA$3,$G7,0)-IF($H7=AA$3,$J7,0)</f>
        <v/>
      </c>
      <c r="AB7" s="47">
        <f>IF($E7=AB$3,$G7,0)-IF($H7=AB$3,$J7,0)</f>
        <v/>
      </c>
      <c r="AC7" s="47">
        <f>IF($E7=AC$3,$G7,0)-IF($H7=AC$3,$J7,0)</f>
        <v/>
      </c>
      <c r="AD7" s="47">
        <f>IF($E7=AD$3,$G7,0)-IF($H7=AD$3,$J7,0)</f>
        <v/>
      </c>
      <c r="AE7" s="47">
        <f>IF($E7=AE$3,$G7,0)-IF($H7=AE$3,$J7,0)</f>
        <v/>
      </c>
      <c r="AF7" s="47">
        <f>IF($E7=AF$3,$G7,0)-IF($H7=AF$3,$J7,0)</f>
        <v/>
      </c>
      <c r="AG7" s="47">
        <f>IF($E7=AG$3,$G7,0)-IF($H7=AG$3,$J7,0)</f>
        <v/>
      </c>
      <c r="AH7" s="47">
        <f>IF($E7=AH$3,$G7,0)-IF($H7=AH$3,$J7,0)</f>
        <v/>
      </c>
      <c r="AI7" s="47">
        <f>IF($E7=AI$3,$G7,0)-IF($H7=AI$3,$J7,0)</f>
        <v/>
      </c>
      <c r="AJ7" s="47">
        <f>IF($E7=AJ$3,$G7,0)-IF($H7=AJ$3,$J7,0)</f>
        <v/>
      </c>
      <c r="AK7" s="47">
        <f>IF($E7=AK$3,$G7,0)-IF($H7=AK$3,$J7,0)</f>
        <v/>
      </c>
      <c r="AL7" s="48">
        <f>IF($E7=AL$3,$G7,0)-IF($H7=AL$3,$J7,0)</f>
        <v/>
      </c>
      <c r="AM7" s="46">
        <f>-IF($E7=AM$3,$G7,0)+IF($H7=AM$3,$J7,0)</f>
        <v/>
      </c>
      <c r="AN7" s="47">
        <f>-IF($E7=AN$3,$G7,0)+IF($H7=AN$3,$J7,0)</f>
        <v/>
      </c>
      <c r="AO7" s="48">
        <f>-IF($E7=AO$3,$G7,0)+IF($H7=AO$3,$J7,0)</f>
        <v/>
      </c>
      <c r="AP7" s="46">
        <f>IF($E7=AP$3,$G7,0)-IF($H7=AP$3,$J7,0)</f>
        <v/>
      </c>
      <c r="AQ7" s="47">
        <f>IF($E7=AQ$3,$G7,0)-IF($H7=AQ$3,$J7,0)</f>
        <v/>
      </c>
      <c r="AR7" s="47">
        <f>IF($E7=AR$3,$G7,0)-IF($H7=AR$3,$J7,0)</f>
        <v/>
      </c>
      <c r="AS7" s="47">
        <f>IF($E7=AS$3,$G7,0)-IF($H7=AS$3,$J7,0)</f>
        <v/>
      </c>
      <c r="AT7" s="47">
        <f>IF($E7=AT$3,$G7,0)-IF($H7=AT$3,$J7,0)</f>
        <v/>
      </c>
      <c r="AU7" s="47">
        <f>IF($E7=AU$3,$G7,0)-IF($H7=AU$3,$J7,0)</f>
        <v/>
      </c>
      <c r="AV7" s="47">
        <f>IF($E7=AV$3,$G7,0)-IF($H7=AV$3,$J7,0)</f>
        <v/>
      </c>
      <c r="AW7" s="47">
        <f>IF($E7=AW$3,$G7,0)-IF($H7=AW$3,$J7,0)</f>
        <v/>
      </c>
      <c r="AX7" s="47">
        <f>IF($E7=AX$3,$G7,0)-IF($H7=AX$3,$J7,0)</f>
        <v/>
      </c>
      <c r="AY7" s="47">
        <f>IF($E7=AY$3,$G7,0)-IF($H7=AY$3,$J7,0)</f>
        <v/>
      </c>
      <c r="AZ7" s="47">
        <f>IF($E7=AZ$3,$G7,0)-IF($H7=AZ$3,$J7,0)</f>
        <v/>
      </c>
      <c r="BA7" s="47">
        <f>IF($E7=BA$3,$G7,0)-IF($H7=BA$3,$J7,0)</f>
        <v/>
      </c>
      <c r="BB7" s="47">
        <f>IF($E7=BB$3,$G7,0)-IF($H7=BB$3,$J7,0)</f>
        <v/>
      </c>
      <c r="BC7" s="47">
        <f>IF($E7=BC$3,$G7,0)-IF($H7=BC$3,$J7,0)</f>
        <v/>
      </c>
      <c r="BD7" s="47">
        <f>IF($E7=BD$3,$G7,0)-IF($H7=BD$3,$J7,0)</f>
        <v/>
      </c>
      <c r="BE7" s="47">
        <f>IF($E7=BE$3,$G7,0)-IF($H7=BE$3,$J7,0)</f>
        <v/>
      </c>
      <c r="BF7" s="47">
        <f>IF($E7=BF$3,$G7,0)-IF($H7=BF$3,$J7,0)</f>
        <v/>
      </c>
      <c r="BG7" s="47">
        <f>IF($E7=BG$3,$G7,0)-IF($H7=BG$3,$J7,0)</f>
        <v/>
      </c>
      <c r="BH7" s="47">
        <f>IF($E7=BH$3,$G7,0)-IF($H7=BH$3,$J7,0)</f>
        <v/>
      </c>
      <c r="BI7" s="47">
        <f>IF($E7=BI$3,$G7,0)-IF($H7=BI$3,$J7,0)</f>
        <v/>
      </c>
      <c r="BJ7" s="47">
        <f>IF($E7=BJ$3,$G7,0)-IF($H7=BJ$3,$J7,0)</f>
        <v/>
      </c>
      <c r="BK7" s="47">
        <f>IF($E7=BK$3,$G7,0)-IF($H7=BK$3,$J7,0)</f>
        <v/>
      </c>
      <c r="BL7" s="46">
        <f>-IF($E7=BL$3,$G7,0)+IF($H7=BL$3,$J7,0)</f>
        <v/>
      </c>
      <c r="BM7" s="47">
        <f>-IF($E7=BM$3,$G7,0)+IF($H7=BM$3,$J7,0)</f>
        <v/>
      </c>
      <c r="BN7" s="47">
        <f>-IF($E7=BN$3,$G7,0)+IF($H7=BN$3,$J7,0)</f>
        <v/>
      </c>
      <c r="BO7" s="47">
        <f>-IF($E7=BO$3,$G7,0)+IF($H7=BO$3,$J7,0)</f>
        <v/>
      </c>
      <c r="BP7" s="47">
        <f>-IF($E7=BP$3,$G7,0)+IF($H7=BP$3,$J7,0)</f>
        <v/>
      </c>
      <c r="BQ7" s="47">
        <f>-IF($E7=BQ$3,$G7,0)+IF($H7=BQ$3,$J7,0)</f>
        <v/>
      </c>
      <c r="BR7" s="47">
        <f>-IF($E7=BR$3,$G7,0)+IF($H7=BR$3,$J7,0)</f>
        <v/>
      </c>
      <c r="BS7" s="47">
        <f>-IF($E7=BS$3,$G7,0)+IF($H7=BS$3,$J7,0)</f>
        <v/>
      </c>
      <c r="BT7" s="47">
        <f>-IF($E7=BT$3,$G7,0)+IF($H7=BT$3,$J7,0)</f>
        <v/>
      </c>
      <c r="BU7" s="46">
        <f>+G7-J7</f>
        <v/>
      </c>
      <c r="BV7" s="48">
        <f>-IF($E7=BV$3,$G7,0)+IF($H7=BV$3,$J7,0)</f>
        <v/>
      </c>
    </row>
    <row r="8" ht="15.75" customHeight="1" s="214">
      <c r="A8" s="7" t="n"/>
      <c r="B8" s="8" t="n">
        <v>1</v>
      </c>
      <c r="C8" s="9" t="n">
        <v>1</v>
      </c>
      <c r="D8" s="10" t="inlineStr">
        <is>
          <t>前年繰越 建物</t>
        </is>
      </c>
      <c r="E8" s="247" t="n">
        <v>121</v>
      </c>
      <c r="F8" s="11">
        <f>IF(E8="","",IF(ISNA(VLOOKUP(E8,科目コード表!$C$4:$D$67,2,FALSE)),"該当科目なし",VLOOKUP(E8,科目コード表!$C$4:$D$67,2,FALSE)))</f>
        <v/>
      </c>
      <c r="G8" s="38" t="n">
        <v>14597430</v>
      </c>
      <c r="H8" s="248" t="n"/>
      <c r="I8" s="11">
        <f>IF(H8="","",IF(ISNA(VLOOKUP(H8,科目コード表!$C$4:$D$67,2,FALSE)),"該当科目なし",VLOOKUP(H8,科目コード表!$C$4:$D$67,2,FALSE)))</f>
        <v/>
      </c>
      <c r="J8" s="40" t="n"/>
      <c r="L8" s="46">
        <f>IF($E8=L$3,$G8,0)-IF($H8=L$3,$J8,0)</f>
        <v/>
      </c>
      <c r="M8" s="47">
        <f>IF($E8=M$3,$G8,0)-IF($H8=M$3,$J8,0)</f>
        <v/>
      </c>
      <c r="N8" s="47">
        <f>IF($E8=N$3,$G8,0)-IF($H8=N$3,$J8,0)</f>
        <v/>
      </c>
      <c r="O8" s="47">
        <f>IF($E8=O$3,$G8,0)-IF($H8=O$3,$J8,0)</f>
        <v/>
      </c>
      <c r="P8" s="47">
        <f>IF($E8=P$3,$G8,0)-IF($H8=P$3,$J8,0)</f>
        <v/>
      </c>
      <c r="Q8" s="47">
        <f>IF($E8=Q$3,$G8,0)-IF($H8=Q$3,$J8,0)</f>
        <v/>
      </c>
      <c r="R8" s="47">
        <f>IF($E8=R$3,$G8,0)-IF($H8=R$3,$J8,0)</f>
        <v/>
      </c>
      <c r="S8" s="47">
        <f>IF($E8=S$3,$G8,0)-IF($H8=S$3,$J8,0)</f>
        <v/>
      </c>
      <c r="T8" s="47">
        <f>IF($E8=T$3,$G8,0)-IF($H8=T$3,$J8,0)</f>
        <v/>
      </c>
      <c r="U8" s="47">
        <f>IF($E8=U$3,$G8,0)-IF($H8=U$3,$J8,0)</f>
        <v/>
      </c>
      <c r="V8" s="47">
        <f>IF($E8=V$3,$G8,0)-IF($H8=V$3,$J8,0)</f>
        <v/>
      </c>
      <c r="W8" s="47">
        <f>IF($E8=W$3,$G8,0)-IF($H8=W$3,$J8,0)</f>
        <v/>
      </c>
      <c r="X8" s="47">
        <f>IF($E8=X$3,$G8,0)-IF($H8=X$3,$J8,0)</f>
        <v/>
      </c>
      <c r="Y8" s="47">
        <f>IF($E8=Y$3,$G8,0)-IF($H8=Y$3,$J8,0)</f>
        <v/>
      </c>
      <c r="Z8" s="47">
        <f>IF($E8=Z$3,$G8,0)-IF($H8=Z$3,$J8,0)</f>
        <v/>
      </c>
      <c r="AA8" s="47">
        <f>IF($E8=AA$3,$G8,0)-IF($H8=AA$3,$J8,0)</f>
        <v/>
      </c>
      <c r="AB8" s="47">
        <f>IF($E8=AB$3,$G8,0)-IF($H8=AB$3,$J8,0)</f>
        <v/>
      </c>
      <c r="AC8" s="47">
        <f>IF($E8=AC$3,$G8,0)-IF($H8=AC$3,$J8,0)</f>
        <v/>
      </c>
      <c r="AD8" s="47">
        <f>IF($E8=AD$3,$G8,0)-IF($H8=AD$3,$J8,0)</f>
        <v/>
      </c>
      <c r="AE8" s="47">
        <f>IF($E8=AE$3,$G8,0)-IF($H8=AE$3,$J8,0)</f>
        <v/>
      </c>
      <c r="AF8" s="47">
        <f>IF($E8=AF$3,$G8,0)-IF($H8=AF$3,$J8,0)</f>
        <v/>
      </c>
      <c r="AG8" s="47">
        <f>IF($E8=AG$3,$G8,0)-IF($H8=AG$3,$J8,0)</f>
        <v/>
      </c>
      <c r="AH8" s="47">
        <f>IF($E8=AH$3,$G8,0)-IF($H8=AH$3,$J8,0)</f>
        <v/>
      </c>
      <c r="AI8" s="47">
        <f>IF($E8=AI$3,$G8,0)-IF($H8=AI$3,$J8,0)</f>
        <v/>
      </c>
      <c r="AJ8" s="47">
        <f>IF($E8=AJ$3,$G8,0)-IF($H8=AJ$3,$J8,0)</f>
        <v/>
      </c>
      <c r="AK8" s="47">
        <f>IF($E8=AK$3,$G8,0)-IF($H8=AK$3,$J8,0)</f>
        <v/>
      </c>
      <c r="AL8" s="48">
        <f>IF($E8=AL$3,$G8,0)-IF($H8=AL$3,$J8,0)</f>
        <v/>
      </c>
      <c r="AM8" s="46">
        <f>-IF($E8=AM$3,$G8,0)+IF($H8=AM$3,$J8,0)</f>
        <v/>
      </c>
      <c r="AN8" s="47">
        <f>-IF($E8=AN$3,$G8,0)+IF($H8=AN$3,$J8,0)</f>
        <v/>
      </c>
      <c r="AO8" s="48">
        <f>-IF($E8=AO$3,$G8,0)+IF($H8=AO$3,$J8,0)</f>
        <v/>
      </c>
      <c r="AP8" s="46">
        <f>IF($E8=AP$3,$G8,0)-IF($H8=AP$3,$J8,0)</f>
        <v/>
      </c>
      <c r="AQ8" s="47">
        <f>IF($E8=AQ$3,$G8,0)-IF($H8=AQ$3,$J8,0)</f>
        <v/>
      </c>
      <c r="AR8" s="47">
        <f>IF($E8=AR$3,$G8,0)-IF($H8=AR$3,$J8,0)</f>
        <v/>
      </c>
      <c r="AS8" s="47">
        <f>IF($E8=AS$3,$G8,0)-IF($H8=AS$3,$J8,0)</f>
        <v/>
      </c>
      <c r="AT8" s="47">
        <f>IF($E8=AT$3,$G8,0)-IF($H8=AT$3,$J8,0)</f>
        <v/>
      </c>
      <c r="AU8" s="47">
        <f>IF($E8=AU$3,$G8,0)-IF($H8=AU$3,$J8,0)</f>
        <v/>
      </c>
      <c r="AV8" s="47">
        <f>IF($E8=AV$3,$G8,0)-IF($H8=AV$3,$J8,0)</f>
        <v/>
      </c>
      <c r="AW8" s="47">
        <f>IF($E8=AW$3,$G8,0)-IF($H8=AW$3,$J8,0)</f>
        <v/>
      </c>
      <c r="AX8" s="47">
        <f>IF($E8=AX$3,$G8,0)-IF($H8=AX$3,$J8,0)</f>
        <v/>
      </c>
      <c r="AY8" s="47">
        <f>IF($E8=AY$3,$G8,0)-IF($H8=AY$3,$J8,0)</f>
        <v/>
      </c>
      <c r="AZ8" s="47">
        <f>IF($E8=AZ$3,$G8,0)-IF($H8=AZ$3,$J8,0)</f>
        <v/>
      </c>
      <c r="BA8" s="47">
        <f>IF($E8=BA$3,$G8,0)-IF($H8=BA$3,$J8,0)</f>
        <v/>
      </c>
      <c r="BB8" s="47">
        <f>IF($E8=BB$3,$G8,0)-IF($H8=BB$3,$J8,0)</f>
        <v/>
      </c>
      <c r="BC8" s="47">
        <f>IF($E8=BC$3,$G8,0)-IF($H8=BC$3,$J8,0)</f>
        <v/>
      </c>
      <c r="BD8" s="47">
        <f>IF($E8=BD$3,$G8,0)-IF($H8=BD$3,$J8,0)</f>
        <v/>
      </c>
      <c r="BE8" s="47">
        <f>IF($E8=BE$3,$G8,0)-IF($H8=BE$3,$J8,0)</f>
        <v/>
      </c>
      <c r="BF8" s="47">
        <f>IF($E8=BF$3,$G8,0)-IF($H8=BF$3,$J8,0)</f>
        <v/>
      </c>
      <c r="BG8" s="47">
        <f>IF($E8=BG$3,$G8,0)-IF($H8=BG$3,$J8,0)</f>
        <v/>
      </c>
      <c r="BH8" s="47">
        <f>IF($E8=BH$3,$G8,0)-IF($H8=BH$3,$J8,0)</f>
        <v/>
      </c>
      <c r="BI8" s="47">
        <f>IF($E8=BI$3,$G8,0)-IF($H8=BI$3,$J8,0)</f>
        <v/>
      </c>
      <c r="BJ8" s="47">
        <f>IF($E8=BJ$3,$G8,0)-IF($H8=BJ$3,$J8,0)</f>
        <v/>
      </c>
      <c r="BK8" s="47">
        <f>IF($E8=BK$3,$G8,0)-IF($H8=BK$3,$J8,0)</f>
        <v/>
      </c>
      <c r="BL8" s="46">
        <f>-IF($E8=BL$3,$G8,0)+IF($H8=BL$3,$J8,0)</f>
        <v/>
      </c>
      <c r="BM8" s="47">
        <f>-IF($E8=BM$3,$G8,0)+IF($H8=BM$3,$J8,0)</f>
        <v/>
      </c>
      <c r="BN8" s="47">
        <f>-IF($E8=BN$3,$G8,0)+IF($H8=BN$3,$J8,0)</f>
        <v/>
      </c>
      <c r="BO8" s="47">
        <f>-IF($E8=BO$3,$G8,0)+IF($H8=BO$3,$J8,0)</f>
        <v/>
      </c>
      <c r="BP8" s="47">
        <f>-IF($E8=BP$3,$G8,0)+IF($H8=BP$3,$J8,0)</f>
        <v/>
      </c>
      <c r="BQ8" s="47">
        <f>-IF($E8=BQ$3,$G8,0)+IF($H8=BQ$3,$J8,0)</f>
        <v/>
      </c>
      <c r="BR8" s="47">
        <f>-IF($E8=BR$3,$G8,0)+IF($H8=BR$3,$J8,0)</f>
        <v/>
      </c>
      <c r="BS8" s="47">
        <f>-IF($E8=BS$3,$G8,0)+IF($H8=BS$3,$J8,0)</f>
        <v/>
      </c>
      <c r="BT8" s="47">
        <f>-IF($E8=BT$3,$G8,0)+IF($H8=BT$3,$J8,0)</f>
        <v/>
      </c>
      <c r="BU8" s="46">
        <f>+G8-J8</f>
        <v/>
      </c>
      <c r="BV8" s="48">
        <f>-IF($E8=BV$3,$G8,0)+IF($H8=BV$3,$J8,0)</f>
        <v/>
      </c>
    </row>
    <row r="9" ht="15.75" customHeight="1" s="214">
      <c r="A9" s="7" t="n"/>
      <c r="B9" s="8" t="n">
        <v>1</v>
      </c>
      <c r="C9" s="9" t="n">
        <v>1</v>
      </c>
      <c r="D9" s="10" t="inlineStr">
        <is>
          <t>前年繰越 構築物</t>
        </is>
      </c>
      <c r="E9" s="247" t="n">
        <v>127</v>
      </c>
      <c r="F9" s="11">
        <f>IF(E9="","",IF(ISNA(VLOOKUP(E9,科目コード表!$C$4:$D$67,2,FALSE)),"該当科目なし",VLOOKUP(E9,科目コード表!$C$4:$D$67,2,FALSE)))</f>
        <v/>
      </c>
      <c r="G9" s="38" t="n">
        <v>1303020</v>
      </c>
      <c r="H9" s="248" t="n"/>
      <c r="I9" s="11">
        <f>IF(H9="","",IF(ISNA(VLOOKUP(H9,科目コード表!$C$4:$D$67,2,FALSE)),"該当科目なし",VLOOKUP(H9,科目コード表!$C$4:$D$67,2,FALSE)))</f>
        <v/>
      </c>
      <c r="J9" s="40" t="n"/>
      <c r="L9" s="46">
        <f>IF($E9=L$3,$G9,0)-IF($H9=L$3,$J9,0)</f>
        <v/>
      </c>
      <c r="M9" s="47">
        <f>IF($E9=M$3,$G9,0)-IF($H9=M$3,$J9,0)</f>
        <v/>
      </c>
      <c r="N9" s="47">
        <f>IF($E9=N$3,$G9,0)-IF($H9=N$3,$J9,0)</f>
        <v/>
      </c>
      <c r="O9" s="47">
        <f>IF($E9=O$3,$G9,0)-IF($H9=O$3,$J9,0)</f>
        <v/>
      </c>
      <c r="P9" s="47">
        <f>IF($E9=P$3,$G9,0)-IF($H9=P$3,$J9,0)</f>
        <v/>
      </c>
      <c r="Q9" s="47">
        <f>IF($E9=Q$3,$G9,0)-IF($H9=Q$3,$J9,0)</f>
        <v/>
      </c>
      <c r="R9" s="47">
        <f>IF($E9=R$3,$G9,0)-IF($H9=R$3,$J9,0)</f>
        <v/>
      </c>
      <c r="S9" s="47">
        <f>IF($E9=S$3,$G9,0)-IF($H9=S$3,$J9,0)</f>
        <v/>
      </c>
      <c r="T9" s="47">
        <f>IF($E9=T$3,$G9,0)-IF($H9=T$3,$J9,0)</f>
        <v/>
      </c>
      <c r="U9" s="47">
        <f>IF($E9=U$3,$G9,0)-IF($H9=U$3,$J9,0)</f>
        <v/>
      </c>
      <c r="V9" s="47">
        <f>IF($E9=V$3,$G9,0)-IF($H9=V$3,$J9,0)</f>
        <v/>
      </c>
      <c r="W9" s="47">
        <f>IF($E9=W$3,$G9,0)-IF($H9=W$3,$J9,0)</f>
        <v/>
      </c>
      <c r="X9" s="47">
        <f>IF($E9=X$3,$G9,0)-IF($H9=X$3,$J9,0)</f>
        <v/>
      </c>
      <c r="Y9" s="47">
        <f>IF($E9=Y$3,$G9,0)-IF($H9=Y$3,$J9,0)</f>
        <v/>
      </c>
      <c r="Z9" s="47">
        <f>IF($E9=Z$3,$G9,0)-IF($H9=Z$3,$J9,0)</f>
        <v/>
      </c>
      <c r="AA9" s="47">
        <f>IF($E9=AA$3,$G9,0)-IF($H9=AA$3,$J9,0)</f>
        <v/>
      </c>
      <c r="AB9" s="47">
        <f>IF($E9=AB$3,$G9,0)-IF($H9=AB$3,$J9,0)</f>
        <v/>
      </c>
      <c r="AC9" s="47">
        <f>IF($E9=AC$3,$G9,0)-IF($H9=AC$3,$J9,0)</f>
        <v/>
      </c>
      <c r="AD9" s="47">
        <f>IF($E9=AD$3,$G9,0)-IF($H9=AD$3,$J9,0)</f>
        <v/>
      </c>
      <c r="AE9" s="47">
        <f>IF($E9=AE$3,$G9,0)-IF($H9=AE$3,$J9,0)</f>
        <v/>
      </c>
      <c r="AF9" s="47">
        <f>IF($E9=AF$3,$G9,0)-IF($H9=AF$3,$J9,0)</f>
        <v/>
      </c>
      <c r="AG9" s="47">
        <f>IF($E9=AG$3,$G9,0)-IF($H9=AG$3,$J9,0)</f>
        <v/>
      </c>
      <c r="AH9" s="47">
        <f>IF($E9=AH$3,$G9,0)-IF($H9=AH$3,$J9,0)</f>
        <v/>
      </c>
      <c r="AI9" s="47">
        <f>IF($E9=AI$3,$G9,0)-IF($H9=AI$3,$J9,0)</f>
        <v/>
      </c>
      <c r="AJ9" s="47">
        <f>IF($E9=AJ$3,$G9,0)-IF($H9=AJ$3,$J9,0)</f>
        <v/>
      </c>
      <c r="AK9" s="47">
        <f>IF($E9=AK$3,$G9,0)-IF($H9=AK$3,$J9,0)</f>
        <v/>
      </c>
      <c r="AL9" s="48">
        <f>IF($E9=AL$3,$G9,0)-IF($H9=AL$3,$J9,0)</f>
        <v/>
      </c>
      <c r="AM9" s="46">
        <f>-IF($E9=AM$3,$G9,0)+IF($H9=AM$3,$J9,0)</f>
        <v/>
      </c>
      <c r="AN9" s="47">
        <f>-IF($E9=AN$3,$G9,0)+IF($H9=AN$3,$J9,0)</f>
        <v/>
      </c>
      <c r="AO9" s="48">
        <f>-IF($E9=AO$3,$G9,0)+IF($H9=AO$3,$J9,0)</f>
        <v/>
      </c>
      <c r="AP9" s="46">
        <f>IF($E9=AP$3,$G9,0)-IF($H9=AP$3,$J9,0)</f>
        <v/>
      </c>
      <c r="AQ9" s="47">
        <f>IF($E9=AQ$3,$G9,0)-IF($H9=AQ$3,$J9,0)</f>
        <v/>
      </c>
      <c r="AR9" s="47">
        <f>IF($E9=AR$3,$G9,0)-IF($H9=AR$3,$J9,0)</f>
        <v/>
      </c>
      <c r="AS9" s="47">
        <f>IF($E9=AS$3,$G9,0)-IF($H9=AS$3,$J9,0)</f>
        <v/>
      </c>
      <c r="AT9" s="47">
        <f>IF($E9=AT$3,$G9,0)-IF($H9=AT$3,$J9,0)</f>
        <v/>
      </c>
      <c r="AU9" s="47">
        <f>IF($E9=AU$3,$G9,0)-IF($H9=AU$3,$J9,0)</f>
        <v/>
      </c>
      <c r="AV9" s="47">
        <f>IF($E9=AV$3,$G9,0)-IF($H9=AV$3,$J9,0)</f>
        <v/>
      </c>
      <c r="AW9" s="47">
        <f>IF($E9=AW$3,$G9,0)-IF($H9=AW$3,$J9,0)</f>
        <v/>
      </c>
      <c r="AX9" s="47">
        <f>IF($E9=AX$3,$G9,0)-IF($H9=AX$3,$J9,0)</f>
        <v/>
      </c>
      <c r="AY9" s="47">
        <f>IF($E9=AY$3,$G9,0)-IF($H9=AY$3,$J9,0)</f>
        <v/>
      </c>
      <c r="AZ9" s="47">
        <f>IF($E9=AZ$3,$G9,0)-IF($H9=AZ$3,$J9,0)</f>
        <v/>
      </c>
      <c r="BA9" s="47">
        <f>IF($E9=BA$3,$G9,0)-IF($H9=BA$3,$J9,0)</f>
        <v/>
      </c>
      <c r="BB9" s="47">
        <f>IF($E9=BB$3,$G9,0)-IF($H9=BB$3,$J9,0)</f>
        <v/>
      </c>
      <c r="BC9" s="47">
        <f>IF($E9=BC$3,$G9,0)-IF($H9=BC$3,$J9,0)</f>
        <v/>
      </c>
      <c r="BD9" s="47">
        <f>IF($E9=BD$3,$G9,0)-IF($H9=BD$3,$J9,0)</f>
        <v/>
      </c>
      <c r="BE9" s="47">
        <f>IF($E9=BE$3,$G9,0)-IF($H9=BE$3,$J9,0)</f>
        <v/>
      </c>
      <c r="BF9" s="47">
        <f>IF($E9=BF$3,$G9,0)-IF($H9=BF$3,$J9,0)</f>
        <v/>
      </c>
      <c r="BG9" s="47">
        <f>IF($E9=BG$3,$G9,0)-IF($H9=BG$3,$J9,0)</f>
        <v/>
      </c>
      <c r="BH9" s="47">
        <f>IF($E9=BH$3,$G9,0)-IF($H9=BH$3,$J9,0)</f>
        <v/>
      </c>
      <c r="BI9" s="47">
        <f>IF($E9=BI$3,$G9,0)-IF($H9=BI$3,$J9,0)</f>
        <v/>
      </c>
      <c r="BJ9" s="47">
        <f>IF($E9=BJ$3,$G9,0)-IF($H9=BJ$3,$J9,0)</f>
        <v/>
      </c>
      <c r="BK9" s="47">
        <f>IF($E9=BK$3,$G9,0)-IF($H9=BK$3,$J9,0)</f>
        <v/>
      </c>
      <c r="BL9" s="46">
        <f>-IF($E9=BL$3,$G9,0)+IF($H9=BL$3,$J9,0)</f>
        <v/>
      </c>
      <c r="BM9" s="47">
        <f>-IF($E9=BM$3,$G9,0)+IF($H9=BM$3,$J9,0)</f>
        <v/>
      </c>
      <c r="BN9" s="47">
        <f>-IF($E9=BN$3,$G9,0)+IF($H9=BN$3,$J9,0)</f>
        <v/>
      </c>
      <c r="BO9" s="47">
        <f>-IF($E9=BO$3,$G9,0)+IF($H9=BO$3,$J9,0)</f>
        <v/>
      </c>
      <c r="BP9" s="47">
        <f>-IF($E9=BP$3,$G9,0)+IF($H9=BP$3,$J9,0)</f>
        <v/>
      </c>
      <c r="BQ9" s="47">
        <f>-IF($E9=BQ$3,$G9,0)+IF($H9=BQ$3,$J9,0)</f>
        <v/>
      </c>
      <c r="BR9" s="47">
        <f>-IF($E9=BR$3,$G9,0)+IF($H9=BR$3,$J9,0)</f>
        <v/>
      </c>
      <c r="BS9" s="47">
        <f>-IF($E9=BS$3,$G9,0)+IF($H9=BS$3,$J9,0)</f>
        <v/>
      </c>
      <c r="BT9" s="47">
        <f>-IF($E9=BT$3,$G9,0)+IF($H9=BT$3,$J9,0)</f>
        <v/>
      </c>
      <c r="BU9" s="46">
        <f>+G9-J9</f>
        <v/>
      </c>
      <c r="BV9" s="48">
        <f>-IF($E9=BV$3,$G9,0)+IF($H9=BV$3,$J9,0)</f>
        <v/>
      </c>
    </row>
    <row r="10" ht="15.75" customHeight="1" s="214">
      <c r="A10" s="7" t="n"/>
      <c r="B10" s="8" t="n">
        <v>1</v>
      </c>
      <c r="C10" s="9" t="n">
        <v>1</v>
      </c>
      <c r="D10" s="10" t="inlineStr">
        <is>
          <t>前年繰越 車両運搬具</t>
        </is>
      </c>
      <c r="E10" s="247" t="n">
        <v>124</v>
      </c>
      <c r="F10" s="11">
        <f>IF(E10="","",IF(ISNA(VLOOKUP(E10,科目コード表!$C$4:$D$67,2,FALSE)),"該当科目なし",VLOOKUP(E10,科目コード表!$C$4:$D$67,2,FALSE)))</f>
        <v/>
      </c>
      <c r="G10" s="38" t="n">
        <v>1</v>
      </c>
      <c r="H10" s="248" t="n"/>
      <c r="I10" s="11">
        <f>IF(H10="","",IF(ISNA(VLOOKUP(H10,科目コード表!$C$4:$D$67,2,FALSE)),"該当科目なし",VLOOKUP(H10,科目コード表!$C$4:$D$67,2,FALSE)))</f>
        <v/>
      </c>
      <c r="J10" s="40" t="n"/>
      <c r="L10" s="46">
        <f>IF($E10=L$3,$G10,0)-IF($H10=L$3,$J10,0)</f>
        <v/>
      </c>
      <c r="M10" s="47">
        <f>IF($E10=M$3,$G10,0)-IF($H10=M$3,$J10,0)</f>
        <v/>
      </c>
      <c r="N10" s="47">
        <f>IF($E10=N$3,$G10,0)-IF($H10=N$3,$J10,0)</f>
        <v/>
      </c>
      <c r="O10" s="47">
        <f>IF($E10=O$3,$G10,0)-IF($H10=O$3,$J10,0)</f>
        <v/>
      </c>
      <c r="P10" s="47">
        <f>IF($E10=P$3,$G10,0)-IF($H10=P$3,$J10,0)</f>
        <v/>
      </c>
      <c r="Q10" s="47">
        <f>IF($E10=Q$3,$G10,0)-IF($H10=Q$3,$J10,0)</f>
        <v/>
      </c>
      <c r="R10" s="47">
        <f>IF($E10=R$3,$G10,0)-IF($H10=R$3,$J10,0)</f>
        <v/>
      </c>
      <c r="S10" s="47">
        <f>IF($E10=S$3,$G10,0)-IF($H10=S$3,$J10,0)</f>
        <v/>
      </c>
      <c r="T10" s="47">
        <f>IF($E10=T$3,$G10,0)-IF($H10=T$3,$J10,0)</f>
        <v/>
      </c>
      <c r="U10" s="47">
        <f>IF($E10=U$3,$G10,0)-IF($H10=U$3,$J10,0)</f>
        <v/>
      </c>
      <c r="V10" s="47">
        <f>IF($E10=V$3,$G10,0)-IF($H10=V$3,$J10,0)</f>
        <v/>
      </c>
      <c r="W10" s="47">
        <f>IF($E10=W$3,$G10,0)-IF($H10=W$3,$J10,0)</f>
        <v/>
      </c>
      <c r="X10" s="47">
        <f>IF($E10=X$3,$G10,0)-IF($H10=X$3,$J10,0)</f>
        <v/>
      </c>
      <c r="Y10" s="47">
        <f>IF($E10=Y$3,$G10,0)-IF($H10=Y$3,$J10,0)</f>
        <v/>
      </c>
      <c r="Z10" s="47">
        <f>IF($E10=Z$3,$G10,0)-IF($H10=Z$3,$J10,0)</f>
        <v/>
      </c>
      <c r="AA10" s="47">
        <f>IF($E10=AA$3,$G10,0)-IF($H10=AA$3,$J10,0)</f>
        <v/>
      </c>
      <c r="AB10" s="47">
        <f>IF($E10=AB$3,$G10,0)-IF($H10=AB$3,$J10,0)</f>
        <v/>
      </c>
      <c r="AC10" s="47">
        <f>IF($E10=AC$3,$G10,0)-IF($H10=AC$3,$J10,0)</f>
        <v/>
      </c>
      <c r="AD10" s="47">
        <f>IF($E10=AD$3,$G10,0)-IF($H10=AD$3,$J10,0)</f>
        <v/>
      </c>
      <c r="AE10" s="47">
        <f>IF($E10=AE$3,$G10,0)-IF($H10=AE$3,$J10,0)</f>
        <v/>
      </c>
      <c r="AF10" s="47">
        <f>IF($E10=AF$3,$G10,0)-IF($H10=AF$3,$J10,0)</f>
        <v/>
      </c>
      <c r="AG10" s="47">
        <f>IF($E10=AG$3,$G10,0)-IF($H10=AG$3,$J10,0)</f>
        <v/>
      </c>
      <c r="AH10" s="47">
        <f>IF($E10=AH$3,$G10,0)-IF($H10=AH$3,$J10,0)</f>
        <v/>
      </c>
      <c r="AI10" s="47">
        <f>IF($E10=AI$3,$G10,0)-IF($H10=AI$3,$J10,0)</f>
        <v/>
      </c>
      <c r="AJ10" s="47">
        <f>IF($E10=AJ$3,$G10,0)-IF($H10=AJ$3,$J10,0)</f>
        <v/>
      </c>
      <c r="AK10" s="47">
        <f>IF($E10=AK$3,$G10,0)-IF($H10=AK$3,$J10,0)</f>
        <v/>
      </c>
      <c r="AL10" s="48">
        <f>IF($E10=AL$3,$G10,0)-IF($H10=AL$3,$J10,0)</f>
        <v/>
      </c>
      <c r="AM10" s="46">
        <f>-IF($E10=AM$3,$G10,0)+IF($H10=AM$3,$J10,0)</f>
        <v/>
      </c>
      <c r="AN10" s="47">
        <f>-IF($E10=AN$3,$G10,0)+IF($H10=AN$3,$J10,0)</f>
        <v/>
      </c>
      <c r="AO10" s="48">
        <f>-IF($E10=AO$3,$G10,0)+IF($H10=AO$3,$J10,0)</f>
        <v/>
      </c>
      <c r="AP10" s="46">
        <f>IF($E10=AP$3,$G10,0)-IF($H10=AP$3,$J10,0)</f>
        <v/>
      </c>
      <c r="AQ10" s="47">
        <f>IF($E10=AQ$3,$G10,0)-IF($H10=AQ$3,$J10,0)</f>
        <v/>
      </c>
      <c r="AR10" s="47">
        <f>IF($E10=AR$3,$G10,0)-IF($H10=AR$3,$J10,0)</f>
        <v/>
      </c>
      <c r="AS10" s="47">
        <f>IF($E10=AS$3,$G10,0)-IF($H10=AS$3,$J10,0)</f>
        <v/>
      </c>
      <c r="AT10" s="47">
        <f>IF($E10=AT$3,$G10,0)-IF($H10=AT$3,$J10,0)</f>
        <v/>
      </c>
      <c r="AU10" s="47">
        <f>IF($E10=AU$3,$G10,0)-IF($H10=AU$3,$J10,0)</f>
        <v/>
      </c>
      <c r="AV10" s="47">
        <f>IF($E10=AV$3,$G10,0)-IF($H10=AV$3,$J10,0)</f>
        <v/>
      </c>
      <c r="AW10" s="47">
        <f>IF($E10=AW$3,$G10,0)-IF($H10=AW$3,$J10,0)</f>
        <v/>
      </c>
      <c r="AX10" s="47">
        <f>IF($E10=AX$3,$G10,0)-IF($H10=AX$3,$J10,0)</f>
        <v/>
      </c>
      <c r="AY10" s="47">
        <f>IF($E10=AY$3,$G10,0)-IF($H10=AY$3,$J10,0)</f>
        <v/>
      </c>
      <c r="AZ10" s="47">
        <f>IF($E10=AZ$3,$G10,0)-IF($H10=AZ$3,$J10,0)</f>
        <v/>
      </c>
      <c r="BA10" s="47">
        <f>IF($E10=BA$3,$G10,0)-IF($H10=BA$3,$J10,0)</f>
        <v/>
      </c>
      <c r="BB10" s="47">
        <f>IF($E10=BB$3,$G10,0)-IF($H10=BB$3,$J10,0)</f>
        <v/>
      </c>
      <c r="BC10" s="47">
        <f>IF($E10=BC$3,$G10,0)-IF($H10=BC$3,$J10,0)</f>
        <v/>
      </c>
      <c r="BD10" s="47">
        <f>IF($E10=BD$3,$G10,0)-IF($H10=BD$3,$J10,0)</f>
        <v/>
      </c>
      <c r="BE10" s="47">
        <f>IF($E10=BE$3,$G10,0)-IF($H10=BE$3,$J10,0)</f>
        <v/>
      </c>
      <c r="BF10" s="47">
        <f>IF($E10=BF$3,$G10,0)-IF($H10=BF$3,$J10,0)</f>
        <v/>
      </c>
      <c r="BG10" s="47">
        <f>IF($E10=BG$3,$G10,0)-IF($H10=BG$3,$J10,0)</f>
        <v/>
      </c>
      <c r="BH10" s="47">
        <f>IF($E10=BH$3,$G10,0)-IF($H10=BH$3,$J10,0)</f>
        <v/>
      </c>
      <c r="BI10" s="47">
        <f>IF($E10=BI$3,$G10,0)-IF($H10=BI$3,$J10,0)</f>
        <v/>
      </c>
      <c r="BJ10" s="47">
        <f>IF($E10=BJ$3,$G10,0)-IF($H10=BJ$3,$J10,0)</f>
        <v/>
      </c>
      <c r="BK10" s="47">
        <f>IF($E10=BK$3,$G10,0)-IF($H10=BK$3,$J10,0)</f>
        <v/>
      </c>
      <c r="BL10" s="46">
        <f>-IF($E10=BL$3,$G10,0)+IF($H10=BL$3,$J10,0)</f>
        <v/>
      </c>
      <c r="BM10" s="47">
        <f>-IF($E10=BM$3,$G10,0)+IF($H10=BM$3,$J10,0)</f>
        <v/>
      </c>
      <c r="BN10" s="47">
        <f>-IF($E10=BN$3,$G10,0)+IF($H10=BN$3,$J10,0)</f>
        <v/>
      </c>
      <c r="BO10" s="47">
        <f>-IF($E10=BO$3,$G10,0)+IF($H10=BO$3,$J10,0)</f>
        <v/>
      </c>
      <c r="BP10" s="47">
        <f>-IF($E10=BP$3,$G10,0)+IF($H10=BP$3,$J10,0)</f>
        <v/>
      </c>
      <c r="BQ10" s="47">
        <f>-IF($E10=BQ$3,$G10,0)+IF($H10=BQ$3,$J10,0)</f>
        <v/>
      </c>
      <c r="BR10" s="47">
        <f>-IF($E10=BR$3,$G10,0)+IF($H10=BR$3,$J10,0)</f>
        <v/>
      </c>
      <c r="BS10" s="47">
        <f>-IF($E10=BS$3,$G10,0)+IF($H10=BS$3,$J10,0)</f>
        <v/>
      </c>
      <c r="BT10" s="47">
        <f>-IF($E10=BT$3,$G10,0)+IF($H10=BT$3,$J10,0)</f>
        <v/>
      </c>
      <c r="BU10" s="46">
        <f>+G10-J10</f>
        <v/>
      </c>
      <c r="BV10" s="48">
        <f>-IF($E10=BV$3,$G10,0)+IF($H10=BV$3,$J10,0)</f>
        <v/>
      </c>
    </row>
    <row r="11" ht="15.75" customHeight="1" s="214">
      <c r="A11" s="7" t="n"/>
      <c r="B11" s="8" t="n">
        <v>1</v>
      </c>
      <c r="C11" s="9" t="n">
        <v>1</v>
      </c>
      <c r="D11" s="10" t="inlineStr">
        <is>
          <t>前年繰越 リサイクル預託金</t>
        </is>
      </c>
      <c r="E11" s="247" t="n">
        <v>114</v>
      </c>
      <c r="F11" s="11">
        <f>IF(E11="","",IF(ISNA(VLOOKUP(E11,科目コード表!$C$4:$D$67,2,FALSE)),"該当科目なし",VLOOKUP(E11,科目コード表!$C$4:$D$67,2,FALSE)))</f>
        <v/>
      </c>
      <c r="G11" s="38" t="n">
        <v>9130</v>
      </c>
      <c r="H11" s="248" t="n"/>
      <c r="I11" s="11">
        <f>IF(H11="","",IF(ISNA(VLOOKUP(H11,科目コード表!$C$4:$D$67,2,FALSE)),"該当科目なし",VLOOKUP(H11,科目コード表!$C$4:$D$67,2,FALSE)))</f>
        <v/>
      </c>
      <c r="J11" s="40" t="n"/>
      <c r="L11" s="46">
        <f>IF($E11=L$3,$G11,0)-IF($H11=L$3,$J11,0)</f>
        <v/>
      </c>
      <c r="M11" s="47">
        <f>IF($E11=M$3,$G11,0)-IF($H11=M$3,$J11,0)</f>
        <v/>
      </c>
      <c r="N11" s="47">
        <f>IF($E11=N$3,$G11,0)-IF($H11=N$3,$J11,0)</f>
        <v/>
      </c>
      <c r="O11" s="47">
        <f>IF($E11=O$3,$G11,0)-IF($H11=O$3,$J11,0)</f>
        <v/>
      </c>
      <c r="P11" s="47">
        <f>IF($E11=P$3,$G11,0)-IF($H11=P$3,$J11,0)</f>
        <v/>
      </c>
      <c r="Q11" s="47">
        <f>IF($E11=Q$3,$G11,0)-IF($H11=Q$3,$J11,0)</f>
        <v/>
      </c>
      <c r="R11" s="47">
        <f>IF($E11=R$3,$G11,0)-IF($H11=R$3,$J11,0)</f>
        <v/>
      </c>
      <c r="S11" s="47">
        <f>IF($E11=S$3,$G11,0)-IF($H11=S$3,$J11,0)</f>
        <v/>
      </c>
      <c r="T11" s="47">
        <f>IF($E11=T$3,$G11,0)-IF($H11=T$3,$J11,0)</f>
        <v/>
      </c>
      <c r="U11" s="47">
        <f>IF($E11=U$3,$G11,0)-IF($H11=U$3,$J11,0)</f>
        <v/>
      </c>
      <c r="V11" s="47">
        <f>IF($E11=V$3,$G11,0)-IF($H11=V$3,$J11,0)</f>
        <v/>
      </c>
      <c r="W11" s="47">
        <f>IF($E11=W$3,$G11,0)-IF($H11=W$3,$J11,0)</f>
        <v/>
      </c>
      <c r="X11" s="47">
        <f>IF($E11=X$3,$G11,0)-IF($H11=X$3,$J11,0)</f>
        <v/>
      </c>
      <c r="Y11" s="47">
        <f>IF($E11=Y$3,$G11,0)-IF($H11=Y$3,$J11,0)</f>
        <v/>
      </c>
      <c r="Z11" s="47">
        <f>IF($E11=Z$3,$G11,0)-IF($H11=Z$3,$J11,0)</f>
        <v/>
      </c>
      <c r="AA11" s="47">
        <f>IF($E11=AA$3,$G11,0)-IF($H11=AA$3,$J11,0)</f>
        <v/>
      </c>
      <c r="AB11" s="47">
        <f>IF($E11=AB$3,$G11,0)-IF($H11=AB$3,$J11,0)</f>
        <v/>
      </c>
      <c r="AC11" s="47">
        <f>IF($E11=AC$3,$G11,0)-IF($H11=AC$3,$J11,0)</f>
        <v/>
      </c>
      <c r="AD11" s="47">
        <f>IF($E11=AD$3,$G11,0)-IF($H11=AD$3,$J11,0)</f>
        <v/>
      </c>
      <c r="AE11" s="47">
        <f>IF($E11=AE$3,$G11,0)-IF($H11=AE$3,$J11,0)</f>
        <v/>
      </c>
      <c r="AF11" s="47">
        <f>IF($E11=AF$3,$G11,0)-IF($H11=AF$3,$J11,0)</f>
        <v/>
      </c>
      <c r="AG11" s="47">
        <f>IF($E11=AG$3,$G11,0)-IF($H11=AG$3,$J11,0)</f>
        <v/>
      </c>
      <c r="AH11" s="47">
        <f>IF($E11=AH$3,$G11,0)-IF($H11=AH$3,$J11,0)</f>
        <v/>
      </c>
      <c r="AI11" s="47">
        <f>IF($E11=AI$3,$G11,0)-IF($H11=AI$3,$J11,0)</f>
        <v/>
      </c>
      <c r="AJ11" s="47">
        <f>IF($E11=AJ$3,$G11,0)-IF($H11=AJ$3,$J11,0)</f>
        <v/>
      </c>
      <c r="AK11" s="47">
        <f>IF($E11=AK$3,$G11,0)-IF($H11=AK$3,$J11,0)</f>
        <v/>
      </c>
      <c r="AL11" s="48">
        <f>IF($E11=AL$3,$G11,0)-IF($H11=AL$3,$J11,0)</f>
        <v/>
      </c>
      <c r="AM11" s="46">
        <f>-IF($E11=AM$3,$G11,0)+IF($H11=AM$3,$J11,0)</f>
        <v/>
      </c>
      <c r="AN11" s="47">
        <f>-IF($E11=AN$3,$G11,0)+IF($H11=AN$3,$J11,0)</f>
        <v/>
      </c>
      <c r="AO11" s="48">
        <f>-IF($E11=AO$3,$G11,0)+IF($H11=AO$3,$J11,0)</f>
        <v/>
      </c>
      <c r="AP11" s="46">
        <f>IF($E11=AP$3,$G11,0)-IF($H11=AP$3,$J11,0)</f>
        <v/>
      </c>
      <c r="AQ11" s="47">
        <f>IF($E11=AQ$3,$G11,0)-IF($H11=AQ$3,$J11,0)</f>
        <v/>
      </c>
      <c r="AR11" s="47">
        <f>IF($E11=AR$3,$G11,0)-IF($H11=AR$3,$J11,0)</f>
        <v/>
      </c>
      <c r="AS11" s="47">
        <f>IF($E11=AS$3,$G11,0)-IF($H11=AS$3,$J11,0)</f>
        <v/>
      </c>
      <c r="AT11" s="47">
        <f>IF($E11=AT$3,$G11,0)-IF($H11=AT$3,$J11,0)</f>
        <v/>
      </c>
      <c r="AU11" s="47">
        <f>IF($E11=AU$3,$G11,0)-IF($H11=AU$3,$J11,0)</f>
        <v/>
      </c>
      <c r="AV11" s="47">
        <f>IF($E11=AV$3,$G11,0)-IF($H11=AV$3,$J11,0)</f>
        <v/>
      </c>
      <c r="AW11" s="47">
        <f>IF($E11=AW$3,$G11,0)-IF($H11=AW$3,$J11,0)</f>
        <v/>
      </c>
      <c r="AX11" s="47">
        <f>IF($E11=AX$3,$G11,0)-IF($H11=AX$3,$J11,0)</f>
        <v/>
      </c>
      <c r="AY11" s="47">
        <f>IF($E11=AY$3,$G11,0)-IF($H11=AY$3,$J11,0)</f>
        <v/>
      </c>
      <c r="AZ11" s="47">
        <f>IF($E11=AZ$3,$G11,0)-IF($H11=AZ$3,$J11,0)</f>
        <v/>
      </c>
      <c r="BA11" s="47">
        <f>IF($E11=BA$3,$G11,0)-IF($H11=BA$3,$J11,0)</f>
        <v/>
      </c>
      <c r="BB11" s="47">
        <f>IF($E11=BB$3,$G11,0)-IF($H11=BB$3,$J11,0)</f>
        <v/>
      </c>
      <c r="BC11" s="47">
        <f>IF($E11=BC$3,$G11,0)-IF($H11=BC$3,$J11,0)</f>
        <v/>
      </c>
      <c r="BD11" s="47">
        <f>IF($E11=BD$3,$G11,0)-IF($H11=BD$3,$J11,0)</f>
        <v/>
      </c>
      <c r="BE11" s="47">
        <f>IF($E11=BE$3,$G11,0)-IF($H11=BE$3,$J11,0)</f>
        <v/>
      </c>
      <c r="BF11" s="47">
        <f>IF($E11=BF$3,$G11,0)-IF($H11=BF$3,$J11,0)</f>
        <v/>
      </c>
      <c r="BG11" s="47">
        <f>IF($E11=BG$3,$G11,0)-IF($H11=BG$3,$J11,0)</f>
        <v/>
      </c>
      <c r="BH11" s="47">
        <f>IF($E11=BH$3,$G11,0)-IF($H11=BH$3,$J11,0)</f>
        <v/>
      </c>
      <c r="BI11" s="47">
        <f>IF($E11=BI$3,$G11,0)-IF($H11=BI$3,$J11,0)</f>
        <v/>
      </c>
      <c r="BJ11" s="47">
        <f>IF($E11=BJ$3,$G11,0)-IF($H11=BJ$3,$J11,0)</f>
        <v/>
      </c>
      <c r="BK11" s="47">
        <f>IF($E11=BK$3,$G11,0)-IF($H11=BK$3,$J11,0)</f>
        <v/>
      </c>
      <c r="BL11" s="46">
        <f>-IF($E11=BL$3,$G11,0)+IF($H11=BL$3,$J11,0)</f>
        <v/>
      </c>
      <c r="BM11" s="47">
        <f>-IF($E11=BM$3,$G11,0)+IF($H11=BM$3,$J11,0)</f>
        <v/>
      </c>
      <c r="BN11" s="47">
        <f>-IF($E11=BN$3,$G11,0)+IF($H11=BN$3,$J11,0)</f>
        <v/>
      </c>
      <c r="BO11" s="47">
        <f>-IF($E11=BO$3,$G11,0)+IF($H11=BO$3,$J11,0)</f>
        <v/>
      </c>
      <c r="BP11" s="47">
        <f>-IF($E11=BP$3,$G11,0)+IF($H11=BP$3,$J11,0)</f>
        <v/>
      </c>
      <c r="BQ11" s="47">
        <f>-IF($E11=BQ$3,$G11,0)+IF($H11=BQ$3,$J11,0)</f>
        <v/>
      </c>
      <c r="BR11" s="47">
        <f>-IF($E11=BR$3,$G11,0)+IF($H11=BR$3,$J11,0)</f>
        <v/>
      </c>
      <c r="BS11" s="47">
        <f>-IF($E11=BS$3,$G11,0)+IF($H11=BS$3,$J11,0)</f>
        <v/>
      </c>
      <c r="BT11" s="47">
        <f>-IF($E11=BT$3,$G11,0)+IF($H11=BT$3,$J11,0)</f>
        <v/>
      </c>
      <c r="BU11" s="46">
        <f>+G11-J11</f>
        <v/>
      </c>
      <c r="BV11" s="48">
        <f>-IF($E11=BV$3,$G11,0)+IF($H11=BV$3,$J11,0)</f>
        <v/>
      </c>
      <c r="BW11" s="3" t="n"/>
    </row>
    <row r="12" ht="15.75" customHeight="1" s="214">
      <c r="A12" s="7" t="n"/>
      <c r="B12" s="8" t="n">
        <v>1</v>
      </c>
      <c r="C12" s="9" t="n">
        <v>1</v>
      </c>
      <c r="D12" s="10" t="inlineStr">
        <is>
          <t>前年繰越 未払金</t>
        </is>
      </c>
      <c r="E12" s="247" t="n"/>
      <c r="F12" s="11">
        <f>IF(E12="","",IF(ISNA(VLOOKUP(E12,科目コード表!$C$4:$D$67,2,FALSE)),"該当科目なし",VLOOKUP(E12,科目コード表!$C$4:$D$67,2,FALSE)))</f>
        <v/>
      </c>
      <c r="G12" s="38" t="n"/>
      <c r="H12" s="248" t="n">
        <v>204</v>
      </c>
      <c r="I12" s="11">
        <f>IF(H12="","",IF(ISNA(VLOOKUP(H12,科目コード表!$C$4:$D$67,2,FALSE)),"該当科目なし",VLOOKUP(H12,科目コード表!$C$4:$D$67,2,FALSE)))</f>
        <v/>
      </c>
      <c r="J12" s="40" t="n">
        <v>61327</v>
      </c>
      <c r="L12" s="46">
        <f>IF($E12=L$3,$G12,0)-IF($H12=L$3,$J12,0)</f>
        <v/>
      </c>
      <c r="M12" s="47">
        <f>IF($E12=M$3,$G12,0)-IF($H12=M$3,$J12,0)</f>
        <v/>
      </c>
      <c r="N12" s="47">
        <f>IF($E12=N$3,$G12,0)-IF($H12=N$3,$J12,0)</f>
        <v/>
      </c>
      <c r="O12" s="47">
        <f>IF($E12=O$3,$G12,0)-IF($H12=O$3,$J12,0)</f>
        <v/>
      </c>
      <c r="P12" s="47">
        <f>IF($E12=P$3,$G12,0)-IF($H12=P$3,$J12,0)</f>
        <v/>
      </c>
      <c r="Q12" s="47">
        <f>IF($E12=Q$3,$G12,0)-IF($H12=Q$3,$J12,0)</f>
        <v/>
      </c>
      <c r="R12" s="47">
        <f>IF($E12=R$3,$G12,0)-IF($H12=R$3,$J12,0)</f>
        <v/>
      </c>
      <c r="S12" s="47">
        <f>IF($E12=S$3,$G12,0)-IF($H12=S$3,$J12,0)</f>
        <v/>
      </c>
      <c r="T12" s="47">
        <f>IF($E12=T$3,$G12,0)-IF($H12=T$3,$J12,0)</f>
        <v/>
      </c>
      <c r="U12" s="47">
        <f>IF($E12=U$3,$G12,0)-IF($H12=U$3,$J12,0)</f>
        <v/>
      </c>
      <c r="V12" s="47">
        <f>IF($E12=V$3,$G12,0)-IF($H12=V$3,$J12,0)</f>
        <v/>
      </c>
      <c r="W12" s="47">
        <f>IF($E12=W$3,$G12,0)-IF($H12=W$3,$J12,0)</f>
        <v/>
      </c>
      <c r="X12" s="47">
        <f>IF($E12=X$3,$G12,0)-IF($H12=X$3,$J12,0)</f>
        <v/>
      </c>
      <c r="Y12" s="47">
        <f>IF($E12=Y$3,$G12,0)-IF($H12=Y$3,$J12,0)</f>
        <v/>
      </c>
      <c r="Z12" s="47">
        <f>IF($E12=Z$3,$G12,0)-IF($H12=Z$3,$J12,0)</f>
        <v/>
      </c>
      <c r="AA12" s="47">
        <f>IF($E12=AA$3,$G12,0)-IF($H12=AA$3,$J12,0)</f>
        <v/>
      </c>
      <c r="AB12" s="47">
        <f>IF($E12=AB$3,$G12,0)-IF($H12=AB$3,$J12,0)</f>
        <v/>
      </c>
      <c r="AC12" s="47">
        <f>IF($E12=AC$3,$G12,0)-IF($H12=AC$3,$J12,0)</f>
        <v/>
      </c>
      <c r="AD12" s="47">
        <f>IF($E12=AD$3,$G12,0)-IF($H12=AD$3,$J12,0)</f>
        <v/>
      </c>
      <c r="AE12" s="47">
        <f>IF($E12=AE$3,$G12,0)-IF($H12=AE$3,$J12,0)</f>
        <v/>
      </c>
      <c r="AF12" s="47">
        <f>IF($E12=AF$3,$G12,0)-IF($H12=AF$3,$J12,0)</f>
        <v/>
      </c>
      <c r="AG12" s="47">
        <f>IF($E12=AG$3,$G12,0)-IF($H12=AG$3,$J12,0)</f>
        <v/>
      </c>
      <c r="AH12" s="47">
        <f>IF($E12=AH$3,$G12,0)-IF($H12=AH$3,$J12,0)</f>
        <v/>
      </c>
      <c r="AI12" s="47">
        <f>IF($E12=AI$3,$G12,0)-IF($H12=AI$3,$J12,0)</f>
        <v/>
      </c>
      <c r="AJ12" s="47">
        <f>IF($E12=AJ$3,$G12,0)-IF($H12=AJ$3,$J12,0)</f>
        <v/>
      </c>
      <c r="AK12" s="47">
        <f>IF($E12=AK$3,$G12,0)-IF($H12=AK$3,$J12,0)</f>
        <v/>
      </c>
      <c r="AL12" s="48">
        <f>IF($E12=AL$3,$G12,0)-IF($H12=AL$3,$J12,0)</f>
        <v/>
      </c>
      <c r="AM12" s="46">
        <f>-IF($E12=AM$3,$G12,0)+IF($H12=AM$3,$J12,0)</f>
        <v/>
      </c>
      <c r="AN12" s="47">
        <f>-IF($E12=AN$3,$G12,0)+IF($H12=AN$3,$J12,0)</f>
        <v/>
      </c>
      <c r="AO12" s="48">
        <f>-IF($E12=AO$3,$G12,0)+IF($H12=AO$3,$J12,0)</f>
        <v/>
      </c>
      <c r="AP12" s="46">
        <f>IF($E12=AP$3,$G12,0)-IF($H12=AP$3,$J12,0)</f>
        <v/>
      </c>
      <c r="AQ12" s="47">
        <f>IF($E12=AQ$3,$G12,0)-IF($H12=AQ$3,$J12,0)</f>
        <v/>
      </c>
      <c r="AR12" s="47">
        <f>IF($E12=AR$3,$G12,0)-IF($H12=AR$3,$J12,0)</f>
        <v/>
      </c>
      <c r="AS12" s="47">
        <f>IF($E12=AS$3,$G12,0)-IF($H12=AS$3,$J12,0)</f>
        <v/>
      </c>
      <c r="AT12" s="47">
        <f>IF($E12=AT$3,$G12,0)-IF($H12=AT$3,$J12,0)</f>
        <v/>
      </c>
      <c r="AU12" s="47">
        <f>IF($E12=AU$3,$G12,0)-IF($H12=AU$3,$J12,0)</f>
        <v/>
      </c>
      <c r="AV12" s="47">
        <f>IF($E12=AV$3,$G12,0)-IF($H12=AV$3,$J12,0)</f>
        <v/>
      </c>
      <c r="AW12" s="47">
        <f>IF($E12=AW$3,$G12,0)-IF($H12=AW$3,$J12,0)</f>
        <v/>
      </c>
      <c r="AX12" s="47">
        <f>IF($E12=AX$3,$G12,0)-IF($H12=AX$3,$J12,0)</f>
        <v/>
      </c>
      <c r="AY12" s="47">
        <f>IF($E12=AY$3,$G12,0)-IF($H12=AY$3,$J12,0)</f>
        <v/>
      </c>
      <c r="AZ12" s="47">
        <f>IF($E12=AZ$3,$G12,0)-IF($H12=AZ$3,$J12,0)</f>
        <v/>
      </c>
      <c r="BA12" s="47">
        <f>IF($E12=BA$3,$G12,0)-IF($H12=BA$3,$J12,0)</f>
        <v/>
      </c>
      <c r="BB12" s="47">
        <f>IF($E12=BB$3,$G12,0)-IF($H12=BB$3,$J12,0)</f>
        <v/>
      </c>
      <c r="BC12" s="47">
        <f>IF($E12=BC$3,$G12,0)-IF($H12=BC$3,$J12,0)</f>
        <v/>
      </c>
      <c r="BD12" s="47">
        <f>IF($E12=BD$3,$G12,0)-IF($H12=BD$3,$J12,0)</f>
        <v/>
      </c>
      <c r="BE12" s="47">
        <f>IF($E12=BE$3,$G12,0)-IF($H12=BE$3,$J12,0)</f>
        <v/>
      </c>
      <c r="BF12" s="47">
        <f>IF($E12=BF$3,$G12,0)-IF($H12=BF$3,$J12,0)</f>
        <v/>
      </c>
      <c r="BG12" s="47">
        <f>IF($E12=BG$3,$G12,0)-IF($H12=BG$3,$J12,0)</f>
        <v/>
      </c>
      <c r="BH12" s="47">
        <f>IF($E12=BH$3,$G12,0)-IF($H12=BH$3,$J12,0)</f>
        <v/>
      </c>
      <c r="BI12" s="47">
        <f>IF($E12=BI$3,$G12,0)-IF($H12=BI$3,$J12,0)</f>
        <v/>
      </c>
      <c r="BJ12" s="47">
        <f>IF($E12=BJ$3,$G12,0)-IF($H12=BJ$3,$J12,0)</f>
        <v/>
      </c>
      <c r="BK12" s="47">
        <f>IF($E12=BK$3,$G12,0)-IF($H12=BK$3,$J12,0)</f>
        <v/>
      </c>
      <c r="BL12" s="46">
        <f>-IF($E12=BL$3,$G12,0)+IF($H12=BL$3,$J12,0)</f>
        <v/>
      </c>
      <c r="BM12" s="47">
        <f>-IF($E12=BM$3,$G12,0)+IF($H12=BM$3,$J12,0)</f>
        <v/>
      </c>
      <c r="BN12" s="47">
        <f>-IF($E12=BN$3,$G12,0)+IF($H12=BN$3,$J12,0)</f>
        <v/>
      </c>
      <c r="BO12" s="47">
        <f>-IF($E12=BO$3,$G12,0)+IF($H12=BO$3,$J12,0)</f>
        <v/>
      </c>
      <c r="BP12" s="47">
        <f>-IF($E12=BP$3,$G12,0)+IF($H12=BP$3,$J12,0)</f>
        <v/>
      </c>
      <c r="BQ12" s="47">
        <f>-IF($E12=BQ$3,$G12,0)+IF($H12=BQ$3,$J12,0)</f>
        <v/>
      </c>
      <c r="BR12" s="47">
        <f>-IF($E12=BR$3,$G12,0)+IF($H12=BR$3,$J12,0)</f>
        <v/>
      </c>
      <c r="BS12" s="47">
        <f>-IF($E12=BS$3,$G12,0)+IF($H12=BS$3,$J12,0)</f>
        <v/>
      </c>
      <c r="BT12" s="47">
        <f>-IF($E12=BT$3,$G12,0)+IF($H12=BT$3,$J12,0)</f>
        <v/>
      </c>
      <c r="BU12" s="46">
        <f>+G12-J12</f>
        <v/>
      </c>
      <c r="BV12" s="48">
        <f>-IF($E12=BV$3,$G12,0)+IF($H12=BV$3,$J12,0)</f>
        <v/>
      </c>
    </row>
    <row r="13" ht="15.75" customHeight="1" s="214">
      <c r="A13" s="7" t="n"/>
      <c r="B13" s="8" t="n">
        <v>1</v>
      </c>
      <c r="C13" s="9" t="n">
        <v>1</v>
      </c>
      <c r="D13" s="10" t="inlineStr">
        <is>
          <t>前年繰越 元入金</t>
        </is>
      </c>
      <c r="E13" s="247" t="n"/>
      <c r="F13" s="11">
        <f>IF(E13="","",IF(ISNA(VLOOKUP(E13,科目コード表!$C$4:$D$67,2,FALSE)),"該当科目なし",VLOOKUP(E13,科目コード表!$C$4:$D$67,2,FALSE)))</f>
        <v/>
      </c>
      <c r="G13" s="38" t="n"/>
      <c r="H13" s="248" t="n">
        <v>302</v>
      </c>
      <c r="I13" s="11">
        <f>IF(H13="","",IF(ISNA(VLOOKUP(H13,科目コード表!$C$4:$D$67,2,FALSE)),"該当科目なし",VLOOKUP(H13,科目コード表!$C$4:$D$67,2,FALSE)))</f>
        <v/>
      </c>
      <c r="J13" s="40" t="n">
        <v>25846530</v>
      </c>
      <c r="L13" s="46">
        <f>IF($E13=L$3,$G13,0)-IF($H13=L$3,$J13,0)</f>
        <v/>
      </c>
      <c r="M13" s="47">
        <f>IF($E13=M$3,$G13,0)-IF($H13=M$3,$J13,0)</f>
        <v/>
      </c>
      <c r="N13" s="47">
        <f>IF($E13=N$3,$G13,0)-IF($H13=N$3,$J13,0)</f>
        <v/>
      </c>
      <c r="O13" s="47">
        <f>IF($E13=O$3,$G13,0)-IF($H13=O$3,$J13,0)</f>
        <v/>
      </c>
      <c r="P13" s="47">
        <f>IF($E13=P$3,$G13,0)-IF($H13=P$3,$J13,0)</f>
        <v/>
      </c>
      <c r="Q13" s="47">
        <f>IF($E13=Q$3,$G13,0)-IF($H13=Q$3,$J13,0)</f>
        <v/>
      </c>
      <c r="R13" s="47">
        <f>IF($E13=R$3,$G13,0)-IF($H13=R$3,$J13,0)</f>
        <v/>
      </c>
      <c r="S13" s="47">
        <f>IF($E13=S$3,$G13,0)-IF($H13=S$3,$J13,0)</f>
        <v/>
      </c>
      <c r="T13" s="47">
        <f>IF($E13=T$3,$G13,0)-IF($H13=T$3,$J13,0)</f>
        <v/>
      </c>
      <c r="U13" s="47">
        <f>IF($E13=U$3,$G13,0)-IF($H13=U$3,$J13,0)</f>
        <v/>
      </c>
      <c r="V13" s="47">
        <f>IF($E13=V$3,$G13,0)-IF($H13=V$3,$J13,0)</f>
        <v/>
      </c>
      <c r="W13" s="47">
        <f>IF($E13=W$3,$G13,0)-IF($H13=W$3,$J13,0)</f>
        <v/>
      </c>
      <c r="X13" s="47">
        <f>IF($E13=X$3,$G13,0)-IF($H13=X$3,$J13,0)</f>
        <v/>
      </c>
      <c r="Y13" s="47">
        <f>IF($E13=Y$3,$G13,0)-IF($H13=Y$3,$J13,0)</f>
        <v/>
      </c>
      <c r="Z13" s="47">
        <f>IF($E13=Z$3,$G13,0)-IF($H13=Z$3,$J13,0)</f>
        <v/>
      </c>
      <c r="AA13" s="47">
        <f>IF($E13=AA$3,$G13,0)-IF($H13=AA$3,$J13,0)</f>
        <v/>
      </c>
      <c r="AB13" s="47">
        <f>IF($E13=AB$3,$G13,0)-IF($H13=AB$3,$J13,0)</f>
        <v/>
      </c>
      <c r="AC13" s="47">
        <f>IF($E13=AC$3,$G13,0)-IF($H13=AC$3,$J13,0)</f>
        <v/>
      </c>
      <c r="AD13" s="47">
        <f>IF($E13=AD$3,$G13,0)-IF($H13=AD$3,$J13,0)</f>
        <v/>
      </c>
      <c r="AE13" s="47">
        <f>IF($E13=AE$3,$G13,0)-IF($H13=AE$3,$J13,0)</f>
        <v/>
      </c>
      <c r="AF13" s="47">
        <f>IF($E13=AF$3,$G13,0)-IF($H13=AF$3,$J13,0)</f>
        <v/>
      </c>
      <c r="AG13" s="47">
        <f>IF($E13=AG$3,$G13,0)-IF($H13=AG$3,$J13,0)</f>
        <v/>
      </c>
      <c r="AH13" s="47">
        <f>IF($E13=AH$3,$G13,0)-IF($H13=AH$3,$J13,0)</f>
        <v/>
      </c>
      <c r="AI13" s="47">
        <f>IF($E13=AI$3,$G13,0)-IF($H13=AI$3,$J13,0)</f>
        <v/>
      </c>
      <c r="AJ13" s="47">
        <f>IF($E13=AJ$3,$G13,0)-IF($H13=AJ$3,$J13,0)</f>
        <v/>
      </c>
      <c r="AK13" s="47">
        <f>IF($E13=AK$3,$G13,0)-IF($H13=AK$3,$J13,0)</f>
        <v/>
      </c>
      <c r="AL13" s="48">
        <f>IF($E13=AL$3,$G13,0)-IF($H13=AL$3,$J13,0)</f>
        <v/>
      </c>
      <c r="AM13" s="46">
        <f>-IF($E13=AM$3,$G13,0)+IF($H13=AM$3,$J13,0)</f>
        <v/>
      </c>
      <c r="AN13" s="47">
        <f>-IF($E13=AN$3,$G13,0)+IF($H13=AN$3,$J13,0)</f>
        <v/>
      </c>
      <c r="AO13" s="48">
        <f>-IF($E13=AO$3,$G13,0)+IF($H13=AO$3,$J13,0)</f>
        <v/>
      </c>
      <c r="AP13" s="46">
        <f>IF($E13=AP$3,$G13,0)-IF($H13=AP$3,$J13,0)</f>
        <v/>
      </c>
      <c r="AQ13" s="47">
        <f>IF($E13=AQ$3,$G13,0)-IF($H13=AQ$3,$J13,0)</f>
        <v/>
      </c>
      <c r="AR13" s="47">
        <f>IF($E13=AR$3,$G13,0)-IF($H13=AR$3,$J13,0)</f>
        <v/>
      </c>
      <c r="AS13" s="47">
        <f>IF($E13=AS$3,$G13,0)-IF($H13=AS$3,$J13,0)</f>
        <v/>
      </c>
      <c r="AT13" s="47">
        <f>IF($E13=AT$3,$G13,0)-IF($H13=AT$3,$J13,0)</f>
        <v/>
      </c>
      <c r="AU13" s="47">
        <f>IF($E13=AU$3,$G13,0)-IF($H13=AU$3,$J13,0)</f>
        <v/>
      </c>
      <c r="AV13" s="47">
        <f>IF($E13=AV$3,$G13,0)-IF($H13=AV$3,$J13,0)</f>
        <v/>
      </c>
      <c r="AW13" s="47">
        <f>IF($E13=AW$3,$G13,0)-IF($H13=AW$3,$J13,0)</f>
        <v/>
      </c>
      <c r="AX13" s="47">
        <f>IF($E13=AX$3,$G13,0)-IF($H13=AX$3,$J13,0)</f>
        <v/>
      </c>
      <c r="AY13" s="47">
        <f>IF($E13=AY$3,$G13,0)-IF($H13=AY$3,$J13,0)</f>
        <v/>
      </c>
      <c r="AZ13" s="47">
        <f>IF($E13=AZ$3,$G13,0)-IF($H13=AZ$3,$J13,0)</f>
        <v/>
      </c>
      <c r="BA13" s="47">
        <f>IF($E13=BA$3,$G13,0)-IF($H13=BA$3,$J13,0)</f>
        <v/>
      </c>
      <c r="BB13" s="47">
        <f>IF($E13=BB$3,$G13,0)-IF($H13=BB$3,$J13,0)</f>
        <v/>
      </c>
      <c r="BC13" s="47">
        <f>IF($E13=BC$3,$G13,0)-IF($H13=BC$3,$J13,0)</f>
        <v/>
      </c>
      <c r="BD13" s="47">
        <f>IF($E13=BD$3,$G13,0)-IF($H13=BD$3,$J13,0)</f>
        <v/>
      </c>
      <c r="BE13" s="47">
        <f>IF($E13=BE$3,$G13,0)-IF($H13=BE$3,$J13,0)</f>
        <v/>
      </c>
      <c r="BF13" s="47">
        <f>IF($E13=BF$3,$G13,0)-IF($H13=BF$3,$J13,0)</f>
        <v/>
      </c>
      <c r="BG13" s="47">
        <f>IF($E13=BG$3,$G13,0)-IF($H13=BG$3,$J13,0)</f>
        <v/>
      </c>
      <c r="BH13" s="47">
        <f>IF($E13=BH$3,$G13,0)-IF($H13=BH$3,$J13,0)</f>
        <v/>
      </c>
      <c r="BI13" s="47">
        <f>IF($E13=BI$3,$G13,0)-IF($H13=BI$3,$J13,0)</f>
        <v/>
      </c>
      <c r="BJ13" s="47">
        <f>IF($E13=BJ$3,$G13,0)-IF($H13=BJ$3,$J13,0)</f>
        <v/>
      </c>
      <c r="BK13" s="47">
        <f>IF($E13=BK$3,$G13,0)-IF($H13=BK$3,$J13,0)</f>
        <v/>
      </c>
      <c r="BL13" s="46">
        <f>-IF($E13=BL$3,$G13,0)+IF($H13=BL$3,$J13,0)</f>
        <v/>
      </c>
      <c r="BM13" s="47">
        <f>-IF($E13=BM$3,$G13,0)+IF($H13=BM$3,$J13,0)</f>
        <v/>
      </c>
      <c r="BN13" s="47">
        <f>-IF($E13=BN$3,$G13,0)+IF($H13=BN$3,$J13,0)</f>
        <v/>
      </c>
      <c r="BO13" s="47">
        <f>-IF($E13=BO$3,$G13,0)+IF($H13=BO$3,$J13,0)</f>
        <v/>
      </c>
      <c r="BP13" s="47">
        <f>-IF($E13=BP$3,$G13,0)+IF($H13=BP$3,$J13,0)</f>
        <v/>
      </c>
      <c r="BQ13" s="47">
        <f>-IF($E13=BQ$3,$G13,0)+IF($H13=BQ$3,$J13,0)</f>
        <v/>
      </c>
      <c r="BR13" s="47">
        <f>-IF($E13=BR$3,$G13,0)+IF($H13=BR$3,$J13,0)</f>
        <v/>
      </c>
      <c r="BS13" s="47">
        <f>-IF($E13=BS$3,$G13,0)+IF($H13=BS$3,$J13,0)</f>
        <v/>
      </c>
      <c r="BT13" s="47">
        <f>-IF($E13=BT$3,$G13,0)+IF($H13=BT$3,$J13,0)</f>
        <v/>
      </c>
      <c r="BU13" s="46">
        <f>+G13-J13</f>
        <v/>
      </c>
      <c r="BV13" s="48">
        <f>-IF($E13=BV$3,$G13,0)+IF($H13=BV$3,$J13,0)</f>
        <v/>
      </c>
    </row>
    <row r="14" ht="15.75" customHeight="1" s="214">
      <c r="A14" s="7" t="n"/>
      <c r="B14" s="8" t="n">
        <v>1</v>
      </c>
      <c r="C14" s="9" t="n">
        <v>1</v>
      </c>
      <c r="D14" s="10" t="inlineStr">
        <is>
          <t>前年繰越 控除前利益</t>
        </is>
      </c>
      <c r="E14" s="247" t="n"/>
      <c r="F14" s="11">
        <f>IF(E14="","",IF(ISNA(VLOOKUP(E14,科目コード表!$C$4:$D$67,2,FALSE)),"該当科目なし",VLOOKUP(E14,科目コード表!$C$4:$D$67,2,FALSE)))</f>
        <v/>
      </c>
      <c r="G14" s="38" t="n"/>
      <c r="H14" s="248" t="n">
        <v>302</v>
      </c>
      <c r="I14" s="11">
        <f>IF(H14="","",IF(ISNA(VLOOKUP(H14,科目コード表!$C$4:$D$67,2,FALSE)),"該当科目なし",VLOOKUP(H14,科目コード表!$C$4:$D$67,2,FALSE)))</f>
        <v/>
      </c>
      <c r="J14" s="40" t="n">
        <v>2894138</v>
      </c>
      <c r="L14" s="46">
        <f>IF($E14=L$3,$G14,0)-IF($H14=L$3,$J14,0)</f>
        <v/>
      </c>
      <c r="M14" s="47">
        <f>IF($E14=M$3,$G14,0)-IF($H14=M$3,$J14,0)</f>
        <v/>
      </c>
      <c r="N14" s="47">
        <f>IF($E14=N$3,$G14,0)-IF($H14=N$3,$J14,0)</f>
        <v/>
      </c>
      <c r="O14" s="47">
        <f>IF($E14=O$3,$G14,0)-IF($H14=O$3,$J14,0)</f>
        <v/>
      </c>
      <c r="P14" s="47">
        <f>IF($E14=P$3,$G14,0)-IF($H14=P$3,$J14,0)</f>
        <v/>
      </c>
      <c r="Q14" s="47">
        <f>IF($E14=Q$3,$G14,0)-IF($H14=Q$3,$J14,0)</f>
        <v/>
      </c>
      <c r="R14" s="47">
        <f>IF($E14=R$3,$G14,0)-IF($H14=R$3,$J14,0)</f>
        <v/>
      </c>
      <c r="S14" s="47">
        <f>IF($E14=S$3,$G14,0)-IF($H14=S$3,$J14,0)</f>
        <v/>
      </c>
      <c r="T14" s="47">
        <f>IF($E14=T$3,$G14,0)-IF($H14=T$3,$J14,0)</f>
        <v/>
      </c>
      <c r="U14" s="47">
        <f>IF($E14=U$3,$G14,0)-IF($H14=U$3,$J14,0)</f>
        <v/>
      </c>
      <c r="V14" s="47">
        <f>IF($E14=V$3,$G14,0)-IF($H14=V$3,$J14,0)</f>
        <v/>
      </c>
      <c r="W14" s="47">
        <f>IF($E14=W$3,$G14,0)-IF($H14=W$3,$J14,0)</f>
        <v/>
      </c>
      <c r="X14" s="47">
        <f>IF($E14=X$3,$G14,0)-IF($H14=X$3,$J14,0)</f>
        <v/>
      </c>
      <c r="Y14" s="47">
        <f>IF($E14=Y$3,$G14,0)-IF($H14=Y$3,$J14,0)</f>
        <v/>
      </c>
      <c r="Z14" s="47">
        <f>IF($E14=Z$3,$G14,0)-IF($H14=Z$3,$J14,0)</f>
        <v/>
      </c>
      <c r="AA14" s="47">
        <f>IF($E14=AA$3,$G14,0)-IF($H14=AA$3,$J14,0)</f>
        <v/>
      </c>
      <c r="AB14" s="47">
        <f>IF($E14=AB$3,$G14,0)-IF($H14=AB$3,$J14,0)</f>
        <v/>
      </c>
      <c r="AC14" s="47">
        <f>IF($E14=AC$3,$G14,0)-IF($H14=AC$3,$J14,0)</f>
        <v/>
      </c>
      <c r="AD14" s="47">
        <f>IF($E14=AD$3,$G14,0)-IF($H14=AD$3,$J14,0)</f>
        <v/>
      </c>
      <c r="AE14" s="47">
        <f>IF($E14=AE$3,$G14,0)-IF($H14=AE$3,$J14,0)</f>
        <v/>
      </c>
      <c r="AF14" s="47">
        <f>IF($E14=AF$3,$G14,0)-IF($H14=AF$3,$J14,0)</f>
        <v/>
      </c>
      <c r="AG14" s="47">
        <f>IF($E14=AG$3,$G14,0)-IF($H14=AG$3,$J14,0)</f>
        <v/>
      </c>
      <c r="AH14" s="47">
        <f>IF($E14=AH$3,$G14,0)-IF($H14=AH$3,$J14,0)</f>
        <v/>
      </c>
      <c r="AI14" s="47">
        <f>IF($E14=AI$3,$G14,0)-IF($H14=AI$3,$J14,0)</f>
        <v/>
      </c>
      <c r="AJ14" s="47">
        <f>IF($E14=AJ$3,$G14,0)-IF($H14=AJ$3,$J14,0)</f>
        <v/>
      </c>
      <c r="AK14" s="47">
        <f>IF($E14=AK$3,$G14,0)-IF($H14=AK$3,$J14,0)</f>
        <v/>
      </c>
      <c r="AL14" s="48">
        <f>IF($E14=AL$3,$G14,0)-IF($H14=AL$3,$J14,0)</f>
        <v/>
      </c>
      <c r="AM14" s="46">
        <f>-IF($E14=AM$3,$G14,0)+IF($H14=AM$3,$J14,0)</f>
        <v/>
      </c>
      <c r="AN14" s="47">
        <f>-IF($E14=AN$3,$G14,0)+IF($H14=AN$3,$J14,0)</f>
        <v/>
      </c>
      <c r="AO14" s="48">
        <f>-IF($E14=AO$3,$G14,0)+IF($H14=AO$3,$J14,0)</f>
        <v/>
      </c>
      <c r="AP14" s="46">
        <f>IF($E14=AP$3,$G14,0)-IF($H14=AP$3,$J14,0)</f>
        <v/>
      </c>
      <c r="AQ14" s="47">
        <f>IF($E14=AQ$3,$G14,0)-IF($H14=AQ$3,$J14,0)</f>
        <v/>
      </c>
      <c r="AR14" s="47">
        <f>IF($E14=AR$3,$G14,0)-IF($H14=AR$3,$J14,0)</f>
        <v/>
      </c>
      <c r="AS14" s="47">
        <f>IF($E14=AS$3,$G14,0)-IF($H14=AS$3,$J14,0)</f>
        <v/>
      </c>
      <c r="AT14" s="47">
        <f>IF($E14=AT$3,$G14,0)-IF($H14=AT$3,$J14,0)</f>
        <v/>
      </c>
      <c r="AU14" s="47">
        <f>IF($E14=AU$3,$G14,0)-IF($H14=AU$3,$J14,0)</f>
        <v/>
      </c>
      <c r="AV14" s="47">
        <f>IF($E14=AV$3,$G14,0)-IF($H14=AV$3,$J14,0)</f>
        <v/>
      </c>
      <c r="AW14" s="47">
        <f>IF($E14=AW$3,$G14,0)-IF($H14=AW$3,$J14,0)</f>
        <v/>
      </c>
      <c r="AX14" s="47">
        <f>IF($E14=AX$3,$G14,0)-IF($H14=AX$3,$J14,0)</f>
        <v/>
      </c>
      <c r="AY14" s="47">
        <f>IF($E14=AY$3,$G14,0)-IF($H14=AY$3,$J14,0)</f>
        <v/>
      </c>
      <c r="AZ14" s="47">
        <f>IF($E14=AZ$3,$G14,0)-IF($H14=AZ$3,$J14,0)</f>
        <v/>
      </c>
      <c r="BA14" s="47">
        <f>IF($E14=BA$3,$G14,0)-IF($H14=BA$3,$J14,0)</f>
        <v/>
      </c>
      <c r="BB14" s="47">
        <f>IF($E14=BB$3,$G14,0)-IF($H14=BB$3,$J14,0)</f>
        <v/>
      </c>
      <c r="BC14" s="47">
        <f>IF($E14=BC$3,$G14,0)-IF($H14=BC$3,$J14,0)</f>
        <v/>
      </c>
      <c r="BD14" s="47">
        <f>IF($E14=BD$3,$G14,0)-IF($H14=BD$3,$J14,0)</f>
        <v/>
      </c>
      <c r="BE14" s="47">
        <f>IF($E14=BE$3,$G14,0)-IF($H14=BE$3,$J14,0)</f>
        <v/>
      </c>
      <c r="BF14" s="47">
        <f>IF($E14=BF$3,$G14,0)-IF($H14=BF$3,$J14,0)</f>
        <v/>
      </c>
      <c r="BG14" s="47">
        <f>IF($E14=BG$3,$G14,0)-IF($H14=BG$3,$J14,0)</f>
        <v/>
      </c>
      <c r="BH14" s="47">
        <f>IF($E14=BH$3,$G14,0)-IF($H14=BH$3,$J14,0)</f>
        <v/>
      </c>
      <c r="BI14" s="47">
        <f>IF($E14=BI$3,$G14,0)-IF($H14=BI$3,$J14,0)</f>
        <v/>
      </c>
      <c r="BJ14" s="47">
        <f>IF($E14=BJ$3,$G14,0)-IF($H14=BJ$3,$J14,0)</f>
        <v/>
      </c>
      <c r="BK14" s="47">
        <f>IF($E14=BK$3,$G14,0)-IF($H14=BK$3,$J14,0)</f>
        <v/>
      </c>
      <c r="BL14" s="46">
        <f>-IF($E14=BL$3,$G14,0)+IF($H14=BL$3,$J14,0)</f>
        <v/>
      </c>
      <c r="BM14" s="47">
        <f>-IF($E14=BM$3,$G14,0)+IF($H14=BM$3,$J14,0)</f>
        <v/>
      </c>
      <c r="BN14" s="47">
        <f>-IF($E14=BN$3,$G14,0)+IF($H14=BN$3,$J14,0)</f>
        <v/>
      </c>
      <c r="BO14" s="47">
        <f>-IF($E14=BO$3,$G14,0)+IF($H14=BO$3,$J14,0)</f>
        <v/>
      </c>
      <c r="BP14" s="47">
        <f>-IF($E14=BP$3,$G14,0)+IF($H14=BP$3,$J14,0)</f>
        <v/>
      </c>
      <c r="BQ14" s="47">
        <f>-IF($E14=BQ$3,$G14,0)+IF($H14=BQ$3,$J14,0)</f>
        <v/>
      </c>
      <c r="BR14" s="47">
        <f>-IF($E14=BR$3,$G14,0)+IF($H14=BR$3,$J14,0)</f>
        <v/>
      </c>
      <c r="BS14" s="47">
        <f>-IF($E14=BS$3,$G14,0)+IF($H14=BS$3,$J14,0)</f>
        <v/>
      </c>
      <c r="BT14" s="47">
        <f>-IF($E14=BT$3,$G14,0)+IF($H14=BT$3,$J14,0)</f>
        <v/>
      </c>
      <c r="BU14" s="46">
        <f>+G14-J14</f>
        <v/>
      </c>
      <c r="BV14" s="48">
        <f>-IF($E14=BV$3,$G14,0)+IF($H14=BV$3,$J14,0)</f>
        <v/>
      </c>
    </row>
    <row r="15" ht="15.75" customHeight="1" s="214">
      <c r="A15" s="7" t="n"/>
      <c r="B15" s="8" t="n">
        <v>1</v>
      </c>
      <c r="C15" s="9" t="n">
        <v>1</v>
      </c>
      <c r="D15" s="10" t="inlineStr">
        <is>
          <t>振り戻し 未払金</t>
        </is>
      </c>
      <c r="E15" s="247" t="n">
        <v>204</v>
      </c>
      <c r="F15" s="11">
        <f>IF(E15="","",IF(ISNA(VLOOKUP(E15,科目コード表!$C$4:$D$67,2,FALSE)),"該当科目なし",VLOOKUP(E15,科目コード表!$C$4:$D$67,2,FALSE)))</f>
        <v/>
      </c>
      <c r="G15" s="38" t="n">
        <v>61327</v>
      </c>
      <c r="H15" s="248" t="n"/>
      <c r="I15" s="11">
        <f>IF(H15="","",IF(ISNA(VLOOKUP(H15,科目コード表!$C$4:$D$67,2,FALSE)),"該当科目なし",VLOOKUP(H15,科目コード表!$C$4:$D$67,2,FALSE)))</f>
        <v/>
      </c>
      <c r="J15" s="40" t="n"/>
      <c r="L15" s="46">
        <f>IF($E15=L$3,$G15,0)-IF($H15=L$3,$J15,0)</f>
        <v/>
      </c>
      <c r="M15" s="47">
        <f>IF($E15=M$3,$G15,0)-IF($H15=M$3,$J15,0)</f>
        <v/>
      </c>
      <c r="N15" s="47">
        <f>IF($E15=N$3,$G15,0)-IF($H15=N$3,$J15,0)</f>
        <v/>
      </c>
      <c r="O15" s="47">
        <f>IF($E15=O$3,$G15,0)-IF($H15=O$3,$J15,0)</f>
        <v/>
      </c>
      <c r="P15" s="47">
        <f>IF($E15=P$3,$G15,0)-IF($H15=P$3,$J15,0)</f>
        <v/>
      </c>
      <c r="Q15" s="47">
        <f>IF($E15=Q$3,$G15,0)-IF($H15=Q$3,$J15,0)</f>
        <v/>
      </c>
      <c r="R15" s="47">
        <f>IF($E15=R$3,$G15,0)-IF($H15=R$3,$J15,0)</f>
        <v/>
      </c>
      <c r="S15" s="47">
        <f>IF($E15=S$3,$G15,0)-IF($H15=S$3,$J15,0)</f>
        <v/>
      </c>
      <c r="T15" s="47">
        <f>IF($E15=T$3,$G15,0)-IF($H15=T$3,$J15,0)</f>
        <v/>
      </c>
      <c r="U15" s="47">
        <f>IF($E15=U$3,$G15,0)-IF($H15=U$3,$J15,0)</f>
        <v/>
      </c>
      <c r="V15" s="47">
        <f>IF($E15=V$3,$G15,0)-IF($H15=V$3,$J15,0)</f>
        <v/>
      </c>
      <c r="W15" s="47">
        <f>IF($E15=W$3,$G15,0)-IF($H15=W$3,$J15,0)</f>
        <v/>
      </c>
      <c r="X15" s="47">
        <f>IF($E15=X$3,$G15,0)-IF($H15=X$3,$J15,0)</f>
        <v/>
      </c>
      <c r="Y15" s="47">
        <f>IF($E15=Y$3,$G15,0)-IF($H15=Y$3,$J15,0)</f>
        <v/>
      </c>
      <c r="Z15" s="47">
        <f>IF($E15=Z$3,$G15,0)-IF($H15=Z$3,$J15,0)</f>
        <v/>
      </c>
      <c r="AA15" s="47">
        <f>IF($E15=AA$3,$G15,0)-IF($H15=AA$3,$J15,0)</f>
        <v/>
      </c>
      <c r="AB15" s="47">
        <f>IF($E15=AB$3,$G15,0)-IF($H15=AB$3,$J15,0)</f>
        <v/>
      </c>
      <c r="AC15" s="47">
        <f>IF($E15=AC$3,$G15,0)-IF($H15=AC$3,$J15,0)</f>
        <v/>
      </c>
      <c r="AD15" s="47">
        <f>IF($E15=AD$3,$G15,0)-IF($H15=AD$3,$J15,0)</f>
        <v/>
      </c>
      <c r="AE15" s="47">
        <f>IF($E15=AE$3,$G15,0)-IF($H15=AE$3,$J15,0)</f>
        <v/>
      </c>
      <c r="AF15" s="47">
        <f>IF($E15=AF$3,$G15,0)-IF($H15=AF$3,$J15,0)</f>
        <v/>
      </c>
      <c r="AG15" s="47">
        <f>IF($E15=AG$3,$G15,0)-IF($H15=AG$3,$J15,0)</f>
        <v/>
      </c>
      <c r="AH15" s="47">
        <f>IF($E15=AH$3,$G15,0)-IF($H15=AH$3,$J15,0)</f>
        <v/>
      </c>
      <c r="AI15" s="47">
        <f>IF($E15=AI$3,$G15,0)-IF($H15=AI$3,$J15,0)</f>
        <v/>
      </c>
      <c r="AJ15" s="47">
        <f>IF($E15=AJ$3,$G15,0)-IF($H15=AJ$3,$J15,0)</f>
        <v/>
      </c>
      <c r="AK15" s="47">
        <f>IF($E15=AK$3,$G15,0)-IF($H15=AK$3,$J15,0)</f>
        <v/>
      </c>
      <c r="AL15" s="48">
        <f>IF($E15=AL$3,$G15,0)-IF($H15=AL$3,$J15,0)</f>
        <v/>
      </c>
      <c r="AM15" s="46">
        <f>-IF($E15=AM$3,$G15,0)+IF($H15=AM$3,$J15,0)</f>
        <v/>
      </c>
      <c r="AN15" s="47">
        <f>-IF($E15=AN$3,$G15,0)+IF($H15=AN$3,$J15,0)</f>
        <v/>
      </c>
      <c r="AO15" s="48">
        <f>-IF($E15=AO$3,$G15,0)+IF($H15=AO$3,$J15,0)</f>
        <v/>
      </c>
      <c r="AP15" s="46">
        <f>IF($E15=AP$3,$G15,0)-IF($H15=AP$3,$J15,0)</f>
        <v/>
      </c>
      <c r="AQ15" s="47">
        <f>IF($E15=AQ$3,$G15,0)-IF($H15=AQ$3,$J15,0)</f>
        <v/>
      </c>
      <c r="AR15" s="47">
        <f>IF($E15=AR$3,$G15,0)-IF($H15=AR$3,$J15,0)</f>
        <v/>
      </c>
      <c r="AS15" s="47">
        <f>IF($E15=AS$3,$G15,0)-IF($H15=AS$3,$J15,0)</f>
        <v/>
      </c>
      <c r="AT15" s="47">
        <f>IF($E15=AT$3,$G15,0)-IF($H15=AT$3,$J15,0)</f>
        <v/>
      </c>
      <c r="AU15" s="47">
        <f>IF($E15=AU$3,$G15,0)-IF($H15=AU$3,$J15,0)</f>
        <v/>
      </c>
      <c r="AV15" s="47">
        <f>IF($E15=AV$3,$G15,0)-IF($H15=AV$3,$J15,0)</f>
        <v/>
      </c>
      <c r="AW15" s="47">
        <f>IF($E15=AW$3,$G15,0)-IF($H15=AW$3,$J15,0)</f>
        <v/>
      </c>
      <c r="AX15" s="47">
        <f>IF($E15=AX$3,$G15,0)-IF($H15=AX$3,$J15,0)</f>
        <v/>
      </c>
      <c r="AY15" s="47">
        <f>IF($E15=AY$3,$G15,0)-IF($H15=AY$3,$J15,0)</f>
        <v/>
      </c>
      <c r="AZ15" s="47">
        <f>IF($E15=AZ$3,$G15,0)-IF($H15=AZ$3,$J15,0)</f>
        <v/>
      </c>
      <c r="BA15" s="47">
        <f>IF($E15=BA$3,$G15,0)-IF($H15=BA$3,$J15,0)</f>
        <v/>
      </c>
      <c r="BB15" s="47">
        <f>IF($E15=BB$3,$G15,0)-IF($H15=BB$3,$J15,0)</f>
        <v/>
      </c>
      <c r="BC15" s="47">
        <f>IF($E15=BC$3,$G15,0)-IF($H15=BC$3,$J15,0)</f>
        <v/>
      </c>
      <c r="BD15" s="47">
        <f>IF($E15=BD$3,$G15,0)-IF($H15=BD$3,$J15,0)</f>
        <v/>
      </c>
      <c r="BE15" s="47">
        <f>IF($E15=BE$3,$G15,0)-IF($H15=BE$3,$J15,0)</f>
        <v/>
      </c>
      <c r="BF15" s="47">
        <f>IF($E15=BF$3,$G15,0)-IF($H15=BF$3,$J15,0)</f>
        <v/>
      </c>
      <c r="BG15" s="47">
        <f>IF($E15=BG$3,$G15,0)-IF($H15=BG$3,$J15,0)</f>
        <v/>
      </c>
      <c r="BH15" s="47">
        <f>IF($E15=BH$3,$G15,0)-IF($H15=BH$3,$J15,0)</f>
        <v/>
      </c>
      <c r="BI15" s="47">
        <f>IF($E15=BI$3,$G15,0)-IF($H15=BI$3,$J15,0)</f>
        <v/>
      </c>
      <c r="BJ15" s="47">
        <f>IF($E15=BJ$3,$G15,0)-IF($H15=BJ$3,$J15,0)</f>
        <v/>
      </c>
      <c r="BK15" s="47">
        <f>IF($E15=BK$3,$G15,0)-IF($H15=BK$3,$J15,0)</f>
        <v/>
      </c>
      <c r="BL15" s="46">
        <f>-IF($E15=BL$3,$G15,0)+IF($H15=BL$3,$J15,0)</f>
        <v/>
      </c>
      <c r="BM15" s="47">
        <f>-IF($E15=BM$3,$G15,0)+IF($H15=BM$3,$J15,0)</f>
        <v/>
      </c>
      <c r="BN15" s="47">
        <f>-IF($E15=BN$3,$G15,0)+IF($H15=BN$3,$J15,0)</f>
        <v/>
      </c>
      <c r="BO15" s="47">
        <f>-IF($E15=BO$3,$G15,0)+IF($H15=BO$3,$J15,0)</f>
        <v/>
      </c>
      <c r="BP15" s="47">
        <f>-IF($E15=BP$3,$G15,0)+IF($H15=BP$3,$J15,0)</f>
        <v/>
      </c>
      <c r="BQ15" s="47">
        <f>-IF($E15=BQ$3,$G15,0)+IF($H15=BQ$3,$J15,0)</f>
        <v/>
      </c>
      <c r="BR15" s="47">
        <f>-IF($E15=BR$3,$G15,0)+IF($H15=BR$3,$J15,0)</f>
        <v/>
      </c>
      <c r="BS15" s="47">
        <f>-IF($E15=BS$3,$G15,0)+IF($H15=BS$3,$J15,0)</f>
        <v/>
      </c>
      <c r="BT15" s="47">
        <f>-IF($E15=BT$3,$G15,0)+IF($H15=BT$3,$J15,0)</f>
        <v/>
      </c>
      <c r="BU15" s="46">
        <f>+G15-J15</f>
        <v/>
      </c>
      <c r="BV15" s="48">
        <f>-IF($E15=BV$3,$G15,0)+IF($H15=BV$3,$J15,0)</f>
        <v/>
      </c>
    </row>
    <row r="16" ht="15.75" customHeight="1" s="214">
      <c r="A16" s="7" t="n"/>
      <c r="B16" s="8" t="n">
        <v>1</v>
      </c>
      <c r="C16" s="9" t="n">
        <v>1</v>
      </c>
      <c r="D16" s="10" t="inlineStr">
        <is>
          <t>現金を事業主へ戻し</t>
        </is>
      </c>
      <c r="E16" s="247" t="n"/>
      <c r="F16" s="11">
        <f>IF(E16="","",IF(ISNA(VLOOKUP(E16,科目コード表!$C$4:$D$67,2,FALSE)),"該当科目なし",VLOOKUP(E16,科目コード表!$C$4:$D$67,2,FALSE)))</f>
        <v/>
      </c>
      <c r="G16" s="38" t="n"/>
      <c r="H16" s="248" t="n">
        <v>101</v>
      </c>
      <c r="I16" s="11">
        <f>IF(H16="","",IF(ISNA(VLOOKUP(H16,科目コード表!$C$4:$D$67,2,FALSE)),"該当科目なし",VLOOKUP(H16,科目コード表!$C$4:$D$67,2,FALSE)))</f>
        <v/>
      </c>
      <c r="J16" s="40" t="n">
        <v>1046520</v>
      </c>
      <c r="L16" s="46">
        <f>IF($E16=L$3,$G16,0)-IF($H16=L$3,$J16,0)</f>
        <v/>
      </c>
      <c r="M16" s="47">
        <f>IF($E16=M$3,$G16,0)-IF($H16=M$3,$J16,0)</f>
        <v/>
      </c>
      <c r="N16" s="47">
        <f>IF($E16=N$3,$G16,0)-IF($H16=N$3,$J16,0)</f>
        <v/>
      </c>
      <c r="O16" s="47">
        <f>IF($E16=O$3,$G16,0)-IF($H16=O$3,$J16,0)</f>
        <v/>
      </c>
      <c r="P16" s="47">
        <f>IF($E16=P$3,$G16,0)-IF($H16=P$3,$J16,0)</f>
        <v/>
      </c>
      <c r="Q16" s="47">
        <f>IF($E16=Q$3,$G16,0)-IF($H16=Q$3,$J16,0)</f>
        <v/>
      </c>
      <c r="R16" s="47">
        <f>IF($E16=R$3,$G16,0)-IF($H16=R$3,$J16,0)</f>
        <v/>
      </c>
      <c r="S16" s="47">
        <f>IF($E16=S$3,$G16,0)-IF($H16=S$3,$J16,0)</f>
        <v/>
      </c>
      <c r="T16" s="47">
        <f>IF($E16=T$3,$G16,0)-IF($H16=T$3,$J16,0)</f>
        <v/>
      </c>
      <c r="U16" s="47">
        <f>IF($E16=U$3,$G16,0)-IF($H16=U$3,$J16,0)</f>
        <v/>
      </c>
      <c r="V16" s="47">
        <f>IF($E16=V$3,$G16,0)-IF($H16=V$3,$J16,0)</f>
        <v/>
      </c>
      <c r="W16" s="47">
        <f>IF($E16=W$3,$G16,0)-IF($H16=W$3,$J16,0)</f>
        <v/>
      </c>
      <c r="X16" s="47">
        <f>IF($E16=X$3,$G16,0)-IF($H16=X$3,$J16,0)</f>
        <v/>
      </c>
      <c r="Y16" s="47">
        <f>IF($E16=Y$3,$G16,0)-IF($H16=Y$3,$J16,0)</f>
        <v/>
      </c>
      <c r="Z16" s="47">
        <f>IF($E16=Z$3,$G16,0)-IF($H16=Z$3,$J16,0)</f>
        <v/>
      </c>
      <c r="AA16" s="47">
        <f>IF($E16=AA$3,$G16,0)-IF($H16=AA$3,$J16,0)</f>
        <v/>
      </c>
      <c r="AB16" s="47">
        <f>IF($E16=AB$3,$G16,0)-IF($H16=AB$3,$J16,0)</f>
        <v/>
      </c>
      <c r="AC16" s="47">
        <f>IF($E16=AC$3,$G16,0)-IF($H16=AC$3,$J16,0)</f>
        <v/>
      </c>
      <c r="AD16" s="47">
        <f>IF($E16=AD$3,$G16,0)-IF($H16=AD$3,$J16,0)</f>
        <v/>
      </c>
      <c r="AE16" s="47">
        <f>IF($E16=AE$3,$G16,0)-IF($H16=AE$3,$J16,0)</f>
        <v/>
      </c>
      <c r="AF16" s="47">
        <f>IF($E16=AF$3,$G16,0)-IF($H16=AF$3,$J16,0)</f>
        <v/>
      </c>
      <c r="AG16" s="47">
        <f>IF($E16=AG$3,$G16,0)-IF($H16=AG$3,$J16,0)</f>
        <v/>
      </c>
      <c r="AH16" s="47">
        <f>IF($E16=AH$3,$G16,0)-IF($H16=AH$3,$J16,0)</f>
        <v/>
      </c>
      <c r="AI16" s="47">
        <f>IF($E16=AI$3,$G16,0)-IF($H16=AI$3,$J16,0)</f>
        <v/>
      </c>
      <c r="AJ16" s="47">
        <f>IF($E16=AJ$3,$G16,0)-IF($H16=AJ$3,$J16,0)</f>
        <v/>
      </c>
      <c r="AK16" s="47">
        <f>IF($E16=AK$3,$G16,0)-IF($H16=AK$3,$J16,0)</f>
        <v/>
      </c>
      <c r="AL16" s="48">
        <f>IF($E16=AL$3,$G16,0)-IF($H16=AL$3,$J16,0)</f>
        <v/>
      </c>
      <c r="AM16" s="46">
        <f>-IF($E16=AM$3,$G16,0)+IF($H16=AM$3,$J16,0)</f>
        <v/>
      </c>
      <c r="AN16" s="47">
        <f>-IF($E16=AN$3,$G16,0)+IF($H16=AN$3,$J16,0)</f>
        <v/>
      </c>
      <c r="AO16" s="48">
        <f>-IF($E16=AO$3,$G16,0)+IF($H16=AO$3,$J16,0)</f>
        <v/>
      </c>
      <c r="AP16" s="46">
        <f>IF($E16=AP$3,$G16,0)-IF($H16=AP$3,$J16,0)</f>
        <v/>
      </c>
      <c r="AQ16" s="47">
        <f>IF($E16=AQ$3,$G16,0)-IF($H16=AQ$3,$J16,0)</f>
        <v/>
      </c>
      <c r="AR16" s="47">
        <f>IF($E16=AR$3,$G16,0)-IF($H16=AR$3,$J16,0)</f>
        <v/>
      </c>
      <c r="AS16" s="47">
        <f>IF($E16=AS$3,$G16,0)-IF($H16=AS$3,$J16,0)</f>
        <v/>
      </c>
      <c r="AT16" s="47">
        <f>IF($E16=AT$3,$G16,0)-IF($H16=AT$3,$J16,0)</f>
        <v/>
      </c>
      <c r="AU16" s="47">
        <f>IF($E16=AU$3,$G16,0)-IF($H16=AU$3,$J16,0)</f>
        <v/>
      </c>
      <c r="AV16" s="47">
        <f>IF($E16=AV$3,$G16,0)-IF($H16=AV$3,$J16,0)</f>
        <v/>
      </c>
      <c r="AW16" s="47">
        <f>IF($E16=AW$3,$G16,0)-IF($H16=AW$3,$J16,0)</f>
        <v/>
      </c>
      <c r="AX16" s="47">
        <f>IF($E16=AX$3,$G16,0)-IF($H16=AX$3,$J16,0)</f>
        <v/>
      </c>
      <c r="AY16" s="47">
        <f>IF($E16=AY$3,$G16,0)-IF($H16=AY$3,$J16,0)</f>
        <v/>
      </c>
      <c r="AZ16" s="47">
        <f>IF($E16=AZ$3,$G16,0)-IF($H16=AZ$3,$J16,0)</f>
        <v/>
      </c>
      <c r="BA16" s="47">
        <f>IF($E16=BA$3,$G16,0)-IF($H16=BA$3,$J16,0)</f>
        <v/>
      </c>
      <c r="BB16" s="47">
        <f>IF($E16=BB$3,$G16,0)-IF($H16=BB$3,$J16,0)</f>
        <v/>
      </c>
      <c r="BC16" s="47">
        <f>IF($E16=BC$3,$G16,0)-IF($H16=BC$3,$J16,0)</f>
        <v/>
      </c>
      <c r="BD16" s="47">
        <f>IF($E16=BD$3,$G16,0)-IF($H16=BD$3,$J16,0)</f>
        <v/>
      </c>
      <c r="BE16" s="47">
        <f>IF($E16=BE$3,$G16,0)-IF($H16=BE$3,$J16,0)</f>
        <v/>
      </c>
      <c r="BF16" s="47">
        <f>IF($E16=BF$3,$G16,0)-IF($H16=BF$3,$J16,0)</f>
        <v/>
      </c>
      <c r="BG16" s="47">
        <f>IF($E16=BG$3,$G16,0)-IF($H16=BG$3,$J16,0)</f>
        <v/>
      </c>
      <c r="BH16" s="47">
        <f>IF($E16=BH$3,$G16,0)-IF($H16=BH$3,$J16,0)</f>
        <v/>
      </c>
      <c r="BI16" s="47">
        <f>IF($E16=BI$3,$G16,0)-IF($H16=BI$3,$J16,0)</f>
        <v/>
      </c>
      <c r="BJ16" s="47">
        <f>IF($E16=BJ$3,$G16,0)-IF($H16=BJ$3,$J16,0)</f>
        <v/>
      </c>
      <c r="BK16" s="47">
        <f>IF($E16=BK$3,$G16,0)-IF($H16=BK$3,$J16,0)</f>
        <v/>
      </c>
      <c r="BL16" s="46">
        <f>-IF($E16=BL$3,$G16,0)+IF($H16=BL$3,$J16,0)</f>
        <v/>
      </c>
      <c r="BM16" s="47">
        <f>-IF($E16=BM$3,$G16,0)+IF($H16=BM$3,$J16,0)</f>
        <v/>
      </c>
      <c r="BN16" s="47">
        <f>-IF($E16=BN$3,$G16,0)+IF($H16=BN$3,$J16,0)</f>
        <v/>
      </c>
      <c r="BO16" s="47">
        <f>-IF($E16=BO$3,$G16,0)+IF($H16=BO$3,$J16,0)</f>
        <v/>
      </c>
      <c r="BP16" s="47">
        <f>-IF($E16=BP$3,$G16,0)+IF($H16=BP$3,$J16,0)</f>
        <v/>
      </c>
      <c r="BQ16" s="47">
        <f>-IF($E16=BQ$3,$G16,0)+IF($H16=BQ$3,$J16,0)</f>
        <v/>
      </c>
      <c r="BR16" s="47">
        <f>-IF($E16=BR$3,$G16,0)+IF($H16=BR$3,$J16,0)</f>
        <v/>
      </c>
      <c r="BS16" s="47">
        <f>-IF($E16=BS$3,$G16,0)+IF($H16=BS$3,$J16,0)</f>
        <v/>
      </c>
      <c r="BT16" s="47">
        <f>-IF($E16=BT$3,$G16,0)+IF($H16=BT$3,$J16,0)</f>
        <v/>
      </c>
      <c r="BU16" s="46">
        <f>+G16-J16</f>
        <v/>
      </c>
      <c r="BV16" s="48">
        <f>-IF($E16=BV$3,$G16,0)+IF($H16=BV$3,$J16,0)</f>
        <v/>
      </c>
    </row>
    <row r="17" ht="15.75" customHeight="1" s="214">
      <c r="A17" s="7" t="n"/>
      <c r="B17" s="8" t="n">
        <v>1</v>
      </c>
      <c r="C17" s="9" t="n">
        <v>1</v>
      </c>
      <c r="D17" s="10" t="inlineStr">
        <is>
          <t>普通預金を事業主へ戻し</t>
        </is>
      </c>
      <c r="E17" s="247" t="n"/>
      <c r="F17" s="11">
        <f>IF(E17="","",IF(ISNA(VLOOKUP(E17,科目コード表!$C$4:$D$67,2,FALSE)),"該当科目なし",VLOOKUP(E17,科目コード表!$C$4:$D$67,2,FALSE)))</f>
        <v/>
      </c>
      <c r="G17" s="38" t="n"/>
      <c r="H17" s="248" t="n">
        <v>103</v>
      </c>
      <c r="I17" s="11">
        <f>IF(H17="","",IF(ISNA(VLOOKUP(H17,科目コード表!$C$4:$D$67,2,FALSE)),"該当科目なし",VLOOKUP(H17,科目コード表!$C$4:$D$67,2,FALSE)))</f>
        <v/>
      </c>
      <c r="J17" s="40" t="n">
        <v>10475394</v>
      </c>
      <c r="L17" s="46">
        <f>IF($E17=L$3,$G17,0)-IF($H17=L$3,$J17,0)</f>
        <v/>
      </c>
      <c r="M17" s="47">
        <f>IF($E17=M$3,$G17,0)-IF($H17=M$3,$J17,0)</f>
        <v/>
      </c>
      <c r="N17" s="47">
        <f>IF($E17=N$3,$G17,0)-IF($H17=N$3,$J17,0)</f>
        <v/>
      </c>
      <c r="O17" s="47">
        <f>IF($E17=O$3,$G17,0)-IF($H17=O$3,$J17,0)</f>
        <v/>
      </c>
      <c r="P17" s="47">
        <f>IF($E17=P$3,$G17,0)-IF($H17=P$3,$J17,0)</f>
        <v/>
      </c>
      <c r="Q17" s="47">
        <f>IF($E17=Q$3,$G17,0)-IF($H17=Q$3,$J17,0)</f>
        <v/>
      </c>
      <c r="R17" s="47">
        <f>IF($E17=R$3,$G17,0)-IF($H17=R$3,$J17,0)</f>
        <v/>
      </c>
      <c r="S17" s="47">
        <f>IF($E17=S$3,$G17,0)-IF($H17=S$3,$J17,0)</f>
        <v/>
      </c>
      <c r="T17" s="47">
        <f>IF($E17=T$3,$G17,0)-IF($H17=T$3,$J17,0)</f>
        <v/>
      </c>
      <c r="U17" s="47">
        <f>IF($E17=U$3,$G17,0)-IF($H17=U$3,$J17,0)</f>
        <v/>
      </c>
      <c r="V17" s="47">
        <f>IF($E17=V$3,$G17,0)-IF($H17=V$3,$J17,0)</f>
        <v/>
      </c>
      <c r="W17" s="47">
        <f>IF($E17=W$3,$G17,0)-IF($H17=W$3,$J17,0)</f>
        <v/>
      </c>
      <c r="X17" s="47">
        <f>IF($E17=X$3,$G17,0)-IF($H17=X$3,$J17,0)</f>
        <v/>
      </c>
      <c r="Y17" s="47">
        <f>IF($E17=Y$3,$G17,0)-IF($H17=Y$3,$J17,0)</f>
        <v/>
      </c>
      <c r="Z17" s="47">
        <f>IF($E17=Z$3,$G17,0)-IF($H17=Z$3,$J17,0)</f>
        <v/>
      </c>
      <c r="AA17" s="47">
        <f>IF($E17=AA$3,$G17,0)-IF($H17=AA$3,$J17,0)</f>
        <v/>
      </c>
      <c r="AB17" s="47">
        <f>IF($E17=AB$3,$G17,0)-IF($H17=AB$3,$J17,0)</f>
        <v/>
      </c>
      <c r="AC17" s="47">
        <f>IF($E17=AC$3,$G17,0)-IF($H17=AC$3,$J17,0)</f>
        <v/>
      </c>
      <c r="AD17" s="47">
        <f>IF($E17=AD$3,$G17,0)-IF($H17=AD$3,$J17,0)</f>
        <v/>
      </c>
      <c r="AE17" s="47">
        <f>IF($E17=AE$3,$G17,0)-IF($H17=AE$3,$J17,0)</f>
        <v/>
      </c>
      <c r="AF17" s="47">
        <f>IF($E17=AF$3,$G17,0)-IF($H17=AF$3,$J17,0)</f>
        <v/>
      </c>
      <c r="AG17" s="47">
        <f>IF($E17=AG$3,$G17,0)-IF($H17=AG$3,$J17,0)</f>
        <v/>
      </c>
      <c r="AH17" s="47">
        <f>IF($E17=AH$3,$G17,0)-IF($H17=AH$3,$J17,0)</f>
        <v/>
      </c>
      <c r="AI17" s="47">
        <f>IF($E17=AI$3,$G17,0)-IF($H17=AI$3,$J17,0)</f>
        <v/>
      </c>
      <c r="AJ17" s="47">
        <f>IF($E17=AJ$3,$G17,0)-IF($H17=AJ$3,$J17,0)</f>
        <v/>
      </c>
      <c r="AK17" s="47">
        <f>IF($E17=AK$3,$G17,0)-IF($H17=AK$3,$J17,0)</f>
        <v/>
      </c>
      <c r="AL17" s="48">
        <f>IF($E17=AL$3,$G17,0)-IF($H17=AL$3,$J17,0)</f>
        <v/>
      </c>
      <c r="AM17" s="46">
        <f>-IF($E17=AM$3,$G17,0)+IF($H17=AM$3,$J17,0)</f>
        <v/>
      </c>
      <c r="AN17" s="47">
        <f>-IF($E17=AN$3,$G17,0)+IF($H17=AN$3,$J17,0)</f>
        <v/>
      </c>
      <c r="AO17" s="48">
        <f>-IF($E17=AO$3,$G17,0)+IF($H17=AO$3,$J17,0)</f>
        <v/>
      </c>
      <c r="AP17" s="46">
        <f>IF($E17=AP$3,$G17,0)-IF($H17=AP$3,$J17,0)</f>
        <v/>
      </c>
      <c r="AQ17" s="47">
        <f>IF($E17=AQ$3,$G17,0)-IF($H17=AQ$3,$J17,0)</f>
        <v/>
      </c>
      <c r="AR17" s="47">
        <f>IF($E17=AR$3,$G17,0)-IF($H17=AR$3,$J17,0)</f>
        <v/>
      </c>
      <c r="AS17" s="47">
        <f>IF($E17=AS$3,$G17,0)-IF($H17=AS$3,$J17,0)</f>
        <v/>
      </c>
      <c r="AT17" s="47">
        <f>IF($E17=AT$3,$G17,0)-IF($H17=AT$3,$J17,0)</f>
        <v/>
      </c>
      <c r="AU17" s="47">
        <f>IF($E17=AU$3,$G17,0)-IF($H17=AU$3,$J17,0)</f>
        <v/>
      </c>
      <c r="AV17" s="47">
        <f>IF($E17=AV$3,$G17,0)-IF($H17=AV$3,$J17,0)</f>
        <v/>
      </c>
      <c r="AW17" s="47">
        <f>IF($E17=AW$3,$G17,0)-IF($H17=AW$3,$J17,0)</f>
        <v/>
      </c>
      <c r="AX17" s="47">
        <f>IF($E17=AX$3,$G17,0)-IF($H17=AX$3,$J17,0)</f>
        <v/>
      </c>
      <c r="AY17" s="47">
        <f>IF($E17=AY$3,$G17,0)-IF($H17=AY$3,$J17,0)</f>
        <v/>
      </c>
      <c r="AZ17" s="47">
        <f>IF($E17=AZ$3,$G17,0)-IF($H17=AZ$3,$J17,0)</f>
        <v/>
      </c>
      <c r="BA17" s="47">
        <f>IF($E17=BA$3,$G17,0)-IF($H17=BA$3,$J17,0)</f>
        <v/>
      </c>
      <c r="BB17" s="47">
        <f>IF($E17=BB$3,$G17,0)-IF($H17=BB$3,$J17,0)</f>
        <v/>
      </c>
      <c r="BC17" s="47">
        <f>IF($E17=BC$3,$G17,0)-IF($H17=BC$3,$J17,0)</f>
        <v/>
      </c>
      <c r="BD17" s="47">
        <f>IF($E17=BD$3,$G17,0)-IF($H17=BD$3,$J17,0)</f>
        <v/>
      </c>
      <c r="BE17" s="47">
        <f>IF($E17=BE$3,$G17,0)-IF($H17=BE$3,$J17,0)</f>
        <v/>
      </c>
      <c r="BF17" s="47">
        <f>IF($E17=BF$3,$G17,0)-IF($H17=BF$3,$J17,0)</f>
        <v/>
      </c>
      <c r="BG17" s="47">
        <f>IF($E17=BG$3,$G17,0)-IF($H17=BG$3,$J17,0)</f>
        <v/>
      </c>
      <c r="BH17" s="47">
        <f>IF($E17=BH$3,$G17,0)-IF($H17=BH$3,$J17,0)</f>
        <v/>
      </c>
      <c r="BI17" s="47">
        <f>IF($E17=BI$3,$G17,0)-IF($H17=BI$3,$J17,0)</f>
        <v/>
      </c>
      <c r="BJ17" s="47">
        <f>IF($E17=BJ$3,$G17,0)-IF($H17=BJ$3,$J17,0)</f>
        <v/>
      </c>
      <c r="BK17" s="47">
        <f>IF($E17=BK$3,$G17,0)-IF($H17=BK$3,$J17,0)</f>
        <v/>
      </c>
      <c r="BL17" s="46">
        <f>-IF($E17=BL$3,$G17,0)+IF($H17=BL$3,$J17,0)</f>
        <v/>
      </c>
      <c r="BM17" s="47">
        <f>-IF($E17=BM$3,$G17,0)+IF($H17=BM$3,$J17,0)</f>
        <v/>
      </c>
      <c r="BN17" s="47">
        <f>-IF($E17=BN$3,$G17,0)+IF($H17=BN$3,$J17,0)</f>
        <v/>
      </c>
      <c r="BO17" s="47">
        <f>-IF($E17=BO$3,$G17,0)+IF($H17=BO$3,$J17,0)</f>
        <v/>
      </c>
      <c r="BP17" s="47">
        <f>-IF($E17=BP$3,$G17,0)+IF($H17=BP$3,$J17,0)</f>
        <v/>
      </c>
      <c r="BQ17" s="47">
        <f>-IF($E17=BQ$3,$G17,0)+IF($H17=BQ$3,$J17,0)</f>
        <v/>
      </c>
      <c r="BR17" s="47">
        <f>-IF($E17=BR$3,$G17,0)+IF($H17=BR$3,$J17,0)</f>
        <v/>
      </c>
      <c r="BS17" s="47">
        <f>-IF($E17=BS$3,$G17,0)+IF($H17=BS$3,$J17,0)</f>
        <v/>
      </c>
      <c r="BT17" s="47">
        <f>-IF($E17=BT$3,$G17,0)+IF($H17=BT$3,$J17,0)</f>
        <v/>
      </c>
      <c r="BU17" s="46">
        <f>+G17-J17</f>
        <v/>
      </c>
      <c r="BV17" s="48">
        <f>-IF($E17=BV$3,$G17,0)+IF($H17=BV$3,$J17,0)</f>
        <v/>
      </c>
      <c r="BW17" s="3" t="n"/>
    </row>
    <row r="18" ht="15.75" customHeight="1" s="214">
      <c r="A18" s="7" t="n"/>
      <c r="B18" s="8" t="n">
        <v>1</v>
      </c>
      <c r="C18" s="9" t="n">
        <v>4</v>
      </c>
      <c r="D18" s="10" t="inlineStr">
        <is>
          <t>ドア保護フィルム</t>
        </is>
      </c>
      <c r="E18" s="247" t="n">
        <v>523</v>
      </c>
      <c r="F18" s="11">
        <f>IF(E18="","",IF(ISNA(VLOOKUP(E18,科目コード表!$C$4:$D$67,2,FALSE)),"該当科目なし",VLOOKUP(E18,科目コード表!$C$4:$D$67,2,FALSE)))</f>
        <v/>
      </c>
      <c r="G18" s="38" t="n">
        <v>1905</v>
      </c>
      <c r="H18" s="248" t="n"/>
      <c r="I18" s="11">
        <f>IF(H18="","",IF(ISNA(VLOOKUP(H18,科目コード表!$C$4:$D$67,2,FALSE)),"該当科目なし",VLOOKUP(H18,科目コード表!$C$4:$D$67,2,FALSE)))</f>
        <v/>
      </c>
      <c r="J18" s="40" t="n"/>
      <c r="L18" s="46">
        <f>IF($E18=L$3,$G18,0)-IF($H18=L$3,$J18,0)</f>
        <v/>
      </c>
      <c r="M18" s="47">
        <f>IF($E18=M$3,$G18,0)-IF($H18=M$3,$J18,0)</f>
        <v/>
      </c>
      <c r="N18" s="47">
        <f>IF($E18=N$3,$G18,0)-IF($H18=N$3,$J18,0)</f>
        <v/>
      </c>
      <c r="O18" s="47">
        <f>IF($E18=O$3,$G18,0)-IF($H18=O$3,$J18,0)</f>
        <v/>
      </c>
      <c r="P18" s="47">
        <f>IF($E18=P$3,$G18,0)-IF($H18=P$3,$J18,0)</f>
        <v/>
      </c>
      <c r="Q18" s="47">
        <f>IF($E18=Q$3,$G18,0)-IF($H18=Q$3,$J18,0)</f>
        <v/>
      </c>
      <c r="R18" s="47">
        <f>IF($E18=R$3,$G18,0)-IF($H18=R$3,$J18,0)</f>
        <v/>
      </c>
      <c r="S18" s="47">
        <f>IF($E18=S$3,$G18,0)-IF($H18=S$3,$J18,0)</f>
        <v/>
      </c>
      <c r="T18" s="47">
        <f>IF($E18=T$3,$G18,0)-IF($H18=T$3,$J18,0)</f>
        <v/>
      </c>
      <c r="U18" s="47">
        <f>IF($E18=U$3,$G18,0)-IF($H18=U$3,$J18,0)</f>
        <v/>
      </c>
      <c r="V18" s="47">
        <f>IF($E18=V$3,$G18,0)-IF($H18=V$3,$J18,0)</f>
        <v/>
      </c>
      <c r="W18" s="47">
        <f>IF($E18=W$3,$G18,0)-IF($H18=W$3,$J18,0)</f>
        <v/>
      </c>
      <c r="X18" s="47">
        <f>IF($E18=X$3,$G18,0)-IF($H18=X$3,$J18,0)</f>
        <v/>
      </c>
      <c r="Y18" s="47">
        <f>IF($E18=Y$3,$G18,0)-IF($H18=Y$3,$J18,0)</f>
        <v/>
      </c>
      <c r="Z18" s="47">
        <f>IF($E18=Z$3,$G18,0)-IF($H18=Z$3,$J18,0)</f>
        <v/>
      </c>
      <c r="AA18" s="47">
        <f>IF($E18=AA$3,$G18,0)-IF($H18=AA$3,$J18,0)</f>
        <v/>
      </c>
      <c r="AB18" s="47">
        <f>IF($E18=AB$3,$G18,0)-IF($H18=AB$3,$J18,0)</f>
        <v/>
      </c>
      <c r="AC18" s="47">
        <f>IF($E18=AC$3,$G18,0)-IF($H18=AC$3,$J18,0)</f>
        <v/>
      </c>
      <c r="AD18" s="47">
        <f>IF($E18=AD$3,$G18,0)-IF($H18=AD$3,$J18,0)</f>
        <v/>
      </c>
      <c r="AE18" s="47">
        <f>IF($E18=AE$3,$G18,0)-IF($H18=AE$3,$J18,0)</f>
        <v/>
      </c>
      <c r="AF18" s="47">
        <f>IF($E18=AF$3,$G18,0)-IF($H18=AF$3,$J18,0)</f>
        <v/>
      </c>
      <c r="AG18" s="47">
        <f>IF($E18=AG$3,$G18,0)-IF($H18=AG$3,$J18,0)</f>
        <v/>
      </c>
      <c r="AH18" s="47">
        <f>IF($E18=AH$3,$G18,0)-IF($H18=AH$3,$J18,0)</f>
        <v/>
      </c>
      <c r="AI18" s="47">
        <f>IF($E18=AI$3,$G18,0)-IF($H18=AI$3,$J18,0)</f>
        <v/>
      </c>
      <c r="AJ18" s="47">
        <f>IF($E18=AJ$3,$G18,0)-IF($H18=AJ$3,$J18,0)</f>
        <v/>
      </c>
      <c r="AK18" s="47">
        <f>IF($E18=AK$3,$G18,0)-IF($H18=AK$3,$J18,0)</f>
        <v/>
      </c>
      <c r="AL18" s="48">
        <f>IF($E18=AL$3,$G18,0)-IF($H18=AL$3,$J18,0)</f>
        <v/>
      </c>
      <c r="AM18" s="46">
        <f>-IF($E18=AM$3,$G18,0)+IF($H18=AM$3,$J18,0)</f>
        <v/>
      </c>
      <c r="AN18" s="47">
        <f>-IF($E18=AN$3,$G18,0)+IF($H18=AN$3,$J18,0)</f>
        <v/>
      </c>
      <c r="AO18" s="48">
        <f>-IF($E18=AO$3,$G18,0)+IF($H18=AO$3,$J18,0)</f>
        <v/>
      </c>
      <c r="AP18" s="46">
        <f>IF($E18=AP$3,$G18,0)-IF($H18=AP$3,$J18,0)</f>
        <v/>
      </c>
      <c r="AQ18" s="47">
        <f>IF($E18=AQ$3,$G18,0)-IF($H18=AQ$3,$J18,0)</f>
        <v/>
      </c>
      <c r="AR18" s="47">
        <f>IF($E18=AR$3,$G18,0)-IF($H18=AR$3,$J18,0)</f>
        <v/>
      </c>
      <c r="AS18" s="47">
        <f>IF($E18=AS$3,$G18,0)-IF($H18=AS$3,$J18,0)</f>
        <v/>
      </c>
      <c r="AT18" s="47">
        <f>IF($E18=AT$3,$G18,0)-IF($H18=AT$3,$J18,0)</f>
        <v/>
      </c>
      <c r="AU18" s="47">
        <f>IF($E18=AU$3,$G18,0)-IF($H18=AU$3,$J18,0)</f>
        <v/>
      </c>
      <c r="AV18" s="47">
        <f>IF($E18=AV$3,$G18,0)-IF($H18=AV$3,$J18,0)</f>
        <v/>
      </c>
      <c r="AW18" s="47">
        <f>IF($E18=AW$3,$G18,0)-IF($H18=AW$3,$J18,0)</f>
        <v/>
      </c>
      <c r="AX18" s="47">
        <f>IF($E18=AX$3,$G18,0)-IF($H18=AX$3,$J18,0)</f>
        <v/>
      </c>
      <c r="AY18" s="47">
        <f>IF($E18=AY$3,$G18,0)-IF($H18=AY$3,$J18,0)</f>
        <v/>
      </c>
      <c r="AZ18" s="47">
        <f>IF($E18=AZ$3,$G18,0)-IF($H18=AZ$3,$J18,0)</f>
        <v/>
      </c>
      <c r="BA18" s="47">
        <f>IF($E18=BA$3,$G18,0)-IF($H18=BA$3,$J18,0)</f>
        <v/>
      </c>
      <c r="BB18" s="47">
        <f>IF($E18=BB$3,$G18,0)-IF($H18=BB$3,$J18,0)</f>
        <v/>
      </c>
      <c r="BC18" s="47">
        <f>IF($E18=BC$3,$G18,0)-IF($H18=BC$3,$J18,0)</f>
        <v/>
      </c>
      <c r="BD18" s="47">
        <f>IF($E18=BD$3,$G18,0)-IF($H18=BD$3,$J18,0)</f>
        <v/>
      </c>
      <c r="BE18" s="47">
        <f>IF($E18=BE$3,$G18,0)-IF($H18=BE$3,$J18,0)</f>
        <v/>
      </c>
      <c r="BF18" s="47">
        <f>IF($E18=BF$3,$G18,0)-IF($H18=BF$3,$J18,0)</f>
        <v/>
      </c>
      <c r="BG18" s="47">
        <f>IF($E18=BG$3,$G18,0)-IF($H18=BG$3,$J18,0)</f>
        <v/>
      </c>
      <c r="BH18" s="47">
        <f>IF($E18=BH$3,$G18,0)-IF($H18=BH$3,$J18,0)</f>
        <v/>
      </c>
      <c r="BI18" s="47">
        <f>IF($E18=BI$3,$G18,0)-IF($H18=BI$3,$J18,0)</f>
        <v/>
      </c>
      <c r="BJ18" s="47">
        <f>IF($E18=BJ$3,$G18,0)-IF($H18=BJ$3,$J18,0)</f>
        <v/>
      </c>
      <c r="BK18" s="47">
        <f>IF($E18=BK$3,$G18,0)-IF($H18=BK$3,$J18,0)</f>
        <v/>
      </c>
      <c r="BL18" s="46">
        <f>-IF($E18=BL$3,$G18,0)+IF($H18=BL$3,$J18,0)</f>
        <v/>
      </c>
      <c r="BM18" s="47">
        <f>-IF($E18=BM$3,$G18,0)+IF($H18=BM$3,$J18,0)</f>
        <v/>
      </c>
      <c r="BN18" s="47">
        <f>-IF($E18=BN$3,$G18,0)+IF($H18=BN$3,$J18,0)</f>
        <v/>
      </c>
      <c r="BO18" s="47">
        <f>-IF($E18=BO$3,$G18,0)+IF($H18=BO$3,$J18,0)</f>
        <v/>
      </c>
      <c r="BP18" s="47">
        <f>-IF($E18=BP$3,$G18,0)+IF($H18=BP$3,$J18,0)</f>
        <v/>
      </c>
      <c r="BQ18" s="47">
        <f>-IF($E18=BQ$3,$G18,0)+IF($H18=BQ$3,$J18,0)</f>
        <v/>
      </c>
      <c r="BR18" s="47">
        <f>-IF($E18=BR$3,$G18,0)+IF($H18=BR$3,$J18,0)</f>
        <v/>
      </c>
      <c r="BS18" s="47">
        <f>-IF($E18=BS$3,$G18,0)+IF($H18=BS$3,$J18,0)</f>
        <v/>
      </c>
      <c r="BT18" s="47">
        <f>-IF($E18=BT$3,$G18,0)+IF($H18=BT$3,$J18,0)</f>
        <v/>
      </c>
      <c r="BU18" s="46">
        <f>+G18-J18</f>
        <v/>
      </c>
      <c r="BV18" s="48">
        <f>-IF($E18=BV$3,$G18,0)+IF($H18=BV$3,$J18,0)</f>
        <v/>
      </c>
      <c r="BW18" s="3" t="n"/>
    </row>
    <row r="19" ht="15.75" customHeight="1" s="214">
      <c r="A19" s="7" t="n"/>
      <c r="B19" s="8" t="n">
        <v>1</v>
      </c>
      <c r="C19" s="9" t="n">
        <v>4</v>
      </c>
      <c r="D19" s="10" t="inlineStr">
        <is>
          <t>ナビ保護フィルム</t>
        </is>
      </c>
      <c r="E19" s="247" t="n">
        <v>523</v>
      </c>
      <c r="F19" s="11">
        <f>IF(E19="","",IF(ISNA(VLOOKUP(E19,科目コード表!$C$4:$D$67,2,FALSE)),"該当科目なし",VLOOKUP(E19,科目コード表!$C$4:$D$67,2,FALSE)))</f>
        <v/>
      </c>
      <c r="G19" s="38" t="n">
        <v>3196</v>
      </c>
      <c r="H19" s="248" t="n"/>
      <c r="I19" s="11">
        <f>IF(H19="","",IF(ISNA(VLOOKUP(H19,科目コード表!$C$4:$D$67,2,FALSE)),"該当科目なし",VLOOKUP(H19,科目コード表!$C$4:$D$67,2,FALSE)))</f>
        <v/>
      </c>
      <c r="J19" s="40" t="n"/>
      <c r="L19" s="46">
        <f>IF($E19=L$3,$G19,0)-IF($H19=L$3,$J19,0)</f>
        <v/>
      </c>
      <c r="M19" s="47">
        <f>IF($E19=M$3,$G19,0)-IF($H19=M$3,$J19,0)</f>
        <v/>
      </c>
      <c r="N19" s="47">
        <f>IF($E19=N$3,$G19,0)-IF($H19=N$3,$J19,0)</f>
        <v/>
      </c>
      <c r="O19" s="47">
        <f>IF($E19=O$3,$G19,0)-IF($H19=O$3,$J19,0)</f>
        <v/>
      </c>
      <c r="P19" s="47">
        <f>IF($E19=P$3,$G19,0)-IF($H19=P$3,$J19,0)</f>
        <v/>
      </c>
      <c r="Q19" s="47">
        <f>IF($E19=Q$3,$G19,0)-IF($H19=Q$3,$J19,0)</f>
        <v/>
      </c>
      <c r="R19" s="47">
        <f>IF($E19=R$3,$G19,0)-IF($H19=R$3,$J19,0)</f>
        <v/>
      </c>
      <c r="S19" s="47">
        <f>IF($E19=S$3,$G19,0)-IF($H19=S$3,$J19,0)</f>
        <v/>
      </c>
      <c r="T19" s="47">
        <f>IF($E19=T$3,$G19,0)-IF($H19=T$3,$J19,0)</f>
        <v/>
      </c>
      <c r="U19" s="47">
        <f>IF($E19=U$3,$G19,0)-IF($H19=U$3,$J19,0)</f>
        <v/>
      </c>
      <c r="V19" s="47">
        <f>IF($E19=V$3,$G19,0)-IF($H19=V$3,$J19,0)</f>
        <v/>
      </c>
      <c r="W19" s="47">
        <f>IF($E19=W$3,$G19,0)-IF($H19=W$3,$J19,0)</f>
        <v/>
      </c>
      <c r="X19" s="47">
        <f>IF($E19=X$3,$G19,0)-IF($H19=X$3,$J19,0)</f>
        <v/>
      </c>
      <c r="Y19" s="47">
        <f>IF($E19=Y$3,$G19,0)-IF($H19=Y$3,$J19,0)</f>
        <v/>
      </c>
      <c r="Z19" s="47">
        <f>IF($E19=Z$3,$G19,0)-IF($H19=Z$3,$J19,0)</f>
        <v/>
      </c>
      <c r="AA19" s="47">
        <f>IF($E19=AA$3,$G19,0)-IF($H19=AA$3,$J19,0)</f>
        <v/>
      </c>
      <c r="AB19" s="47">
        <f>IF($E19=AB$3,$G19,0)-IF($H19=AB$3,$J19,0)</f>
        <v/>
      </c>
      <c r="AC19" s="47">
        <f>IF($E19=AC$3,$G19,0)-IF($H19=AC$3,$J19,0)</f>
        <v/>
      </c>
      <c r="AD19" s="47">
        <f>IF($E19=AD$3,$G19,0)-IF($H19=AD$3,$J19,0)</f>
        <v/>
      </c>
      <c r="AE19" s="47">
        <f>IF($E19=AE$3,$G19,0)-IF($H19=AE$3,$J19,0)</f>
        <v/>
      </c>
      <c r="AF19" s="47">
        <f>IF($E19=AF$3,$G19,0)-IF($H19=AF$3,$J19,0)</f>
        <v/>
      </c>
      <c r="AG19" s="47">
        <f>IF($E19=AG$3,$G19,0)-IF($H19=AG$3,$J19,0)</f>
        <v/>
      </c>
      <c r="AH19" s="47">
        <f>IF($E19=AH$3,$G19,0)-IF($H19=AH$3,$J19,0)</f>
        <v/>
      </c>
      <c r="AI19" s="47">
        <f>IF($E19=AI$3,$G19,0)-IF($H19=AI$3,$J19,0)</f>
        <v/>
      </c>
      <c r="AJ19" s="47">
        <f>IF($E19=AJ$3,$G19,0)-IF($H19=AJ$3,$J19,0)</f>
        <v/>
      </c>
      <c r="AK19" s="47">
        <f>IF($E19=AK$3,$G19,0)-IF($H19=AK$3,$J19,0)</f>
        <v/>
      </c>
      <c r="AL19" s="48">
        <f>IF($E19=AL$3,$G19,0)-IF($H19=AL$3,$J19,0)</f>
        <v/>
      </c>
      <c r="AM19" s="46">
        <f>-IF($E19=AM$3,$G19,0)+IF($H19=AM$3,$J19,0)</f>
        <v/>
      </c>
      <c r="AN19" s="47">
        <f>-IF($E19=AN$3,$G19,0)+IF($H19=AN$3,$J19,0)</f>
        <v/>
      </c>
      <c r="AO19" s="48">
        <f>-IF($E19=AO$3,$G19,0)+IF($H19=AO$3,$J19,0)</f>
        <v/>
      </c>
      <c r="AP19" s="46">
        <f>IF($E19=AP$3,$G19,0)-IF($H19=AP$3,$J19,0)</f>
        <v/>
      </c>
      <c r="AQ19" s="47">
        <f>IF($E19=AQ$3,$G19,0)-IF($H19=AQ$3,$J19,0)</f>
        <v/>
      </c>
      <c r="AR19" s="47">
        <f>IF($E19=AR$3,$G19,0)-IF($H19=AR$3,$J19,0)</f>
        <v/>
      </c>
      <c r="AS19" s="47">
        <f>IF($E19=AS$3,$G19,0)-IF($H19=AS$3,$J19,0)</f>
        <v/>
      </c>
      <c r="AT19" s="47">
        <f>IF($E19=AT$3,$G19,0)-IF($H19=AT$3,$J19,0)</f>
        <v/>
      </c>
      <c r="AU19" s="47">
        <f>IF($E19=AU$3,$G19,0)-IF($H19=AU$3,$J19,0)</f>
        <v/>
      </c>
      <c r="AV19" s="47">
        <f>IF($E19=AV$3,$G19,0)-IF($H19=AV$3,$J19,0)</f>
        <v/>
      </c>
      <c r="AW19" s="47">
        <f>IF($E19=AW$3,$G19,0)-IF($H19=AW$3,$J19,0)</f>
        <v/>
      </c>
      <c r="AX19" s="47">
        <f>IF($E19=AX$3,$G19,0)-IF($H19=AX$3,$J19,0)</f>
        <v/>
      </c>
      <c r="AY19" s="47">
        <f>IF($E19=AY$3,$G19,0)-IF($H19=AY$3,$J19,0)</f>
        <v/>
      </c>
      <c r="AZ19" s="47">
        <f>IF($E19=AZ$3,$G19,0)-IF($H19=AZ$3,$J19,0)</f>
        <v/>
      </c>
      <c r="BA19" s="47">
        <f>IF($E19=BA$3,$G19,0)-IF($H19=BA$3,$J19,0)</f>
        <v/>
      </c>
      <c r="BB19" s="47">
        <f>IF($E19=BB$3,$G19,0)-IF($H19=BB$3,$J19,0)</f>
        <v/>
      </c>
      <c r="BC19" s="47">
        <f>IF($E19=BC$3,$G19,0)-IF($H19=BC$3,$J19,0)</f>
        <v/>
      </c>
      <c r="BD19" s="47">
        <f>IF($E19=BD$3,$G19,0)-IF($H19=BD$3,$J19,0)</f>
        <v/>
      </c>
      <c r="BE19" s="47">
        <f>IF($E19=BE$3,$G19,0)-IF($H19=BE$3,$J19,0)</f>
        <v/>
      </c>
      <c r="BF19" s="47">
        <f>IF($E19=BF$3,$G19,0)-IF($H19=BF$3,$J19,0)</f>
        <v/>
      </c>
      <c r="BG19" s="47">
        <f>IF($E19=BG$3,$G19,0)-IF($H19=BG$3,$J19,0)</f>
        <v/>
      </c>
      <c r="BH19" s="47">
        <f>IF($E19=BH$3,$G19,0)-IF($H19=BH$3,$J19,0)</f>
        <v/>
      </c>
      <c r="BI19" s="47">
        <f>IF($E19=BI$3,$G19,0)-IF($H19=BI$3,$J19,0)</f>
        <v/>
      </c>
      <c r="BJ19" s="47">
        <f>IF($E19=BJ$3,$G19,0)-IF($H19=BJ$3,$J19,0)</f>
        <v/>
      </c>
      <c r="BK19" s="47">
        <f>IF($E19=BK$3,$G19,0)-IF($H19=BK$3,$J19,0)</f>
        <v/>
      </c>
      <c r="BL19" s="46">
        <f>-IF($E19=BL$3,$G19,0)+IF($H19=BL$3,$J19,0)</f>
        <v/>
      </c>
      <c r="BM19" s="47">
        <f>-IF($E19=BM$3,$G19,0)+IF($H19=BM$3,$J19,0)</f>
        <v/>
      </c>
      <c r="BN19" s="47">
        <f>-IF($E19=BN$3,$G19,0)+IF($H19=BN$3,$J19,0)</f>
        <v/>
      </c>
      <c r="BO19" s="47">
        <f>-IF($E19=BO$3,$G19,0)+IF($H19=BO$3,$J19,0)</f>
        <v/>
      </c>
      <c r="BP19" s="47">
        <f>-IF($E19=BP$3,$G19,0)+IF($H19=BP$3,$J19,0)</f>
        <v/>
      </c>
      <c r="BQ19" s="47">
        <f>-IF($E19=BQ$3,$G19,0)+IF($H19=BQ$3,$J19,0)</f>
        <v/>
      </c>
      <c r="BR19" s="47">
        <f>-IF($E19=BR$3,$G19,0)+IF($H19=BR$3,$J19,0)</f>
        <v/>
      </c>
      <c r="BS19" s="47">
        <f>-IF($E19=BS$3,$G19,0)+IF($H19=BS$3,$J19,0)</f>
        <v/>
      </c>
      <c r="BT19" s="47">
        <f>-IF($E19=BT$3,$G19,0)+IF($H19=BT$3,$J19,0)</f>
        <v/>
      </c>
      <c r="BU19" s="46">
        <f>+G19-J19</f>
        <v/>
      </c>
      <c r="BV19" s="48">
        <f>-IF($E19=BV$3,$G19,0)+IF($H19=BV$3,$J19,0)</f>
        <v/>
      </c>
      <c r="BW19" s="3" t="n"/>
    </row>
    <row r="20" ht="15.75" customHeight="1" s="214">
      <c r="A20" s="7" t="n"/>
      <c r="B20" s="8" t="n">
        <v>1</v>
      </c>
      <c r="C20" s="9" t="n">
        <v>4</v>
      </c>
      <c r="D20" s="10" t="inlineStr">
        <is>
          <t>ラゲッジマット</t>
        </is>
      </c>
      <c r="E20" s="247" t="n">
        <v>523</v>
      </c>
      <c r="F20" s="11">
        <f>IF(E20="","",IF(ISNA(VLOOKUP(E20,科目コード表!$C$4:$D$67,2,FALSE)),"該当科目なし",VLOOKUP(E20,科目コード表!$C$4:$D$67,2,FALSE)))</f>
        <v/>
      </c>
      <c r="G20" s="38" t="n">
        <v>4122</v>
      </c>
      <c r="H20" s="248" t="n"/>
      <c r="I20" s="11">
        <f>IF(H20="","",IF(ISNA(VLOOKUP(H20,科目コード表!$C$4:$D$67,2,FALSE)),"該当科目なし",VLOOKUP(H20,科目コード表!$C$4:$D$67,2,FALSE)))</f>
        <v/>
      </c>
      <c r="J20" s="40" t="n"/>
      <c r="L20" s="46">
        <f>IF($E20=L$3,$G20,0)-IF($H20=L$3,$J20,0)</f>
        <v/>
      </c>
      <c r="M20" s="47">
        <f>IF($E20=M$3,$G20,0)-IF($H20=M$3,$J20,0)</f>
        <v/>
      </c>
      <c r="N20" s="47">
        <f>IF($E20=N$3,$G20,0)-IF($H20=N$3,$J20,0)</f>
        <v/>
      </c>
      <c r="O20" s="47">
        <f>IF($E20=O$3,$G20,0)-IF($H20=O$3,$J20,0)</f>
        <v/>
      </c>
      <c r="P20" s="47">
        <f>IF($E20=P$3,$G20,0)-IF($H20=P$3,$J20,0)</f>
        <v/>
      </c>
      <c r="Q20" s="47">
        <f>IF($E20=Q$3,$G20,0)-IF($H20=Q$3,$J20,0)</f>
        <v/>
      </c>
      <c r="R20" s="47">
        <f>IF($E20=R$3,$G20,0)-IF($H20=R$3,$J20,0)</f>
        <v/>
      </c>
      <c r="S20" s="47">
        <f>IF($E20=S$3,$G20,0)-IF($H20=S$3,$J20,0)</f>
        <v/>
      </c>
      <c r="T20" s="47">
        <f>IF($E20=T$3,$G20,0)-IF($H20=T$3,$J20,0)</f>
        <v/>
      </c>
      <c r="U20" s="47">
        <f>IF($E20=U$3,$G20,0)-IF($H20=U$3,$J20,0)</f>
        <v/>
      </c>
      <c r="V20" s="47">
        <f>IF($E20=V$3,$G20,0)-IF($H20=V$3,$J20,0)</f>
        <v/>
      </c>
      <c r="W20" s="47">
        <f>IF($E20=W$3,$G20,0)-IF($H20=W$3,$J20,0)</f>
        <v/>
      </c>
      <c r="X20" s="47">
        <f>IF($E20=X$3,$G20,0)-IF($H20=X$3,$J20,0)</f>
        <v/>
      </c>
      <c r="Y20" s="47">
        <f>IF($E20=Y$3,$G20,0)-IF($H20=Y$3,$J20,0)</f>
        <v/>
      </c>
      <c r="Z20" s="47">
        <f>IF($E20=Z$3,$G20,0)-IF($H20=Z$3,$J20,0)</f>
        <v/>
      </c>
      <c r="AA20" s="47">
        <f>IF($E20=AA$3,$G20,0)-IF($H20=AA$3,$J20,0)</f>
        <v/>
      </c>
      <c r="AB20" s="47">
        <f>IF($E20=AB$3,$G20,0)-IF($H20=AB$3,$J20,0)</f>
        <v/>
      </c>
      <c r="AC20" s="47">
        <f>IF($E20=AC$3,$G20,0)-IF($H20=AC$3,$J20,0)</f>
        <v/>
      </c>
      <c r="AD20" s="47">
        <f>IF($E20=AD$3,$G20,0)-IF($H20=AD$3,$J20,0)</f>
        <v/>
      </c>
      <c r="AE20" s="47">
        <f>IF($E20=AE$3,$G20,0)-IF($H20=AE$3,$J20,0)</f>
        <v/>
      </c>
      <c r="AF20" s="47">
        <f>IF($E20=AF$3,$G20,0)-IF($H20=AF$3,$J20,0)</f>
        <v/>
      </c>
      <c r="AG20" s="47">
        <f>IF($E20=AG$3,$G20,0)-IF($H20=AG$3,$J20,0)</f>
        <v/>
      </c>
      <c r="AH20" s="47">
        <f>IF($E20=AH$3,$G20,0)-IF($H20=AH$3,$J20,0)</f>
        <v/>
      </c>
      <c r="AI20" s="47">
        <f>IF($E20=AI$3,$G20,0)-IF($H20=AI$3,$J20,0)</f>
        <v/>
      </c>
      <c r="AJ20" s="47">
        <f>IF($E20=AJ$3,$G20,0)-IF($H20=AJ$3,$J20,0)</f>
        <v/>
      </c>
      <c r="AK20" s="47">
        <f>IF($E20=AK$3,$G20,0)-IF($H20=AK$3,$J20,0)</f>
        <v/>
      </c>
      <c r="AL20" s="48">
        <f>IF($E20=AL$3,$G20,0)-IF($H20=AL$3,$J20,0)</f>
        <v/>
      </c>
      <c r="AM20" s="46">
        <f>-IF($E20=AM$3,$G20,0)+IF($H20=AM$3,$J20,0)</f>
        <v/>
      </c>
      <c r="AN20" s="47">
        <f>-IF($E20=AN$3,$G20,0)+IF($H20=AN$3,$J20,0)</f>
        <v/>
      </c>
      <c r="AO20" s="48">
        <f>-IF($E20=AO$3,$G20,0)+IF($H20=AO$3,$J20,0)</f>
        <v/>
      </c>
      <c r="AP20" s="46">
        <f>IF($E20=AP$3,$G20,0)-IF($H20=AP$3,$J20,0)</f>
        <v/>
      </c>
      <c r="AQ20" s="47">
        <f>IF($E20=AQ$3,$G20,0)-IF($H20=AQ$3,$J20,0)</f>
        <v/>
      </c>
      <c r="AR20" s="47">
        <f>IF($E20=AR$3,$G20,0)-IF($H20=AR$3,$J20,0)</f>
        <v/>
      </c>
      <c r="AS20" s="47">
        <f>IF($E20=AS$3,$G20,0)-IF($H20=AS$3,$J20,0)</f>
        <v/>
      </c>
      <c r="AT20" s="47">
        <f>IF($E20=AT$3,$G20,0)-IF($H20=AT$3,$J20,0)</f>
        <v/>
      </c>
      <c r="AU20" s="47">
        <f>IF($E20=AU$3,$G20,0)-IF($H20=AU$3,$J20,0)</f>
        <v/>
      </c>
      <c r="AV20" s="47">
        <f>IF($E20=AV$3,$G20,0)-IF($H20=AV$3,$J20,0)</f>
        <v/>
      </c>
      <c r="AW20" s="47">
        <f>IF($E20=AW$3,$G20,0)-IF($H20=AW$3,$J20,0)</f>
        <v/>
      </c>
      <c r="AX20" s="47">
        <f>IF($E20=AX$3,$G20,0)-IF($H20=AX$3,$J20,0)</f>
        <v/>
      </c>
      <c r="AY20" s="47">
        <f>IF($E20=AY$3,$G20,0)-IF($H20=AY$3,$J20,0)</f>
        <v/>
      </c>
      <c r="AZ20" s="47">
        <f>IF($E20=AZ$3,$G20,0)-IF($H20=AZ$3,$J20,0)</f>
        <v/>
      </c>
      <c r="BA20" s="47">
        <f>IF($E20=BA$3,$G20,0)-IF($H20=BA$3,$J20,0)</f>
        <v/>
      </c>
      <c r="BB20" s="47">
        <f>IF($E20=BB$3,$G20,0)-IF($H20=BB$3,$J20,0)</f>
        <v/>
      </c>
      <c r="BC20" s="47">
        <f>IF($E20=BC$3,$G20,0)-IF($H20=BC$3,$J20,0)</f>
        <v/>
      </c>
      <c r="BD20" s="47">
        <f>IF($E20=BD$3,$G20,0)-IF($H20=BD$3,$J20,0)</f>
        <v/>
      </c>
      <c r="BE20" s="47">
        <f>IF($E20=BE$3,$G20,0)-IF($H20=BE$3,$J20,0)</f>
        <v/>
      </c>
      <c r="BF20" s="47">
        <f>IF($E20=BF$3,$G20,0)-IF($H20=BF$3,$J20,0)</f>
        <v/>
      </c>
      <c r="BG20" s="47">
        <f>IF($E20=BG$3,$G20,0)-IF($H20=BG$3,$J20,0)</f>
        <v/>
      </c>
      <c r="BH20" s="47">
        <f>IF($E20=BH$3,$G20,0)-IF($H20=BH$3,$J20,0)</f>
        <v/>
      </c>
      <c r="BI20" s="47">
        <f>IF($E20=BI$3,$G20,0)-IF($H20=BI$3,$J20,0)</f>
        <v/>
      </c>
      <c r="BJ20" s="47">
        <f>IF($E20=BJ$3,$G20,0)-IF($H20=BJ$3,$J20,0)</f>
        <v/>
      </c>
      <c r="BK20" s="47">
        <f>IF($E20=BK$3,$G20,0)-IF($H20=BK$3,$J20,0)</f>
        <v/>
      </c>
      <c r="BL20" s="46">
        <f>-IF($E20=BL$3,$G20,0)+IF($H20=BL$3,$J20,0)</f>
        <v/>
      </c>
      <c r="BM20" s="47">
        <f>-IF($E20=BM$3,$G20,0)+IF($H20=BM$3,$J20,0)</f>
        <v/>
      </c>
      <c r="BN20" s="47">
        <f>-IF($E20=BN$3,$G20,0)+IF($H20=BN$3,$J20,0)</f>
        <v/>
      </c>
      <c r="BO20" s="47">
        <f>-IF($E20=BO$3,$G20,0)+IF($H20=BO$3,$J20,0)</f>
        <v/>
      </c>
      <c r="BP20" s="47">
        <f>-IF($E20=BP$3,$G20,0)+IF($H20=BP$3,$J20,0)</f>
        <v/>
      </c>
      <c r="BQ20" s="47">
        <f>-IF($E20=BQ$3,$G20,0)+IF($H20=BQ$3,$J20,0)</f>
        <v/>
      </c>
      <c r="BR20" s="47">
        <f>-IF($E20=BR$3,$G20,0)+IF($H20=BR$3,$J20,0)</f>
        <v/>
      </c>
      <c r="BS20" s="47">
        <f>-IF($E20=BS$3,$G20,0)+IF($H20=BS$3,$J20,0)</f>
        <v/>
      </c>
      <c r="BT20" s="47">
        <f>-IF($E20=BT$3,$G20,0)+IF($H20=BT$3,$J20,0)</f>
        <v/>
      </c>
      <c r="BU20" s="46">
        <f>+G20-J20</f>
        <v/>
      </c>
      <c r="BV20" s="48">
        <f>-IF($E20=BV$3,$G20,0)+IF($H20=BV$3,$J20,0)</f>
        <v/>
      </c>
      <c r="BW20" s="3" t="n"/>
    </row>
    <row r="21" ht="15.75" customHeight="1" s="214">
      <c r="A21" s="7" t="n"/>
      <c r="B21" s="8" t="n">
        <v>1</v>
      </c>
      <c r="C21" s="9" t="n">
        <v>5</v>
      </c>
      <c r="D21" s="10" t="inlineStr">
        <is>
          <t>中尾洋一へ地代振込</t>
        </is>
      </c>
      <c r="E21" s="247" t="n">
        <v>520</v>
      </c>
      <c r="F21" s="11">
        <f>IF(E21="","",IF(ISNA(VLOOKUP(E21,科目コード表!$C$4:$D$67,2,FALSE)),"該当科目なし",VLOOKUP(E21,科目コード表!$C$4:$D$67,2,FALSE)))</f>
        <v/>
      </c>
      <c r="G21" s="38" t="n">
        <v>20000</v>
      </c>
      <c r="H21" s="248" t="n"/>
      <c r="I21" s="11">
        <f>IF(H21="","",IF(ISNA(VLOOKUP(H21,科目コード表!$C$4:$D$67,2,FALSE)),"該当科目なし",VLOOKUP(H21,科目コード表!$C$4:$D$67,2,FALSE)))</f>
        <v/>
      </c>
      <c r="J21" s="40" t="n"/>
      <c r="L21" s="46">
        <f>IF($E21=L$3,$G21,0)-IF($H21=L$3,$J21,0)</f>
        <v/>
      </c>
      <c r="M21" s="47">
        <f>IF($E21=M$3,$G21,0)-IF($H21=M$3,$J21,0)</f>
        <v/>
      </c>
      <c r="N21" s="47">
        <f>IF($E21=N$3,$G21,0)-IF($H21=N$3,$J21,0)</f>
        <v/>
      </c>
      <c r="O21" s="47">
        <f>IF($E21=O$3,$G21,0)-IF($H21=O$3,$J21,0)</f>
        <v/>
      </c>
      <c r="P21" s="47">
        <f>IF($E21=P$3,$G21,0)-IF($H21=P$3,$J21,0)</f>
        <v/>
      </c>
      <c r="Q21" s="47">
        <f>IF($E21=Q$3,$G21,0)-IF($H21=Q$3,$J21,0)</f>
        <v/>
      </c>
      <c r="R21" s="47">
        <f>IF($E21=R$3,$G21,0)-IF($H21=R$3,$J21,0)</f>
        <v/>
      </c>
      <c r="S21" s="47">
        <f>IF($E21=S$3,$G21,0)-IF($H21=S$3,$J21,0)</f>
        <v/>
      </c>
      <c r="T21" s="47">
        <f>IF($E21=T$3,$G21,0)-IF($H21=T$3,$J21,0)</f>
        <v/>
      </c>
      <c r="U21" s="47">
        <f>IF($E21=U$3,$G21,0)-IF($H21=U$3,$J21,0)</f>
        <v/>
      </c>
      <c r="V21" s="47">
        <f>IF($E21=V$3,$G21,0)-IF($H21=V$3,$J21,0)</f>
        <v/>
      </c>
      <c r="W21" s="47">
        <f>IF($E21=W$3,$G21,0)-IF($H21=W$3,$J21,0)</f>
        <v/>
      </c>
      <c r="X21" s="47">
        <f>IF($E21=X$3,$G21,0)-IF($H21=X$3,$J21,0)</f>
        <v/>
      </c>
      <c r="Y21" s="47">
        <f>IF($E21=Y$3,$G21,0)-IF($H21=Y$3,$J21,0)</f>
        <v/>
      </c>
      <c r="Z21" s="47">
        <f>IF($E21=Z$3,$G21,0)-IF($H21=Z$3,$J21,0)</f>
        <v/>
      </c>
      <c r="AA21" s="47">
        <f>IF($E21=AA$3,$G21,0)-IF($H21=AA$3,$J21,0)</f>
        <v/>
      </c>
      <c r="AB21" s="47">
        <f>IF($E21=AB$3,$G21,0)-IF($H21=AB$3,$J21,0)</f>
        <v/>
      </c>
      <c r="AC21" s="47">
        <f>IF($E21=AC$3,$G21,0)-IF($H21=AC$3,$J21,0)</f>
        <v/>
      </c>
      <c r="AD21" s="47">
        <f>IF($E21=AD$3,$G21,0)-IF($H21=AD$3,$J21,0)</f>
        <v/>
      </c>
      <c r="AE21" s="47">
        <f>IF($E21=AE$3,$G21,0)-IF($H21=AE$3,$J21,0)</f>
        <v/>
      </c>
      <c r="AF21" s="47">
        <f>IF($E21=AF$3,$G21,0)-IF($H21=AF$3,$J21,0)</f>
        <v/>
      </c>
      <c r="AG21" s="47">
        <f>IF($E21=AG$3,$G21,0)-IF($H21=AG$3,$J21,0)</f>
        <v/>
      </c>
      <c r="AH21" s="47">
        <f>IF($E21=AH$3,$G21,0)-IF($H21=AH$3,$J21,0)</f>
        <v/>
      </c>
      <c r="AI21" s="47">
        <f>IF($E21=AI$3,$G21,0)-IF($H21=AI$3,$J21,0)</f>
        <v/>
      </c>
      <c r="AJ21" s="47">
        <f>IF($E21=AJ$3,$G21,0)-IF($H21=AJ$3,$J21,0)</f>
        <v/>
      </c>
      <c r="AK21" s="47">
        <f>IF($E21=AK$3,$G21,0)-IF($H21=AK$3,$J21,0)</f>
        <v/>
      </c>
      <c r="AL21" s="48">
        <f>IF($E21=AL$3,$G21,0)-IF($H21=AL$3,$J21,0)</f>
        <v/>
      </c>
      <c r="AM21" s="46">
        <f>-IF($E21=AM$3,$G21,0)+IF($H21=AM$3,$J21,0)</f>
        <v/>
      </c>
      <c r="AN21" s="47">
        <f>-IF($E21=AN$3,$G21,0)+IF($H21=AN$3,$J21,0)</f>
        <v/>
      </c>
      <c r="AO21" s="48">
        <f>-IF($E21=AO$3,$G21,0)+IF($H21=AO$3,$J21,0)</f>
        <v/>
      </c>
      <c r="AP21" s="46">
        <f>IF($E21=AP$3,$G21,0)-IF($H21=AP$3,$J21,0)</f>
        <v/>
      </c>
      <c r="AQ21" s="47">
        <f>IF($E21=AQ$3,$G21,0)-IF($H21=AQ$3,$J21,0)</f>
        <v/>
      </c>
      <c r="AR21" s="47">
        <f>IF($E21=AR$3,$G21,0)-IF($H21=AR$3,$J21,0)</f>
        <v/>
      </c>
      <c r="AS21" s="47">
        <f>IF($E21=AS$3,$G21,0)-IF($H21=AS$3,$J21,0)</f>
        <v/>
      </c>
      <c r="AT21" s="47">
        <f>IF($E21=AT$3,$G21,0)-IF($H21=AT$3,$J21,0)</f>
        <v/>
      </c>
      <c r="AU21" s="47">
        <f>IF($E21=AU$3,$G21,0)-IF($H21=AU$3,$J21,0)</f>
        <v/>
      </c>
      <c r="AV21" s="47">
        <f>IF($E21=AV$3,$G21,0)-IF($H21=AV$3,$J21,0)</f>
        <v/>
      </c>
      <c r="AW21" s="47">
        <f>IF($E21=AW$3,$G21,0)-IF($H21=AW$3,$J21,0)</f>
        <v/>
      </c>
      <c r="AX21" s="47">
        <f>IF($E21=AX$3,$G21,0)-IF($H21=AX$3,$J21,0)</f>
        <v/>
      </c>
      <c r="AY21" s="47">
        <f>IF($E21=AY$3,$G21,0)-IF($H21=AY$3,$J21,0)</f>
        <v/>
      </c>
      <c r="AZ21" s="47">
        <f>IF($E21=AZ$3,$G21,0)-IF($H21=AZ$3,$J21,0)</f>
        <v/>
      </c>
      <c r="BA21" s="47">
        <f>IF($E21=BA$3,$G21,0)-IF($H21=BA$3,$J21,0)</f>
        <v/>
      </c>
      <c r="BB21" s="47">
        <f>IF($E21=BB$3,$G21,0)-IF($H21=BB$3,$J21,0)</f>
        <v/>
      </c>
      <c r="BC21" s="47">
        <f>IF($E21=BC$3,$G21,0)-IF($H21=BC$3,$J21,0)</f>
        <v/>
      </c>
      <c r="BD21" s="47">
        <f>IF($E21=BD$3,$G21,0)-IF($H21=BD$3,$J21,0)</f>
        <v/>
      </c>
      <c r="BE21" s="47">
        <f>IF($E21=BE$3,$G21,0)-IF($H21=BE$3,$J21,0)</f>
        <v/>
      </c>
      <c r="BF21" s="47">
        <f>IF($E21=BF$3,$G21,0)-IF($H21=BF$3,$J21,0)</f>
        <v/>
      </c>
      <c r="BG21" s="47">
        <f>IF($E21=BG$3,$G21,0)-IF($H21=BG$3,$J21,0)</f>
        <v/>
      </c>
      <c r="BH21" s="47">
        <f>IF($E21=BH$3,$G21,0)-IF($H21=BH$3,$J21,0)</f>
        <v/>
      </c>
      <c r="BI21" s="47">
        <f>IF($E21=BI$3,$G21,0)-IF($H21=BI$3,$J21,0)</f>
        <v/>
      </c>
      <c r="BJ21" s="47">
        <f>IF($E21=BJ$3,$G21,0)-IF($H21=BJ$3,$J21,0)</f>
        <v/>
      </c>
      <c r="BK21" s="47">
        <f>IF($E21=BK$3,$G21,0)-IF($H21=BK$3,$J21,0)</f>
        <v/>
      </c>
      <c r="BL21" s="46">
        <f>-IF($E21=BL$3,$G21,0)+IF($H21=BL$3,$J21,0)</f>
        <v/>
      </c>
      <c r="BM21" s="47">
        <f>-IF($E21=BM$3,$G21,0)+IF($H21=BM$3,$J21,0)</f>
        <v/>
      </c>
      <c r="BN21" s="47">
        <f>-IF($E21=BN$3,$G21,0)+IF($H21=BN$3,$J21,0)</f>
        <v/>
      </c>
      <c r="BO21" s="47">
        <f>-IF($E21=BO$3,$G21,0)+IF($H21=BO$3,$J21,0)</f>
        <v/>
      </c>
      <c r="BP21" s="47">
        <f>-IF($E21=BP$3,$G21,0)+IF($H21=BP$3,$J21,0)</f>
        <v/>
      </c>
      <c r="BQ21" s="47">
        <f>-IF($E21=BQ$3,$G21,0)+IF($H21=BQ$3,$J21,0)</f>
        <v/>
      </c>
      <c r="BR21" s="47">
        <f>-IF($E21=BR$3,$G21,0)+IF($H21=BR$3,$J21,0)</f>
        <v/>
      </c>
      <c r="BS21" s="47">
        <f>-IF($E21=BS$3,$G21,0)+IF($H21=BS$3,$J21,0)</f>
        <v/>
      </c>
      <c r="BT21" s="47">
        <f>-IF($E21=BT$3,$G21,0)+IF($H21=BT$3,$J21,0)</f>
        <v/>
      </c>
      <c r="BU21" s="46">
        <f>+G21-J21</f>
        <v/>
      </c>
      <c r="BV21" s="48">
        <f>-IF($E21=BV$3,$G21,0)+IF($H21=BV$3,$J21,0)</f>
        <v/>
      </c>
      <c r="BW21" s="3" t="n"/>
    </row>
    <row r="22" ht="15.75" customHeight="1" s="214">
      <c r="A22" s="7" t="n"/>
      <c r="B22" s="8" t="n">
        <v>1</v>
      </c>
      <c r="C22" s="9" t="n">
        <v>15</v>
      </c>
      <c r="D22" s="10" t="inlineStr">
        <is>
          <t>セレサ川崎 ユーユー入金</t>
        </is>
      </c>
      <c r="E22" s="247" t="n"/>
      <c r="F22" s="11">
        <f>IF(E22="","",IF(ISNA(VLOOKUP(E22,科目コード表!$C$4:$D$67,2,FALSE)),"該当科目なし",VLOOKUP(E22,科目コード表!$C$4:$D$67,2,FALSE)))</f>
        <v/>
      </c>
      <c r="G22" s="38" t="n"/>
      <c r="H22" s="248" t="n">
        <v>107</v>
      </c>
      <c r="I22" s="11">
        <f>IF(H22="","",IF(ISNA(VLOOKUP(H22,科目コード表!$C$4:$D$67,2,FALSE)),"該当科目なし",VLOOKUP(H22,科目コード表!$C$4:$D$67,2,FALSE)))</f>
        <v/>
      </c>
      <c r="J22" s="40" t="n">
        <v>100000</v>
      </c>
      <c r="L22" s="46">
        <f>IF($E22=L$3,$G22,0)-IF($H22=L$3,$J22,0)</f>
        <v/>
      </c>
      <c r="M22" s="47">
        <f>IF($E22=M$3,$G22,0)-IF($H22=M$3,$J22,0)</f>
        <v/>
      </c>
      <c r="N22" s="47">
        <f>IF($E22=N$3,$G22,0)-IF($H22=N$3,$J22,0)</f>
        <v/>
      </c>
      <c r="O22" s="47">
        <f>IF($E22=O$3,$G22,0)-IF($H22=O$3,$J22,0)</f>
        <v/>
      </c>
      <c r="P22" s="47">
        <f>IF($E22=P$3,$G22,0)-IF($H22=P$3,$J22,0)</f>
        <v/>
      </c>
      <c r="Q22" s="47">
        <f>IF($E22=Q$3,$G22,0)-IF($H22=Q$3,$J22,0)</f>
        <v/>
      </c>
      <c r="R22" s="47">
        <f>IF($E22=R$3,$G22,0)-IF($H22=R$3,$J22,0)</f>
        <v/>
      </c>
      <c r="S22" s="47">
        <f>IF($E22=S$3,$G22,0)-IF($H22=S$3,$J22,0)</f>
        <v/>
      </c>
      <c r="T22" s="47">
        <f>IF($E22=T$3,$G22,0)-IF($H22=T$3,$J22,0)</f>
        <v/>
      </c>
      <c r="U22" s="47">
        <f>IF($E22=U$3,$G22,0)-IF($H22=U$3,$J22,0)</f>
        <v/>
      </c>
      <c r="V22" s="47">
        <f>IF($E22=V$3,$G22,0)-IF($H22=V$3,$J22,0)</f>
        <v/>
      </c>
      <c r="W22" s="47">
        <f>IF($E22=W$3,$G22,0)-IF($H22=W$3,$J22,0)</f>
        <v/>
      </c>
      <c r="X22" s="47">
        <f>IF($E22=X$3,$G22,0)-IF($H22=X$3,$J22,0)</f>
        <v/>
      </c>
      <c r="Y22" s="47">
        <f>IF($E22=Y$3,$G22,0)-IF($H22=Y$3,$J22,0)</f>
        <v/>
      </c>
      <c r="Z22" s="47">
        <f>IF($E22=Z$3,$G22,0)-IF($H22=Z$3,$J22,0)</f>
        <v/>
      </c>
      <c r="AA22" s="47">
        <f>IF($E22=AA$3,$G22,0)-IF($H22=AA$3,$J22,0)</f>
        <v/>
      </c>
      <c r="AB22" s="47">
        <f>IF($E22=AB$3,$G22,0)-IF($H22=AB$3,$J22,0)</f>
        <v/>
      </c>
      <c r="AC22" s="47">
        <f>IF($E22=AC$3,$G22,0)-IF($H22=AC$3,$J22,0)</f>
        <v/>
      </c>
      <c r="AD22" s="47">
        <f>IF($E22=AD$3,$G22,0)-IF($H22=AD$3,$J22,0)</f>
        <v/>
      </c>
      <c r="AE22" s="47">
        <f>IF($E22=AE$3,$G22,0)-IF($H22=AE$3,$J22,0)</f>
        <v/>
      </c>
      <c r="AF22" s="47">
        <f>IF($E22=AF$3,$G22,0)-IF($H22=AF$3,$J22,0)</f>
        <v/>
      </c>
      <c r="AG22" s="47">
        <f>IF($E22=AG$3,$G22,0)-IF($H22=AG$3,$J22,0)</f>
        <v/>
      </c>
      <c r="AH22" s="47">
        <f>IF($E22=AH$3,$G22,0)-IF($H22=AH$3,$J22,0)</f>
        <v/>
      </c>
      <c r="AI22" s="47">
        <f>IF($E22=AI$3,$G22,0)-IF($H22=AI$3,$J22,0)</f>
        <v/>
      </c>
      <c r="AJ22" s="47">
        <f>IF($E22=AJ$3,$G22,0)-IF($H22=AJ$3,$J22,0)</f>
        <v/>
      </c>
      <c r="AK22" s="47">
        <f>IF($E22=AK$3,$G22,0)-IF($H22=AK$3,$J22,0)</f>
        <v/>
      </c>
      <c r="AL22" s="48">
        <f>IF($E22=AL$3,$G22,0)-IF($H22=AL$3,$J22,0)</f>
        <v/>
      </c>
      <c r="AM22" s="46">
        <f>-IF($E22=AM$3,$G22,0)+IF($H22=AM$3,$J22,0)</f>
        <v/>
      </c>
      <c r="AN22" s="47">
        <f>-IF($E22=AN$3,$G22,0)+IF($H22=AN$3,$J22,0)</f>
        <v/>
      </c>
      <c r="AO22" s="48">
        <f>-IF($E22=AO$3,$G22,0)+IF($H22=AO$3,$J22,0)</f>
        <v/>
      </c>
      <c r="AP22" s="46">
        <f>IF($E22=AP$3,$G22,0)-IF($H22=AP$3,$J22,0)</f>
        <v/>
      </c>
      <c r="AQ22" s="47">
        <f>IF($E22=AQ$3,$G22,0)-IF($H22=AQ$3,$J22,0)</f>
        <v/>
      </c>
      <c r="AR22" s="47">
        <f>IF($E22=AR$3,$G22,0)-IF($H22=AR$3,$J22,0)</f>
        <v/>
      </c>
      <c r="AS22" s="47">
        <f>IF($E22=AS$3,$G22,0)-IF($H22=AS$3,$J22,0)</f>
        <v/>
      </c>
      <c r="AT22" s="47">
        <f>IF($E22=AT$3,$G22,0)-IF($H22=AT$3,$J22,0)</f>
        <v/>
      </c>
      <c r="AU22" s="47">
        <f>IF($E22=AU$3,$G22,0)-IF($H22=AU$3,$J22,0)</f>
        <v/>
      </c>
      <c r="AV22" s="47">
        <f>IF($E22=AV$3,$G22,0)-IF($H22=AV$3,$J22,0)</f>
        <v/>
      </c>
      <c r="AW22" s="47">
        <f>IF($E22=AW$3,$G22,0)-IF($H22=AW$3,$J22,0)</f>
        <v/>
      </c>
      <c r="AX22" s="47">
        <f>IF($E22=AX$3,$G22,0)-IF($H22=AX$3,$J22,0)</f>
        <v/>
      </c>
      <c r="AY22" s="47">
        <f>IF($E22=AY$3,$G22,0)-IF($H22=AY$3,$J22,0)</f>
        <v/>
      </c>
      <c r="AZ22" s="47">
        <f>IF($E22=AZ$3,$G22,0)-IF($H22=AZ$3,$J22,0)</f>
        <v/>
      </c>
      <c r="BA22" s="47">
        <f>IF($E22=BA$3,$G22,0)-IF($H22=BA$3,$J22,0)</f>
        <v/>
      </c>
      <c r="BB22" s="47">
        <f>IF($E22=BB$3,$G22,0)-IF($H22=BB$3,$J22,0)</f>
        <v/>
      </c>
      <c r="BC22" s="47">
        <f>IF($E22=BC$3,$G22,0)-IF($H22=BC$3,$J22,0)</f>
        <v/>
      </c>
      <c r="BD22" s="47">
        <f>IF($E22=BD$3,$G22,0)-IF($H22=BD$3,$J22,0)</f>
        <v/>
      </c>
      <c r="BE22" s="47">
        <f>IF($E22=BE$3,$G22,0)-IF($H22=BE$3,$J22,0)</f>
        <v/>
      </c>
      <c r="BF22" s="47">
        <f>IF($E22=BF$3,$G22,0)-IF($H22=BF$3,$J22,0)</f>
        <v/>
      </c>
      <c r="BG22" s="47">
        <f>IF($E22=BG$3,$G22,0)-IF($H22=BG$3,$J22,0)</f>
        <v/>
      </c>
      <c r="BH22" s="47">
        <f>IF($E22=BH$3,$G22,0)-IF($H22=BH$3,$J22,0)</f>
        <v/>
      </c>
      <c r="BI22" s="47">
        <f>IF($E22=BI$3,$G22,0)-IF($H22=BI$3,$J22,0)</f>
        <v/>
      </c>
      <c r="BJ22" s="47">
        <f>IF($E22=BJ$3,$G22,0)-IF($H22=BJ$3,$J22,0)</f>
        <v/>
      </c>
      <c r="BK22" s="47">
        <f>IF($E22=BK$3,$G22,0)-IF($H22=BK$3,$J22,0)</f>
        <v/>
      </c>
      <c r="BL22" s="46">
        <f>-IF($E22=BL$3,$G22,0)+IF($H22=BL$3,$J22,0)</f>
        <v/>
      </c>
      <c r="BM22" s="47">
        <f>-IF($E22=BM$3,$G22,0)+IF($H22=BM$3,$J22,0)</f>
        <v/>
      </c>
      <c r="BN22" s="47">
        <f>-IF($E22=BN$3,$G22,0)+IF($H22=BN$3,$J22,0)</f>
        <v/>
      </c>
      <c r="BO22" s="47">
        <f>-IF($E22=BO$3,$G22,0)+IF($H22=BO$3,$J22,0)</f>
        <v/>
      </c>
      <c r="BP22" s="47">
        <f>-IF($E22=BP$3,$G22,0)+IF($H22=BP$3,$J22,0)</f>
        <v/>
      </c>
      <c r="BQ22" s="47">
        <f>-IF($E22=BQ$3,$G22,0)+IF($H22=BQ$3,$J22,0)</f>
        <v/>
      </c>
      <c r="BR22" s="47">
        <f>-IF($E22=BR$3,$G22,0)+IF($H22=BR$3,$J22,0)</f>
        <v/>
      </c>
      <c r="BS22" s="47">
        <f>-IF($E22=BS$3,$G22,0)+IF($H22=BS$3,$J22,0)</f>
        <v/>
      </c>
      <c r="BT22" s="47">
        <f>-IF($E22=BT$3,$G22,0)+IF($H22=BT$3,$J22,0)</f>
        <v/>
      </c>
      <c r="BU22" s="46">
        <f>+G22-J22</f>
        <v/>
      </c>
      <c r="BV22" s="48">
        <f>-IF($E22=BV$3,$G22,0)+IF($H22=BV$3,$J22,0)</f>
        <v/>
      </c>
      <c r="BW22" s="3" t="n"/>
    </row>
    <row r="23" ht="15.75" customHeight="1" s="214">
      <c r="A23" s="7" t="n"/>
      <c r="B23" s="8" t="n">
        <v>1</v>
      </c>
      <c r="C23" s="9" t="n">
        <v>16</v>
      </c>
      <c r="D23" s="10" t="inlineStr">
        <is>
          <t>Kindle Unlimited会費</t>
        </is>
      </c>
      <c r="E23" s="247" t="n">
        <v>524</v>
      </c>
      <c r="F23" s="11">
        <f>IF(E23="","",IF(ISNA(VLOOKUP(E23,科目コード表!$C$4:$D$67,2,FALSE)),"該当科目なし",VLOOKUP(E23,科目コード表!$C$4:$D$67,2,FALSE)))</f>
        <v/>
      </c>
      <c r="G23" s="38" t="n">
        <v>980</v>
      </c>
      <c r="H23" s="248" t="n"/>
      <c r="I23" s="11">
        <f>IF(H23="","",IF(ISNA(VLOOKUP(H23,科目コード表!$C$4:$D$67,2,FALSE)),"該当科目なし",VLOOKUP(H23,科目コード表!$C$4:$D$67,2,FALSE)))</f>
        <v/>
      </c>
      <c r="J23" s="40" t="n"/>
      <c r="L23" s="46">
        <f>IF($E23=L$3,$G23,0)-IF($H23=L$3,$J23,0)</f>
        <v/>
      </c>
      <c r="M23" s="47">
        <f>IF($E23=M$3,$G23,0)-IF($H23=M$3,$J23,0)</f>
        <v/>
      </c>
      <c r="N23" s="47">
        <f>IF($E23=N$3,$G23,0)-IF($H23=N$3,$J23,0)</f>
        <v/>
      </c>
      <c r="O23" s="47">
        <f>IF($E23=O$3,$G23,0)-IF($H23=O$3,$J23,0)</f>
        <v/>
      </c>
      <c r="P23" s="47">
        <f>IF($E23=P$3,$G23,0)-IF($H23=P$3,$J23,0)</f>
        <v/>
      </c>
      <c r="Q23" s="47">
        <f>IF($E23=Q$3,$G23,0)-IF($H23=Q$3,$J23,0)</f>
        <v/>
      </c>
      <c r="R23" s="47">
        <f>IF($E23=R$3,$G23,0)-IF($H23=R$3,$J23,0)</f>
        <v/>
      </c>
      <c r="S23" s="47">
        <f>IF($E23=S$3,$G23,0)-IF($H23=S$3,$J23,0)</f>
        <v/>
      </c>
      <c r="T23" s="47">
        <f>IF($E23=T$3,$G23,0)-IF($H23=T$3,$J23,0)</f>
        <v/>
      </c>
      <c r="U23" s="47">
        <f>IF($E23=U$3,$G23,0)-IF($H23=U$3,$J23,0)</f>
        <v/>
      </c>
      <c r="V23" s="47">
        <f>IF($E23=V$3,$G23,0)-IF($H23=V$3,$J23,0)</f>
        <v/>
      </c>
      <c r="W23" s="47">
        <f>IF($E23=W$3,$G23,0)-IF($H23=W$3,$J23,0)</f>
        <v/>
      </c>
      <c r="X23" s="47">
        <f>IF($E23=X$3,$G23,0)-IF($H23=X$3,$J23,0)</f>
        <v/>
      </c>
      <c r="Y23" s="47">
        <f>IF($E23=Y$3,$G23,0)-IF($H23=Y$3,$J23,0)</f>
        <v/>
      </c>
      <c r="Z23" s="47">
        <f>IF($E23=Z$3,$G23,0)-IF($H23=Z$3,$J23,0)</f>
        <v/>
      </c>
      <c r="AA23" s="47">
        <f>IF($E23=AA$3,$G23,0)-IF($H23=AA$3,$J23,0)</f>
        <v/>
      </c>
      <c r="AB23" s="47">
        <f>IF($E23=AB$3,$G23,0)-IF($H23=AB$3,$J23,0)</f>
        <v/>
      </c>
      <c r="AC23" s="47">
        <f>IF($E23=AC$3,$G23,0)-IF($H23=AC$3,$J23,0)</f>
        <v/>
      </c>
      <c r="AD23" s="47">
        <f>IF($E23=AD$3,$G23,0)-IF($H23=AD$3,$J23,0)</f>
        <v/>
      </c>
      <c r="AE23" s="47">
        <f>IF($E23=AE$3,$G23,0)-IF($H23=AE$3,$J23,0)</f>
        <v/>
      </c>
      <c r="AF23" s="47">
        <f>IF($E23=AF$3,$G23,0)-IF($H23=AF$3,$J23,0)</f>
        <v/>
      </c>
      <c r="AG23" s="47">
        <f>IF($E23=AG$3,$G23,0)-IF($H23=AG$3,$J23,0)</f>
        <v/>
      </c>
      <c r="AH23" s="47">
        <f>IF($E23=AH$3,$G23,0)-IF($H23=AH$3,$J23,0)</f>
        <v/>
      </c>
      <c r="AI23" s="47">
        <f>IF($E23=AI$3,$G23,0)-IF($H23=AI$3,$J23,0)</f>
        <v/>
      </c>
      <c r="AJ23" s="47">
        <f>IF($E23=AJ$3,$G23,0)-IF($H23=AJ$3,$J23,0)</f>
        <v/>
      </c>
      <c r="AK23" s="47">
        <f>IF($E23=AK$3,$G23,0)-IF($H23=AK$3,$J23,0)</f>
        <v/>
      </c>
      <c r="AL23" s="48">
        <f>IF($E23=AL$3,$G23,0)-IF($H23=AL$3,$J23,0)</f>
        <v/>
      </c>
      <c r="AM23" s="46">
        <f>-IF($E23=AM$3,$G23,0)+IF($H23=AM$3,$J23,0)</f>
        <v/>
      </c>
      <c r="AN23" s="47">
        <f>-IF($E23=AN$3,$G23,0)+IF($H23=AN$3,$J23,0)</f>
        <v/>
      </c>
      <c r="AO23" s="48">
        <f>-IF($E23=AO$3,$G23,0)+IF($H23=AO$3,$J23,0)</f>
        <v/>
      </c>
      <c r="AP23" s="46">
        <f>IF($E23=AP$3,$G23,0)-IF($H23=AP$3,$J23,0)</f>
        <v/>
      </c>
      <c r="AQ23" s="47">
        <f>IF($E23=AQ$3,$G23,0)-IF($H23=AQ$3,$J23,0)</f>
        <v/>
      </c>
      <c r="AR23" s="47">
        <f>IF($E23=AR$3,$G23,0)-IF($H23=AR$3,$J23,0)</f>
        <v/>
      </c>
      <c r="AS23" s="47">
        <f>IF($E23=AS$3,$G23,0)-IF($H23=AS$3,$J23,0)</f>
        <v/>
      </c>
      <c r="AT23" s="47">
        <f>IF($E23=AT$3,$G23,0)-IF($H23=AT$3,$J23,0)</f>
        <v/>
      </c>
      <c r="AU23" s="47">
        <f>IF($E23=AU$3,$G23,0)-IF($H23=AU$3,$J23,0)</f>
        <v/>
      </c>
      <c r="AV23" s="47">
        <f>IF($E23=AV$3,$G23,0)-IF($H23=AV$3,$J23,0)</f>
        <v/>
      </c>
      <c r="AW23" s="47">
        <f>IF($E23=AW$3,$G23,0)-IF($H23=AW$3,$J23,0)</f>
        <v/>
      </c>
      <c r="AX23" s="47">
        <f>IF($E23=AX$3,$G23,0)-IF($H23=AX$3,$J23,0)</f>
        <v/>
      </c>
      <c r="AY23" s="47">
        <f>IF($E23=AY$3,$G23,0)-IF($H23=AY$3,$J23,0)</f>
        <v/>
      </c>
      <c r="AZ23" s="47">
        <f>IF($E23=AZ$3,$G23,0)-IF($H23=AZ$3,$J23,0)</f>
        <v/>
      </c>
      <c r="BA23" s="47">
        <f>IF($E23=BA$3,$G23,0)-IF($H23=BA$3,$J23,0)</f>
        <v/>
      </c>
      <c r="BB23" s="47">
        <f>IF($E23=BB$3,$G23,0)-IF($H23=BB$3,$J23,0)</f>
        <v/>
      </c>
      <c r="BC23" s="47">
        <f>IF($E23=BC$3,$G23,0)-IF($H23=BC$3,$J23,0)</f>
        <v/>
      </c>
      <c r="BD23" s="47">
        <f>IF($E23=BD$3,$G23,0)-IF($H23=BD$3,$J23,0)</f>
        <v/>
      </c>
      <c r="BE23" s="47">
        <f>IF($E23=BE$3,$G23,0)-IF($H23=BE$3,$J23,0)</f>
        <v/>
      </c>
      <c r="BF23" s="47">
        <f>IF($E23=BF$3,$G23,0)-IF($H23=BF$3,$J23,0)</f>
        <v/>
      </c>
      <c r="BG23" s="47">
        <f>IF($E23=BG$3,$G23,0)-IF($H23=BG$3,$J23,0)</f>
        <v/>
      </c>
      <c r="BH23" s="47">
        <f>IF($E23=BH$3,$G23,0)-IF($H23=BH$3,$J23,0)</f>
        <v/>
      </c>
      <c r="BI23" s="47">
        <f>IF($E23=BI$3,$G23,0)-IF($H23=BI$3,$J23,0)</f>
        <v/>
      </c>
      <c r="BJ23" s="47">
        <f>IF($E23=BJ$3,$G23,0)-IF($H23=BJ$3,$J23,0)</f>
        <v/>
      </c>
      <c r="BK23" s="47">
        <f>IF($E23=BK$3,$G23,0)-IF($H23=BK$3,$J23,0)</f>
        <v/>
      </c>
      <c r="BL23" s="46">
        <f>-IF($E23=BL$3,$G23,0)+IF($H23=BL$3,$J23,0)</f>
        <v/>
      </c>
      <c r="BM23" s="47">
        <f>-IF($E23=BM$3,$G23,0)+IF($H23=BM$3,$J23,0)</f>
        <v/>
      </c>
      <c r="BN23" s="47">
        <f>-IF($E23=BN$3,$G23,0)+IF($H23=BN$3,$J23,0)</f>
        <v/>
      </c>
      <c r="BO23" s="47">
        <f>-IF($E23=BO$3,$G23,0)+IF($H23=BO$3,$J23,0)</f>
        <v/>
      </c>
      <c r="BP23" s="47">
        <f>-IF($E23=BP$3,$G23,0)+IF($H23=BP$3,$J23,0)</f>
        <v/>
      </c>
      <c r="BQ23" s="47">
        <f>-IF($E23=BQ$3,$G23,0)+IF($H23=BQ$3,$J23,0)</f>
        <v/>
      </c>
      <c r="BR23" s="47">
        <f>-IF($E23=BR$3,$G23,0)+IF($H23=BR$3,$J23,0)</f>
        <v/>
      </c>
      <c r="BS23" s="47">
        <f>-IF($E23=BS$3,$G23,0)+IF($H23=BS$3,$J23,0)</f>
        <v/>
      </c>
      <c r="BT23" s="47">
        <f>-IF($E23=BT$3,$G23,0)+IF($H23=BT$3,$J23,0)</f>
        <v/>
      </c>
      <c r="BU23" s="46">
        <f>+G23-J23</f>
        <v/>
      </c>
      <c r="BV23" s="48">
        <f>-IF($E23=BV$3,$G23,0)+IF($H23=BV$3,$J23,0)</f>
        <v/>
      </c>
      <c r="BW23" s="3" t="n"/>
    </row>
    <row r="24" ht="15.75" customHeight="1" s="214">
      <c r="A24" s="7" t="n"/>
      <c r="B24" s="8" t="n">
        <v>1</v>
      </c>
      <c r="C24" s="9" t="n">
        <v>17</v>
      </c>
      <c r="D24" s="10" t="inlineStr">
        <is>
          <t>デミオを売却</t>
        </is>
      </c>
      <c r="E24" s="247" t="n"/>
      <c r="F24" s="11">
        <f>IF(E24="","",IF(ISNA(VLOOKUP(E24,科目コード表!$C$4:$D$67,2,FALSE)),"該当科目なし",VLOOKUP(E24,科目コード表!$C$4:$D$67,2,FALSE)))</f>
        <v/>
      </c>
      <c r="G24" s="38" t="n"/>
      <c r="H24" s="248" t="n">
        <v>124</v>
      </c>
      <c r="I24" s="11">
        <f>IF(H24="","",IF(ISNA(VLOOKUP(H24,科目コード表!$C$4:$D$67,2,FALSE)),"該当科目なし",VLOOKUP(H24,科目コード表!$C$4:$D$67,2,FALSE)))</f>
        <v/>
      </c>
      <c r="J24" s="40" t="n">
        <v>1</v>
      </c>
      <c r="L24" s="46">
        <f>IF($E24=L$3,$G24,0)-IF($H24=L$3,$J24,0)</f>
        <v/>
      </c>
      <c r="M24" s="47">
        <f>IF($E24=M$3,$G24,0)-IF($H24=M$3,$J24,0)</f>
        <v/>
      </c>
      <c r="N24" s="47">
        <f>IF($E24=N$3,$G24,0)-IF($H24=N$3,$J24,0)</f>
        <v/>
      </c>
      <c r="O24" s="47">
        <f>IF($E24=O$3,$G24,0)-IF($H24=O$3,$J24,0)</f>
        <v/>
      </c>
      <c r="P24" s="47">
        <f>IF($E24=P$3,$G24,0)-IF($H24=P$3,$J24,0)</f>
        <v/>
      </c>
      <c r="Q24" s="47">
        <f>IF($E24=Q$3,$G24,0)-IF($H24=Q$3,$J24,0)</f>
        <v/>
      </c>
      <c r="R24" s="47">
        <f>IF($E24=R$3,$G24,0)-IF($H24=R$3,$J24,0)</f>
        <v/>
      </c>
      <c r="S24" s="47">
        <f>IF($E24=S$3,$G24,0)-IF($H24=S$3,$J24,0)</f>
        <v/>
      </c>
      <c r="T24" s="47">
        <f>IF($E24=T$3,$G24,0)-IF($H24=T$3,$J24,0)</f>
        <v/>
      </c>
      <c r="U24" s="47">
        <f>IF($E24=U$3,$G24,0)-IF($H24=U$3,$J24,0)</f>
        <v/>
      </c>
      <c r="V24" s="47">
        <f>IF($E24=V$3,$G24,0)-IF($H24=V$3,$J24,0)</f>
        <v/>
      </c>
      <c r="W24" s="47">
        <f>IF($E24=W$3,$G24,0)-IF($H24=W$3,$J24,0)</f>
        <v/>
      </c>
      <c r="X24" s="47">
        <f>IF($E24=X$3,$G24,0)-IF($H24=X$3,$J24,0)</f>
        <v/>
      </c>
      <c r="Y24" s="47">
        <f>IF($E24=Y$3,$G24,0)-IF($H24=Y$3,$J24,0)</f>
        <v/>
      </c>
      <c r="Z24" s="47">
        <f>IF($E24=Z$3,$G24,0)-IF($H24=Z$3,$J24,0)</f>
        <v/>
      </c>
      <c r="AA24" s="47">
        <f>IF($E24=AA$3,$G24,0)-IF($H24=AA$3,$J24,0)</f>
        <v/>
      </c>
      <c r="AB24" s="47">
        <f>IF($E24=AB$3,$G24,0)-IF($H24=AB$3,$J24,0)</f>
        <v/>
      </c>
      <c r="AC24" s="47">
        <f>IF($E24=AC$3,$G24,0)-IF($H24=AC$3,$J24,0)</f>
        <v/>
      </c>
      <c r="AD24" s="47">
        <f>IF($E24=AD$3,$G24,0)-IF($H24=AD$3,$J24,0)</f>
        <v/>
      </c>
      <c r="AE24" s="47">
        <f>IF($E24=AE$3,$G24,0)-IF($H24=AE$3,$J24,0)</f>
        <v/>
      </c>
      <c r="AF24" s="47">
        <f>IF($E24=AF$3,$G24,0)-IF($H24=AF$3,$J24,0)</f>
        <v/>
      </c>
      <c r="AG24" s="47">
        <f>IF($E24=AG$3,$G24,0)-IF($H24=AG$3,$J24,0)</f>
        <v/>
      </c>
      <c r="AH24" s="47">
        <f>IF($E24=AH$3,$G24,0)-IF($H24=AH$3,$J24,0)</f>
        <v/>
      </c>
      <c r="AI24" s="47">
        <f>IF($E24=AI$3,$G24,0)-IF($H24=AI$3,$J24,0)</f>
        <v/>
      </c>
      <c r="AJ24" s="47">
        <f>IF($E24=AJ$3,$G24,0)-IF($H24=AJ$3,$J24,0)</f>
        <v/>
      </c>
      <c r="AK24" s="47">
        <f>IF($E24=AK$3,$G24,0)-IF($H24=AK$3,$J24,0)</f>
        <v/>
      </c>
      <c r="AL24" s="48">
        <f>IF($E24=AL$3,$G24,0)-IF($H24=AL$3,$J24,0)</f>
        <v/>
      </c>
      <c r="AM24" s="46">
        <f>-IF($E24=AM$3,$G24,0)+IF($H24=AM$3,$J24,0)</f>
        <v/>
      </c>
      <c r="AN24" s="47">
        <f>-IF($E24=AN$3,$G24,0)+IF($H24=AN$3,$J24,0)</f>
        <v/>
      </c>
      <c r="AO24" s="48">
        <f>-IF($E24=AO$3,$G24,0)+IF($H24=AO$3,$J24,0)</f>
        <v/>
      </c>
      <c r="AP24" s="46">
        <f>IF($E24=AP$3,$G24,0)-IF($H24=AP$3,$J24,0)</f>
        <v/>
      </c>
      <c r="AQ24" s="47">
        <f>IF($E24=AQ$3,$G24,0)-IF($H24=AQ$3,$J24,0)</f>
        <v/>
      </c>
      <c r="AR24" s="47">
        <f>IF($E24=AR$3,$G24,0)-IF($H24=AR$3,$J24,0)</f>
        <v/>
      </c>
      <c r="AS24" s="47">
        <f>IF($E24=AS$3,$G24,0)-IF($H24=AS$3,$J24,0)</f>
        <v/>
      </c>
      <c r="AT24" s="47">
        <f>IF($E24=AT$3,$G24,0)-IF($H24=AT$3,$J24,0)</f>
        <v/>
      </c>
      <c r="AU24" s="47">
        <f>IF($E24=AU$3,$G24,0)-IF($H24=AU$3,$J24,0)</f>
        <v/>
      </c>
      <c r="AV24" s="47">
        <f>IF($E24=AV$3,$G24,0)-IF($H24=AV$3,$J24,0)</f>
        <v/>
      </c>
      <c r="AW24" s="47">
        <f>IF($E24=AW$3,$G24,0)-IF($H24=AW$3,$J24,0)</f>
        <v/>
      </c>
      <c r="AX24" s="47">
        <f>IF($E24=AX$3,$G24,0)-IF($H24=AX$3,$J24,0)</f>
        <v/>
      </c>
      <c r="AY24" s="47">
        <f>IF($E24=AY$3,$G24,0)-IF($H24=AY$3,$J24,0)</f>
        <v/>
      </c>
      <c r="AZ24" s="47">
        <f>IF($E24=AZ$3,$G24,0)-IF($H24=AZ$3,$J24,0)</f>
        <v/>
      </c>
      <c r="BA24" s="47">
        <f>IF($E24=BA$3,$G24,0)-IF($H24=BA$3,$J24,0)</f>
        <v/>
      </c>
      <c r="BB24" s="47">
        <f>IF($E24=BB$3,$G24,0)-IF($H24=BB$3,$J24,0)</f>
        <v/>
      </c>
      <c r="BC24" s="47">
        <f>IF($E24=BC$3,$G24,0)-IF($H24=BC$3,$J24,0)</f>
        <v/>
      </c>
      <c r="BD24" s="47">
        <f>IF($E24=BD$3,$G24,0)-IF($H24=BD$3,$J24,0)</f>
        <v/>
      </c>
      <c r="BE24" s="47">
        <f>IF($E24=BE$3,$G24,0)-IF($H24=BE$3,$J24,0)</f>
        <v/>
      </c>
      <c r="BF24" s="47">
        <f>IF($E24=BF$3,$G24,0)-IF($H24=BF$3,$J24,0)</f>
        <v/>
      </c>
      <c r="BG24" s="47">
        <f>IF($E24=BG$3,$G24,0)-IF($H24=BG$3,$J24,0)</f>
        <v/>
      </c>
      <c r="BH24" s="47">
        <f>IF($E24=BH$3,$G24,0)-IF($H24=BH$3,$J24,0)</f>
        <v/>
      </c>
      <c r="BI24" s="47">
        <f>IF($E24=BI$3,$G24,0)-IF($H24=BI$3,$J24,0)</f>
        <v/>
      </c>
      <c r="BJ24" s="47">
        <f>IF($E24=BJ$3,$G24,0)-IF($H24=BJ$3,$J24,0)</f>
        <v/>
      </c>
      <c r="BK24" s="47">
        <f>IF($E24=BK$3,$G24,0)-IF($H24=BK$3,$J24,0)</f>
        <v/>
      </c>
      <c r="BL24" s="46">
        <f>-IF($E24=BL$3,$G24,0)+IF($H24=BL$3,$J24,0)</f>
        <v/>
      </c>
      <c r="BM24" s="47">
        <f>-IF($E24=BM$3,$G24,0)+IF($H24=BM$3,$J24,0)</f>
        <v/>
      </c>
      <c r="BN24" s="47">
        <f>-IF($E24=BN$3,$G24,0)+IF($H24=BN$3,$J24,0)</f>
        <v/>
      </c>
      <c r="BO24" s="47">
        <f>-IF($E24=BO$3,$G24,0)+IF($H24=BO$3,$J24,0)</f>
        <v/>
      </c>
      <c r="BP24" s="47">
        <f>-IF($E24=BP$3,$G24,0)+IF($H24=BP$3,$J24,0)</f>
        <v/>
      </c>
      <c r="BQ24" s="47">
        <f>-IF($E24=BQ$3,$G24,0)+IF($H24=BQ$3,$J24,0)</f>
        <v/>
      </c>
      <c r="BR24" s="47">
        <f>-IF($E24=BR$3,$G24,0)+IF($H24=BR$3,$J24,0)</f>
        <v/>
      </c>
      <c r="BS24" s="47">
        <f>-IF($E24=BS$3,$G24,0)+IF($H24=BS$3,$J24,0)</f>
        <v/>
      </c>
      <c r="BT24" s="47">
        <f>-IF($E24=BT$3,$G24,0)+IF($H24=BT$3,$J24,0)</f>
        <v/>
      </c>
      <c r="BU24" s="46">
        <f>+G24-J24</f>
        <v/>
      </c>
      <c r="BV24" s="48">
        <f>-IF($E24=BV$3,$G24,0)+IF($H24=BV$3,$J24,0)</f>
        <v/>
      </c>
      <c r="BW24" s="3" t="n"/>
    </row>
    <row r="25" ht="15.75" customHeight="1" s="214">
      <c r="A25" s="7" t="n"/>
      <c r="B25" s="8" t="n">
        <v>1</v>
      </c>
      <c r="C25" s="9" t="n">
        <v>17</v>
      </c>
      <c r="D25" s="10" t="inlineStr">
        <is>
          <t>固定資産売却益</t>
        </is>
      </c>
      <c r="E25" s="247" t="n"/>
      <c r="F25" s="11">
        <f>IF(E25="","",IF(ISNA(VLOOKUP(E25,科目コード表!$C$4:$D$67,2,FALSE)),"該当科目なし",VLOOKUP(E25,科目コード表!$C$4:$D$67,2,FALSE)))</f>
        <v/>
      </c>
      <c r="G25" s="38" t="n"/>
      <c r="H25" s="248" t="n">
        <v>403</v>
      </c>
      <c r="I25" s="11">
        <f>IF(H25="","",IF(ISNA(VLOOKUP(H25,科目コード表!$C$4:$D$67,2,FALSE)),"該当科目なし",VLOOKUP(H25,科目コード表!$C$4:$D$67,2,FALSE)))</f>
        <v/>
      </c>
      <c r="J25" s="40" t="n">
        <v>329999</v>
      </c>
      <c r="L25" s="46">
        <f>IF($E25=L$3,$G25,0)-IF($H25=L$3,$J25,0)</f>
        <v/>
      </c>
      <c r="M25" s="47">
        <f>IF($E25=M$3,$G25,0)-IF($H25=M$3,$J25,0)</f>
        <v/>
      </c>
      <c r="N25" s="47">
        <f>IF($E25=N$3,$G25,0)-IF($H25=N$3,$J25,0)</f>
        <v/>
      </c>
      <c r="O25" s="47">
        <f>IF($E25=O$3,$G25,0)-IF($H25=O$3,$J25,0)</f>
        <v/>
      </c>
      <c r="P25" s="47">
        <f>IF($E25=P$3,$G25,0)-IF($H25=P$3,$J25,0)</f>
        <v/>
      </c>
      <c r="Q25" s="47">
        <f>IF($E25=Q$3,$G25,0)-IF($H25=Q$3,$J25,0)</f>
        <v/>
      </c>
      <c r="R25" s="47">
        <f>IF($E25=R$3,$G25,0)-IF($H25=R$3,$J25,0)</f>
        <v/>
      </c>
      <c r="S25" s="47">
        <f>IF($E25=S$3,$G25,0)-IF($H25=S$3,$J25,0)</f>
        <v/>
      </c>
      <c r="T25" s="47">
        <f>IF($E25=T$3,$G25,0)-IF($H25=T$3,$J25,0)</f>
        <v/>
      </c>
      <c r="U25" s="47">
        <f>IF($E25=U$3,$G25,0)-IF($H25=U$3,$J25,0)</f>
        <v/>
      </c>
      <c r="V25" s="47">
        <f>IF($E25=V$3,$G25,0)-IF($H25=V$3,$J25,0)</f>
        <v/>
      </c>
      <c r="W25" s="47">
        <f>IF($E25=W$3,$G25,0)-IF($H25=W$3,$J25,0)</f>
        <v/>
      </c>
      <c r="X25" s="47">
        <f>IF($E25=X$3,$G25,0)-IF($H25=X$3,$J25,0)</f>
        <v/>
      </c>
      <c r="Y25" s="47">
        <f>IF($E25=Y$3,$G25,0)-IF($H25=Y$3,$J25,0)</f>
        <v/>
      </c>
      <c r="Z25" s="47">
        <f>IF($E25=Z$3,$G25,0)-IF($H25=Z$3,$J25,0)</f>
        <v/>
      </c>
      <c r="AA25" s="47">
        <f>IF($E25=AA$3,$G25,0)-IF($H25=AA$3,$J25,0)</f>
        <v/>
      </c>
      <c r="AB25" s="47">
        <f>IF($E25=AB$3,$G25,0)-IF($H25=AB$3,$J25,0)</f>
        <v/>
      </c>
      <c r="AC25" s="47">
        <f>IF($E25=AC$3,$G25,0)-IF($H25=AC$3,$J25,0)</f>
        <v/>
      </c>
      <c r="AD25" s="47">
        <f>IF($E25=AD$3,$G25,0)-IF($H25=AD$3,$J25,0)</f>
        <v/>
      </c>
      <c r="AE25" s="47">
        <f>IF($E25=AE$3,$G25,0)-IF($H25=AE$3,$J25,0)</f>
        <v/>
      </c>
      <c r="AF25" s="47">
        <f>IF($E25=AF$3,$G25,0)-IF($H25=AF$3,$J25,0)</f>
        <v/>
      </c>
      <c r="AG25" s="47">
        <f>IF($E25=AG$3,$G25,0)-IF($H25=AG$3,$J25,0)</f>
        <v/>
      </c>
      <c r="AH25" s="47">
        <f>IF($E25=AH$3,$G25,0)-IF($H25=AH$3,$J25,0)</f>
        <v/>
      </c>
      <c r="AI25" s="47">
        <f>IF($E25=AI$3,$G25,0)-IF($H25=AI$3,$J25,0)</f>
        <v/>
      </c>
      <c r="AJ25" s="47">
        <f>IF($E25=AJ$3,$G25,0)-IF($H25=AJ$3,$J25,0)</f>
        <v/>
      </c>
      <c r="AK25" s="47">
        <f>IF($E25=AK$3,$G25,0)-IF($H25=AK$3,$J25,0)</f>
        <v/>
      </c>
      <c r="AL25" s="48">
        <f>IF($E25=AL$3,$G25,0)-IF($H25=AL$3,$J25,0)</f>
        <v/>
      </c>
      <c r="AM25" s="46">
        <f>-IF($E25=AM$3,$G25,0)+IF($H25=AM$3,$J25,0)</f>
        <v/>
      </c>
      <c r="AN25" s="47">
        <f>-IF($E25=AN$3,$G25,0)+IF($H25=AN$3,$J25,0)</f>
        <v/>
      </c>
      <c r="AO25" s="48">
        <f>-IF($E25=AO$3,$G25,0)+IF($H25=AO$3,$J25,0)</f>
        <v/>
      </c>
      <c r="AP25" s="46">
        <f>IF($E25=AP$3,$G25,0)-IF($H25=AP$3,$J25,0)</f>
        <v/>
      </c>
      <c r="AQ25" s="47">
        <f>IF($E25=AQ$3,$G25,0)-IF($H25=AQ$3,$J25,0)</f>
        <v/>
      </c>
      <c r="AR25" s="47">
        <f>IF($E25=AR$3,$G25,0)-IF($H25=AR$3,$J25,0)</f>
        <v/>
      </c>
      <c r="AS25" s="47">
        <f>IF($E25=AS$3,$G25,0)-IF($H25=AS$3,$J25,0)</f>
        <v/>
      </c>
      <c r="AT25" s="47">
        <f>IF($E25=AT$3,$G25,0)-IF($H25=AT$3,$J25,0)</f>
        <v/>
      </c>
      <c r="AU25" s="47">
        <f>IF($E25=AU$3,$G25,0)-IF($H25=AU$3,$J25,0)</f>
        <v/>
      </c>
      <c r="AV25" s="47">
        <f>IF($E25=AV$3,$G25,0)-IF($H25=AV$3,$J25,0)</f>
        <v/>
      </c>
      <c r="AW25" s="47">
        <f>IF($E25=AW$3,$G25,0)-IF($H25=AW$3,$J25,0)</f>
        <v/>
      </c>
      <c r="AX25" s="47">
        <f>IF($E25=AX$3,$G25,0)-IF($H25=AX$3,$J25,0)</f>
        <v/>
      </c>
      <c r="AY25" s="47">
        <f>IF($E25=AY$3,$G25,0)-IF($H25=AY$3,$J25,0)</f>
        <v/>
      </c>
      <c r="AZ25" s="47">
        <f>IF($E25=AZ$3,$G25,0)-IF($H25=AZ$3,$J25,0)</f>
        <v/>
      </c>
      <c r="BA25" s="47">
        <f>IF($E25=BA$3,$G25,0)-IF($H25=BA$3,$J25,0)</f>
        <v/>
      </c>
      <c r="BB25" s="47">
        <f>IF($E25=BB$3,$G25,0)-IF($H25=BB$3,$J25,0)</f>
        <v/>
      </c>
      <c r="BC25" s="47">
        <f>IF($E25=BC$3,$G25,0)-IF($H25=BC$3,$J25,0)</f>
        <v/>
      </c>
      <c r="BD25" s="47">
        <f>IF($E25=BD$3,$G25,0)-IF($H25=BD$3,$J25,0)</f>
        <v/>
      </c>
      <c r="BE25" s="47">
        <f>IF($E25=BE$3,$G25,0)-IF($H25=BE$3,$J25,0)</f>
        <v/>
      </c>
      <c r="BF25" s="47">
        <f>IF($E25=BF$3,$G25,0)-IF($H25=BF$3,$J25,0)</f>
        <v/>
      </c>
      <c r="BG25" s="47">
        <f>IF($E25=BG$3,$G25,0)-IF($H25=BG$3,$J25,0)</f>
        <v/>
      </c>
      <c r="BH25" s="47">
        <f>IF($E25=BH$3,$G25,0)-IF($H25=BH$3,$J25,0)</f>
        <v/>
      </c>
      <c r="BI25" s="47">
        <f>IF($E25=BI$3,$G25,0)-IF($H25=BI$3,$J25,0)</f>
        <v/>
      </c>
      <c r="BJ25" s="47">
        <f>IF($E25=BJ$3,$G25,0)-IF($H25=BJ$3,$J25,0)</f>
        <v/>
      </c>
      <c r="BK25" s="47">
        <f>IF($E25=BK$3,$G25,0)-IF($H25=BK$3,$J25,0)</f>
        <v/>
      </c>
      <c r="BL25" s="46">
        <f>-IF($E25=BL$3,$G25,0)+IF($H25=BL$3,$J25,0)</f>
        <v/>
      </c>
      <c r="BM25" s="47">
        <f>-IF($E25=BM$3,$G25,0)+IF($H25=BM$3,$J25,0)</f>
        <v/>
      </c>
      <c r="BN25" s="47">
        <f>-IF($E25=BN$3,$G25,0)+IF($H25=BN$3,$J25,0)</f>
        <v/>
      </c>
      <c r="BO25" s="47">
        <f>-IF($E25=BO$3,$G25,0)+IF($H25=BO$3,$J25,0)</f>
        <v/>
      </c>
      <c r="BP25" s="47">
        <f>-IF($E25=BP$3,$G25,0)+IF($H25=BP$3,$J25,0)</f>
        <v/>
      </c>
      <c r="BQ25" s="47">
        <f>-IF($E25=BQ$3,$G25,0)+IF($H25=BQ$3,$J25,0)</f>
        <v/>
      </c>
      <c r="BR25" s="47">
        <f>-IF($E25=BR$3,$G25,0)+IF($H25=BR$3,$J25,0)</f>
        <v/>
      </c>
      <c r="BS25" s="47">
        <f>-IF($E25=BS$3,$G25,0)+IF($H25=BS$3,$J25,0)</f>
        <v/>
      </c>
      <c r="BT25" s="47">
        <f>-IF($E25=BT$3,$G25,0)+IF($H25=BT$3,$J25,0)</f>
        <v/>
      </c>
      <c r="BU25" s="46">
        <f>+G25-J25</f>
        <v/>
      </c>
      <c r="BV25" s="48">
        <f>-IF($E25=BV$3,$G25,0)+IF($H25=BV$3,$J25,0)</f>
        <v/>
      </c>
      <c r="BW25" s="3" t="n"/>
    </row>
    <row r="26" ht="15.75" customHeight="1" s="214">
      <c r="A26" s="7" t="n"/>
      <c r="B26" s="8" t="n">
        <v>1</v>
      </c>
      <c r="C26" s="9" t="n">
        <v>17</v>
      </c>
      <c r="D26" s="10" t="inlineStr">
        <is>
          <t>リサイクル預託金</t>
        </is>
      </c>
      <c r="E26" s="247" t="n"/>
      <c r="F26" s="11">
        <f>IF(E26="","",IF(ISNA(VLOOKUP(E26,科目コード表!$C$4:$D$67,2,FALSE)),"該当科目なし",VLOOKUP(E26,科目コード表!$C$4:$D$67,2,FALSE)))</f>
        <v/>
      </c>
      <c r="G26" s="38" t="n"/>
      <c r="H26" s="248" t="n">
        <v>114</v>
      </c>
      <c r="I26" s="11">
        <f>IF(H26="","",IF(ISNA(VLOOKUP(H26,科目コード表!$C$4:$D$67,2,FALSE)),"該当科目なし",VLOOKUP(H26,科目コード表!$C$4:$D$67,2,FALSE)))</f>
        <v/>
      </c>
      <c r="J26" s="40" t="n">
        <v>9130</v>
      </c>
      <c r="L26" s="46">
        <f>IF($E26=L$3,$G26,0)-IF($H26=L$3,$J26,0)</f>
        <v/>
      </c>
      <c r="M26" s="47">
        <f>IF($E26=M$3,$G26,0)-IF($H26=M$3,$J26,0)</f>
        <v/>
      </c>
      <c r="N26" s="47">
        <f>IF($E26=N$3,$G26,0)-IF($H26=N$3,$J26,0)</f>
        <v/>
      </c>
      <c r="O26" s="47">
        <f>IF($E26=O$3,$G26,0)-IF($H26=O$3,$J26,0)</f>
        <v/>
      </c>
      <c r="P26" s="47">
        <f>IF($E26=P$3,$G26,0)-IF($H26=P$3,$J26,0)</f>
        <v/>
      </c>
      <c r="Q26" s="47">
        <f>IF($E26=Q$3,$G26,0)-IF($H26=Q$3,$J26,0)</f>
        <v/>
      </c>
      <c r="R26" s="47">
        <f>IF($E26=R$3,$G26,0)-IF($H26=R$3,$J26,0)</f>
        <v/>
      </c>
      <c r="S26" s="47">
        <f>IF($E26=S$3,$G26,0)-IF($H26=S$3,$J26,0)</f>
        <v/>
      </c>
      <c r="T26" s="47">
        <f>IF($E26=T$3,$G26,0)-IF($H26=T$3,$J26,0)</f>
        <v/>
      </c>
      <c r="U26" s="47">
        <f>IF($E26=U$3,$G26,0)-IF($H26=U$3,$J26,0)</f>
        <v/>
      </c>
      <c r="V26" s="47">
        <f>IF($E26=V$3,$G26,0)-IF($H26=V$3,$J26,0)</f>
        <v/>
      </c>
      <c r="W26" s="47">
        <f>IF($E26=W$3,$G26,0)-IF($H26=W$3,$J26,0)</f>
        <v/>
      </c>
      <c r="X26" s="47">
        <f>IF($E26=X$3,$G26,0)-IF($H26=X$3,$J26,0)</f>
        <v/>
      </c>
      <c r="Y26" s="47">
        <f>IF($E26=Y$3,$G26,0)-IF($H26=Y$3,$J26,0)</f>
        <v/>
      </c>
      <c r="Z26" s="47">
        <f>IF($E26=Z$3,$G26,0)-IF($H26=Z$3,$J26,0)</f>
        <v/>
      </c>
      <c r="AA26" s="47">
        <f>IF($E26=AA$3,$G26,0)-IF($H26=AA$3,$J26,0)</f>
        <v/>
      </c>
      <c r="AB26" s="47">
        <f>IF($E26=AB$3,$G26,0)-IF($H26=AB$3,$J26,0)</f>
        <v/>
      </c>
      <c r="AC26" s="47">
        <f>IF($E26=AC$3,$G26,0)-IF($H26=AC$3,$J26,0)</f>
        <v/>
      </c>
      <c r="AD26" s="47">
        <f>IF($E26=AD$3,$G26,0)-IF($H26=AD$3,$J26,0)</f>
        <v/>
      </c>
      <c r="AE26" s="47">
        <f>IF($E26=AE$3,$G26,0)-IF($H26=AE$3,$J26,0)</f>
        <v/>
      </c>
      <c r="AF26" s="47">
        <f>IF($E26=AF$3,$G26,0)-IF($H26=AF$3,$J26,0)</f>
        <v/>
      </c>
      <c r="AG26" s="47">
        <f>IF($E26=AG$3,$G26,0)-IF($H26=AG$3,$J26,0)</f>
        <v/>
      </c>
      <c r="AH26" s="47">
        <f>IF($E26=AH$3,$G26,0)-IF($H26=AH$3,$J26,0)</f>
        <v/>
      </c>
      <c r="AI26" s="47">
        <f>IF($E26=AI$3,$G26,0)-IF($H26=AI$3,$J26,0)</f>
        <v/>
      </c>
      <c r="AJ26" s="47">
        <f>IF($E26=AJ$3,$G26,0)-IF($H26=AJ$3,$J26,0)</f>
        <v/>
      </c>
      <c r="AK26" s="47">
        <f>IF($E26=AK$3,$G26,0)-IF($H26=AK$3,$J26,0)</f>
        <v/>
      </c>
      <c r="AL26" s="48">
        <f>IF($E26=AL$3,$G26,0)-IF($H26=AL$3,$J26,0)</f>
        <v/>
      </c>
      <c r="AM26" s="46">
        <f>-IF($E26=AM$3,$G26,0)+IF($H26=AM$3,$J26,0)</f>
        <v/>
      </c>
      <c r="AN26" s="47">
        <f>-IF($E26=AN$3,$G26,0)+IF($H26=AN$3,$J26,0)</f>
        <v/>
      </c>
      <c r="AO26" s="48">
        <f>-IF($E26=AO$3,$G26,0)+IF($H26=AO$3,$J26,0)</f>
        <v/>
      </c>
      <c r="AP26" s="46">
        <f>IF($E26=AP$3,$G26,0)-IF($H26=AP$3,$J26,0)</f>
        <v/>
      </c>
      <c r="AQ26" s="47">
        <f>IF($E26=AQ$3,$G26,0)-IF($H26=AQ$3,$J26,0)</f>
        <v/>
      </c>
      <c r="AR26" s="47">
        <f>IF($E26=AR$3,$G26,0)-IF($H26=AR$3,$J26,0)</f>
        <v/>
      </c>
      <c r="AS26" s="47">
        <f>IF($E26=AS$3,$G26,0)-IF($H26=AS$3,$J26,0)</f>
        <v/>
      </c>
      <c r="AT26" s="47">
        <f>IF($E26=AT$3,$G26,0)-IF($H26=AT$3,$J26,0)</f>
        <v/>
      </c>
      <c r="AU26" s="47">
        <f>IF($E26=AU$3,$G26,0)-IF($H26=AU$3,$J26,0)</f>
        <v/>
      </c>
      <c r="AV26" s="47">
        <f>IF($E26=AV$3,$G26,0)-IF($H26=AV$3,$J26,0)</f>
        <v/>
      </c>
      <c r="AW26" s="47">
        <f>IF($E26=AW$3,$G26,0)-IF($H26=AW$3,$J26,0)</f>
        <v/>
      </c>
      <c r="AX26" s="47">
        <f>IF($E26=AX$3,$G26,0)-IF($H26=AX$3,$J26,0)</f>
        <v/>
      </c>
      <c r="AY26" s="47">
        <f>IF($E26=AY$3,$G26,0)-IF($H26=AY$3,$J26,0)</f>
        <v/>
      </c>
      <c r="AZ26" s="47">
        <f>IF($E26=AZ$3,$G26,0)-IF($H26=AZ$3,$J26,0)</f>
        <v/>
      </c>
      <c r="BA26" s="47">
        <f>IF($E26=BA$3,$G26,0)-IF($H26=BA$3,$J26,0)</f>
        <v/>
      </c>
      <c r="BB26" s="47">
        <f>IF($E26=BB$3,$G26,0)-IF($H26=BB$3,$J26,0)</f>
        <v/>
      </c>
      <c r="BC26" s="47">
        <f>IF($E26=BC$3,$G26,0)-IF($H26=BC$3,$J26,0)</f>
        <v/>
      </c>
      <c r="BD26" s="47">
        <f>IF($E26=BD$3,$G26,0)-IF($H26=BD$3,$J26,0)</f>
        <v/>
      </c>
      <c r="BE26" s="47">
        <f>IF($E26=BE$3,$G26,0)-IF($H26=BE$3,$J26,0)</f>
        <v/>
      </c>
      <c r="BF26" s="47">
        <f>IF($E26=BF$3,$G26,0)-IF($H26=BF$3,$J26,0)</f>
        <v/>
      </c>
      <c r="BG26" s="47">
        <f>IF($E26=BG$3,$G26,0)-IF($H26=BG$3,$J26,0)</f>
        <v/>
      </c>
      <c r="BH26" s="47">
        <f>IF($E26=BH$3,$G26,0)-IF($H26=BH$3,$J26,0)</f>
        <v/>
      </c>
      <c r="BI26" s="47">
        <f>IF($E26=BI$3,$G26,0)-IF($H26=BI$3,$J26,0)</f>
        <v/>
      </c>
      <c r="BJ26" s="47">
        <f>IF($E26=BJ$3,$G26,0)-IF($H26=BJ$3,$J26,0)</f>
        <v/>
      </c>
      <c r="BK26" s="47">
        <f>IF($E26=BK$3,$G26,0)-IF($H26=BK$3,$J26,0)</f>
        <v/>
      </c>
      <c r="BL26" s="46">
        <f>-IF($E26=BL$3,$G26,0)+IF($H26=BL$3,$J26,0)</f>
        <v/>
      </c>
      <c r="BM26" s="47">
        <f>-IF($E26=BM$3,$G26,0)+IF($H26=BM$3,$J26,0)</f>
        <v/>
      </c>
      <c r="BN26" s="47">
        <f>-IF($E26=BN$3,$G26,0)+IF($H26=BN$3,$J26,0)</f>
        <v/>
      </c>
      <c r="BO26" s="47">
        <f>-IF($E26=BO$3,$G26,0)+IF($H26=BO$3,$J26,0)</f>
        <v/>
      </c>
      <c r="BP26" s="47">
        <f>-IF($E26=BP$3,$G26,0)+IF($H26=BP$3,$J26,0)</f>
        <v/>
      </c>
      <c r="BQ26" s="47">
        <f>-IF($E26=BQ$3,$G26,0)+IF($H26=BQ$3,$J26,0)</f>
        <v/>
      </c>
      <c r="BR26" s="47">
        <f>-IF($E26=BR$3,$G26,0)+IF($H26=BR$3,$J26,0)</f>
        <v/>
      </c>
      <c r="BS26" s="47">
        <f>-IF($E26=BS$3,$G26,0)+IF($H26=BS$3,$J26,0)</f>
        <v/>
      </c>
      <c r="BT26" s="47">
        <f>-IF($E26=BT$3,$G26,0)+IF($H26=BT$3,$J26,0)</f>
        <v/>
      </c>
      <c r="BU26" s="46">
        <f>+G26-J26</f>
        <v/>
      </c>
      <c r="BV26" s="48">
        <f>-IF($E26=BV$3,$G26,0)+IF($H26=BV$3,$J26,0)</f>
        <v/>
      </c>
      <c r="BW26" s="3" t="n"/>
    </row>
    <row r="27" ht="15.75" customHeight="1" s="214">
      <c r="A27" s="7" t="n"/>
      <c r="B27" s="8" t="n">
        <v>1</v>
      </c>
      <c r="C27" s="9" t="n">
        <v>17</v>
      </c>
      <c r="D27" s="10" t="inlineStr">
        <is>
          <t>シエンタ(車両)購入</t>
        </is>
      </c>
      <c r="E27" s="247" t="n">
        <v>124</v>
      </c>
      <c r="F27" s="11">
        <f>IF(E27="","",IF(ISNA(VLOOKUP(E27,科目コード表!$C$4:$D$67,2,FALSE)),"該当科目なし",VLOOKUP(E27,科目コード表!$C$4:$D$67,2,FALSE)))</f>
        <v/>
      </c>
      <c r="G27" s="38" t="n">
        <v>3057480</v>
      </c>
      <c r="H27" s="248" t="n"/>
      <c r="I27" s="11">
        <f>IF(H27="","",IF(ISNA(VLOOKUP(H27,科目コード表!$C$4:$D$67,2,FALSE)),"該当科目なし",VLOOKUP(H27,科目コード表!$C$4:$D$67,2,FALSE)))</f>
        <v/>
      </c>
      <c r="J27" s="40" t="n"/>
      <c r="L27" s="46">
        <f>IF($E27=L$3,$G27,0)-IF($H27=L$3,$J27,0)</f>
        <v/>
      </c>
      <c r="M27" s="47">
        <f>IF($E27=M$3,$G27,0)-IF($H27=M$3,$J27,0)</f>
        <v/>
      </c>
      <c r="N27" s="47">
        <f>IF($E27=N$3,$G27,0)-IF($H27=N$3,$J27,0)</f>
        <v/>
      </c>
      <c r="O27" s="47">
        <f>IF($E27=O$3,$G27,0)-IF($H27=O$3,$J27,0)</f>
        <v/>
      </c>
      <c r="P27" s="47">
        <f>IF($E27=P$3,$G27,0)-IF($H27=P$3,$J27,0)</f>
        <v/>
      </c>
      <c r="Q27" s="47">
        <f>IF($E27=Q$3,$G27,0)-IF($H27=Q$3,$J27,0)</f>
        <v/>
      </c>
      <c r="R27" s="47">
        <f>IF($E27=R$3,$G27,0)-IF($H27=R$3,$J27,0)</f>
        <v/>
      </c>
      <c r="S27" s="47">
        <f>IF($E27=S$3,$G27,0)-IF($H27=S$3,$J27,0)</f>
        <v/>
      </c>
      <c r="T27" s="47">
        <f>IF($E27=T$3,$G27,0)-IF($H27=T$3,$J27,0)</f>
        <v/>
      </c>
      <c r="U27" s="47">
        <f>IF($E27=U$3,$G27,0)-IF($H27=U$3,$J27,0)</f>
        <v/>
      </c>
      <c r="V27" s="47">
        <f>IF($E27=V$3,$G27,0)-IF($H27=V$3,$J27,0)</f>
        <v/>
      </c>
      <c r="W27" s="47">
        <f>IF($E27=W$3,$G27,0)-IF($H27=W$3,$J27,0)</f>
        <v/>
      </c>
      <c r="X27" s="47">
        <f>IF($E27=X$3,$G27,0)-IF($H27=X$3,$J27,0)</f>
        <v/>
      </c>
      <c r="Y27" s="47">
        <f>IF($E27=Y$3,$G27,0)-IF($H27=Y$3,$J27,0)</f>
        <v/>
      </c>
      <c r="Z27" s="47">
        <f>IF($E27=Z$3,$G27,0)-IF($H27=Z$3,$J27,0)</f>
        <v/>
      </c>
      <c r="AA27" s="47">
        <f>IF($E27=AA$3,$G27,0)-IF($H27=AA$3,$J27,0)</f>
        <v/>
      </c>
      <c r="AB27" s="47">
        <f>IF($E27=AB$3,$G27,0)-IF($H27=AB$3,$J27,0)</f>
        <v/>
      </c>
      <c r="AC27" s="47">
        <f>IF($E27=AC$3,$G27,0)-IF($H27=AC$3,$J27,0)</f>
        <v/>
      </c>
      <c r="AD27" s="47">
        <f>IF($E27=AD$3,$G27,0)-IF($H27=AD$3,$J27,0)</f>
        <v/>
      </c>
      <c r="AE27" s="47">
        <f>IF($E27=AE$3,$G27,0)-IF($H27=AE$3,$J27,0)</f>
        <v/>
      </c>
      <c r="AF27" s="47">
        <f>IF($E27=AF$3,$G27,0)-IF($H27=AF$3,$J27,0)</f>
        <v/>
      </c>
      <c r="AG27" s="47">
        <f>IF($E27=AG$3,$G27,0)-IF($H27=AG$3,$J27,0)</f>
        <v/>
      </c>
      <c r="AH27" s="47">
        <f>IF($E27=AH$3,$G27,0)-IF($H27=AH$3,$J27,0)</f>
        <v/>
      </c>
      <c r="AI27" s="47">
        <f>IF($E27=AI$3,$G27,0)-IF($H27=AI$3,$J27,0)</f>
        <v/>
      </c>
      <c r="AJ27" s="47">
        <f>IF($E27=AJ$3,$G27,0)-IF($H27=AJ$3,$J27,0)</f>
        <v/>
      </c>
      <c r="AK27" s="47">
        <f>IF($E27=AK$3,$G27,0)-IF($H27=AK$3,$J27,0)</f>
        <v/>
      </c>
      <c r="AL27" s="48">
        <f>IF($E27=AL$3,$G27,0)-IF($H27=AL$3,$J27,0)</f>
        <v/>
      </c>
      <c r="AM27" s="46">
        <f>-IF($E27=AM$3,$G27,0)+IF($H27=AM$3,$J27,0)</f>
        <v/>
      </c>
      <c r="AN27" s="47">
        <f>-IF($E27=AN$3,$G27,0)+IF($H27=AN$3,$J27,0)</f>
        <v/>
      </c>
      <c r="AO27" s="48">
        <f>-IF($E27=AO$3,$G27,0)+IF($H27=AO$3,$J27,0)</f>
        <v/>
      </c>
      <c r="AP27" s="46">
        <f>IF($E27=AP$3,$G27,0)-IF($H27=AP$3,$J27,0)</f>
        <v/>
      </c>
      <c r="AQ27" s="47">
        <f>IF($E27=AQ$3,$G27,0)-IF($H27=AQ$3,$J27,0)</f>
        <v/>
      </c>
      <c r="AR27" s="47">
        <f>IF($E27=AR$3,$G27,0)-IF($H27=AR$3,$J27,0)</f>
        <v/>
      </c>
      <c r="AS27" s="47">
        <f>IF($E27=AS$3,$G27,0)-IF($H27=AS$3,$J27,0)</f>
        <v/>
      </c>
      <c r="AT27" s="47">
        <f>IF($E27=AT$3,$G27,0)-IF($H27=AT$3,$J27,0)</f>
        <v/>
      </c>
      <c r="AU27" s="47">
        <f>IF($E27=AU$3,$G27,0)-IF($H27=AU$3,$J27,0)</f>
        <v/>
      </c>
      <c r="AV27" s="47">
        <f>IF($E27=AV$3,$G27,0)-IF($H27=AV$3,$J27,0)</f>
        <v/>
      </c>
      <c r="AW27" s="47">
        <f>IF($E27=AW$3,$G27,0)-IF($H27=AW$3,$J27,0)</f>
        <v/>
      </c>
      <c r="AX27" s="47">
        <f>IF($E27=AX$3,$G27,0)-IF($H27=AX$3,$J27,0)</f>
        <v/>
      </c>
      <c r="AY27" s="47">
        <f>IF($E27=AY$3,$G27,0)-IF($H27=AY$3,$J27,0)</f>
        <v/>
      </c>
      <c r="AZ27" s="47">
        <f>IF($E27=AZ$3,$G27,0)-IF($H27=AZ$3,$J27,0)</f>
        <v/>
      </c>
      <c r="BA27" s="47">
        <f>IF($E27=BA$3,$G27,0)-IF($H27=BA$3,$J27,0)</f>
        <v/>
      </c>
      <c r="BB27" s="47">
        <f>IF($E27=BB$3,$G27,0)-IF($H27=BB$3,$J27,0)</f>
        <v/>
      </c>
      <c r="BC27" s="47">
        <f>IF($E27=BC$3,$G27,0)-IF($H27=BC$3,$J27,0)</f>
        <v/>
      </c>
      <c r="BD27" s="47">
        <f>IF($E27=BD$3,$G27,0)-IF($H27=BD$3,$J27,0)</f>
        <v/>
      </c>
      <c r="BE27" s="47">
        <f>IF($E27=BE$3,$G27,0)-IF($H27=BE$3,$J27,0)</f>
        <v/>
      </c>
      <c r="BF27" s="47">
        <f>IF($E27=BF$3,$G27,0)-IF($H27=BF$3,$J27,0)</f>
        <v/>
      </c>
      <c r="BG27" s="47">
        <f>IF($E27=BG$3,$G27,0)-IF($H27=BG$3,$J27,0)</f>
        <v/>
      </c>
      <c r="BH27" s="47">
        <f>IF($E27=BH$3,$G27,0)-IF($H27=BH$3,$J27,0)</f>
        <v/>
      </c>
      <c r="BI27" s="47">
        <f>IF($E27=BI$3,$G27,0)-IF($H27=BI$3,$J27,0)</f>
        <v/>
      </c>
      <c r="BJ27" s="47">
        <f>IF($E27=BJ$3,$G27,0)-IF($H27=BJ$3,$J27,0)</f>
        <v/>
      </c>
      <c r="BK27" s="47">
        <f>IF($E27=BK$3,$G27,0)-IF($H27=BK$3,$J27,0)</f>
        <v/>
      </c>
      <c r="BL27" s="46">
        <f>-IF($E27=BL$3,$G27,0)+IF($H27=BL$3,$J27,0)</f>
        <v/>
      </c>
      <c r="BM27" s="47">
        <f>-IF($E27=BM$3,$G27,0)+IF($H27=BM$3,$J27,0)</f>
        <v/>
      </c>
      <c r="BN27" s="47">
        <f>-IF($E27=BN$3,$G27,0)+IF($H27=BN$3,$J27,0)</f>
        <v/>
      </c>
      <c r="BO27" s="47">
        <f>-IF($E27=BO$3,$G27,0)+IF($H27=BO$3,$J27,0)</f>
        <v/>
      </c>
      <c r="BP27" s="47">
        <f>-IF($E27=BP$3,$G27,0)+IF($H27=BP$3,$J27,0)</f>
        <v/>
      </c>
      <c r="BQ27" s="47">
        <f>-IF($E27=BQ$3,$G27,0)+IF($H27=BQ$3,$J27,0)</f>
        <v/>
      </c>
      <c r="BR27" s="47">
        <f>-IF($E27=BR$3,$G27,0)+IF($H27=BR$3,$J27,0)</f>
        <v/>
      </c>
      <c r="BS27" s="47">
        <f>-IF($E27=BS$3,$G27,0)+IF($H27=BS$3,$J27,0)</f>
        <v/>
      </c>
      <c r="BT27" s="47">
        <f>-IF($E27=BT$3,$G27,0)+IF($H27=BT$3,$J27,0)</f>
        <v/>
      </c>
      <c r="BU27" s="46">
        <f>+G27-J27</f>
        <v/>
      </c>
      <c r="BV27" s="48">
        <f>-IF($E27=BV$3,$G27,0)+IF($H27=BV$3,$J27,0)</f>
        <v/>
      </c>
      <c r="BW27" s="3" t="n"/>
    </row>
    <row r="28" ht="15.75" customHeight="1" s="214">
      <c r="A28" s="7" t="n"/>
      <c r="B28" s="8" t="n">
        <v>1</v>
      </c>
      <c r="C28" s="9" t="n">
        <v>17</v>
      </c>
      <c r="D28" s="10" t="inlineStr">
        <is>
          <t>シエンタのリサイクル預託金</t>
        </is>
      </c>
      <c r="E28" s="247" t="n">
        <v>114</v>
      </c>
      <c r="F28" s="11">
        <f>IF(E28="","",IF(ISNA(VLOOKUP(E28,科目コード表!$C$4:$D$67,2,FALSE)),"該当科目なし",VLOOKUP(E28,科目コード表!$C$4:$D$67,2,FALSE)))</f>
        <v/>
      </c>
      <c r="G28" s="38" t="n">
        <v>11650</v>
      </c>
      <c r="H28" s="248" t="n"/>
      <c r="I28" s="11">
        <f>IF(H28="","",IF(ISNA(VLOOKUP(H28,科目コード表!$C$4:$D$67,2,FALSE)),"該当科目なし",VLOOKUP(H28,科目コード表!$C$4:$D$67,2,FALSE)))</f>
        <v/>
      </c>
      <c r="J28" s="40" t="n"/>
      <c r="L28" s="46">
        <f>IF($E28=L$3,$G28,0)-IF($H28=L$3,$J28,0)</f>
        <v/>
      </c>
      <c r="M28" s="47">
        <f>IF($E28=M$3,$G28,0)-IF($H28=M$3,$J28,0)</f>
        <v/>
      </c>
      <c r="N28" s="47">
        <f>IF($E28=N$3,$G28,0)-IF($H28=N$3,$J28,0)</f>
        <v/>
      </c>
      <c r="O28" s="47">
        <f>IF($E28=O$3,$G28,0)-IF($H28=O$3,$J28,0)</f>
        <v/>
      </c>
      <c r="P28" s="47">
        <f>IF($E28=P$3,$G28,0)-IF($H28=P$3,$J28,0)</f>
        <v/>
      </c>
      <c r="Q28" s="47">
        <f>IF($E28=Q$3,$G28,0)-IF($H28=Q$3,$J28,0)</f>
        <v/>
      </c>
      <c r="R28" s="47">
        <f>IF($E28=R$3,$G28,0)-IF($H28=R$3,$J28,0)</f>
        <v/>
      </c>
      <c r="S28" s="47">
        <f>IF($E28=S$3,$G28,0)-IF($H28=S$3,$J28,0)</f>
        <v/>
      </c>
      <c r="T28" s="47">
        <f>IF($E28=T$3,$G28,0)-IF($H28=T$3,$J28,0)</f>
        <v/>
      </c>
      <c r="U28" s="47">
        <f>IF($E28=U$3,$G28,0)-IF($H28=U$3,$J28,0)</f>
        <v/>
      </c>
      <c r="V28" s="47">
        <f>IF($E28=V$3,$G28,0)-IF($H28=V$3,$J28,0)</f>
        <v/>
      </c>
      <c r="W28" s="47">
        <f>IF($E28=W$3,$G28,0)-IF($H28=W$3,$J28,0)</f>
        <v/>
      </c>
      <c r="X28" s="47">
        <f>IF($E28=X$3,$G28,0)-IF($H28=X$3,$J28,0)</f>
        <v/>
      </c>
      <c r="Y28" s="47">
        <f>IF($E28=Y$3,$G28,0)-IF($H28=Y$3,$J28,0)</f>
        <v/>
      </c>
      <c r="Z28" s="47">
        <f>IF($E28=Z$3,$G28,0)-IF($H28=Z$3,$J28,0)</f>
        <v/>
      </c>
      <c r="AA28" s="47">
        <f>IF($E28=AA$3,$G28,0)-IF($H28=AA$3,$J28,0)</f>
        <v/>
      </c>
      <c r="AB28" s="47">
        <f>IF($E28=AB$3,$G28,0)-IF($H28=AB$3,$J28,0)</f>
        <v/>
      </c>
      <c r="AC28" s="47">
        <f>IF($E28=AC$3,$G28,0)-IF($H28=AC$3,$J28,0)</f>
        <v/>
      </c>
      <c r="AD28" s="47">
        <f>IF($E28=AD$3,$G28,0)-IF($H28=AD$3,$J28,0)</f>
        <v/>
      </c>
      <c r="AE28" s="47">
        <f>IF($E28=AE$3,$G28,0)-IF($H28=AE$3,$J28,0)</f>
        <v/>
      </c>
      <c r="AF28" s="47">
        <f>IF($E28=AF$3,$G28,0)-IF($H28=AF$3,$J28,0)</f>
        <v/>
      </c>
      <c r="AG28" s="47">
        <f>IF($E28=AG$3,$G28,0)-IF($H28=AG$3,$J28,0)</f>
        <v/>
      </c>
      <c r="AH28" s="47">
        <f>IF($E28=AH$3,$G28,0)-IF($H28=AH$3,$J28,0)</f>
        <v/>
      </c>
      <c r="AI28" s="47">
        <f>IF($E28=AI$3,$G28,0)-IF($H28=AI$3,$J28,0)</f>
        <v/>
      </c>
      <c r="AJ28" s="47">
        <f>IF($E28=AJ$3,$G28,0)-IF($H28=AJ$3,$J28,0)</f>
        <v/>
      </c>
      <c r="AK28" s="47">
        <f>IF($E28=AK$3,$G28,0)-IF($H28=AK$3,$J28,0)</f>
        <v/>
      </c>
      <c r="AL28" s="48">
        <f>IF($E28=AL$3,$G28,0)-IF($H28=AL$3,$J28,0)</f>
        <v/>
      </c>
      <c r="AM28" s="46">
        <f>-IF($E28=AM$3,$G28,0)+IF($H28=AM$3,$J28,0)</f>
        <v/>
      </c>
      <c r="AN28" s="47">
        <f>-IF($E28=AN$3,$G28,0)+IF($H28=AN$3,$J28,0)</f>
        <v/>
      </c>
      <c r="AO28" s="48">
        <f>-IF($E28=AO$3,$G28,0)+IF($H28=AO$3,$J28,0)</f>
        <v/>
      </c>
      <c r="AP28" s="46">
        <f>IF($E28=AP$3,$G28,0)-IF($H28=AP$3,$J28,0)</f>
        <v/>
      </c>
      <c r="AQ28" s="47">
        <f>IF($E28=AQ$3,$G28,0)-IF($H28=AQ$3,$J28,0)</f>
        <v/>
      </c>
      <c r="AR28" s="47">
        <f>IF($E28=AR$3,$G28,0)-IF($H28=AR$3,$J28,0)</f>
        <v/>
      </c>
      <c r="AS28" s="47">
        <f>IF($E28=AS$3,$G28,0)-IF($H28=AS$3,$J28,0)</f>
        <v/>
      </c>
      <c r="AT28" s="47">
        <f>IF($E28=AT$3,$G28,0)-IF($H28=AT$3,$J28,0)</f>
        <v/>
      </c>
      <c r="AU28" s="47">
        <f>IF($E28=AU$3,$G28,0)-IF($H28=AU$3,$J28,0)</f>
        <v/>
      </c>
      <c r="AV28" s="47">
        <f>IF($E28=AV$3,$G28,0)-IF($H28=AV$3,$J28,0)</f>
        <v/>
      </c>
      <c r="AW28" s="47">
        <f>IF($E28=AW$3,$G28,0)-IF($H28=AW$3,$J28,0)</f>
        <v/>
      </c>
      <c r="AX28" s="47">
        <f>IF($E28=AX$3,$G28,0)-IF($H28=AX$3,$J28,0)</f>
        <v/>
      </c>
      <c r="AY28" s="47">
        <f>IF($E28=AY$3,$G28,0)-IF($H28=AY$3,$J28,0)</f>
        <v/>
      </c>
      <c r="AZ28" s="47">
        <f>IF($E28=AZ$3,$G28,0)-IF($H28=AZ$3,$J28,0)</f>
        <v/>
      </c>
      <c r="BA28" s="47">
        <f>IF($E28=BA$3,$G28,0)-IF($H28=BA$3,$J28,0)</f>
        <v/>
      </c>
      <c r="BB28" s="47">
        <f>IF($E28=BB$3,$G28,0)-IF($H28=BB$3,$J28,0)</f>
        <v/>
      </c>
      <c r="BC28" s="47">
        <f>IF($E28=BC$3,$G28,0)-IF($H28=BC$3,$J28,0)</f>
        <v/>
      </c>
      <c r="BD28" s="47">
        <f>IF($E28=BD$3,$G28,0)-IF($H28=BD$3,$J28,0)</f>
        <v/>
      </c>
      <c r="BE28" s="47">
        <f>IF($E28=BE$3,$G28,0)-IF($H28=BE$3,$J28,0)</f>
        <v/>
      </c>
      <c r="BF28" s="47">
        <f>IF($E28=BF$3,$G28,0)-IF($H28=BF$3,$J28,0)</f>
        <v/>
      </c>
      <c r="BG28" s="47">
        <f>IF($E28=BG$3,$G28,0)-IF($H28=BG$3,$J28,0)</f>
        <v/>
      </c>
      <c r="BH28" s="47">
        <f>IF($E28=BH$3,$G28,0)-IF($H28=BH$3,$J28,0)</f>
        <v/>
      </c>
      <c r="BI28" s="47">
        <f>IF($E28=BI$3,$G28,0)-IF($H28=BI$3,$J28,0)</f>
        <v/>
      </c>
      <c r="BJ28" s="47">
        <f>IF($E28=BJ$3,$G28,0)-IF($H28=BJ$3,$J28,0)</f>
        <v/>
      </c>
      <c r="BK28" s="47">
        <f>IF($E28=BK$3,$G28,0)-IF($H28=BK$3,$J28,0)</f>
        <v/>
      </c>
      <c r="BL28" s="46">
        <f>-IF($E28=BL$3,$G28,0)+IF($H28=BL$3,$J28,0)</f>
        <v/>
      </c>
      <c r="BM28" s="47">
        <f>-IF($E28=BM$3,$G28,0)+IF($H28=BM$3,$J28,0)</f>
        <v/>
      </c>
      <c r="BN28" s="47">
        <f>-IF($E28=BN$3,$G28,0)+IF($H28=BN$3,$J28,0)</f>
        <v/>
      </c>
      <c r="BO28" s="47">
        <f>-IF($E28=BO$3,$G28,0)+IF($H28=BO$3,$J28,0)</f>
        <v/>
      </c>
      <c r="BP28" s="47">
        <f>-IF($E28=BP$3,$G28,0)+IF($H28=BP$3,$J28,0)</f>
        <v/>
      </c>
      <c r="BQ28" s="47">
        <f>-IF($E28=BQ$3,$G28,0)+IF($H28=BQ$3,$J28,0)</f>
        <v/>
      </c>
      <c r="BR28" s="47">
        <f>-IF($E28=BR$3,$G28,0)+IF($H28=BR$3,$J28,0)</f>
        <v/>
      </c>
      <c r="BS28" s="47">
        <f>-IF($E28=BS$3,$G28,0)+IF($H28=BS$3,$J28,0)</f>
        <v/>
      </c>
      <c r="BT28" s="47">
        <f>-IF($E28=BT$3,$G28,0)+IF($H28=BT$3,$J28,0)</f>
        <v/>
      </c>
      <c r="BU28" s="46">
        <f>+G28-J28</f>
        <v/>
      </c>
      <c r="BV28" s="48">
        <f>-IF($E28=BV$3,$G28,0)+IF($H28=BV$3,$J28,0)</f>
        <v/>
      </c>
      <c r="BW28" s="3" t="n"/>
    </row>
    <row r="29" ht="15.75" customHeight="1" s="214">
      <c r="A29" s="7" t="n"/>
      <c r="B29" s="8" t="n">
        <v>1</v>
      </c>
      <c r="C29" s="9" t="n">
        <v>18</v>
      </c>
      <c r="D29" s="10" t="inlineStr">
        <is>
          <t>エポス Github</t>
        </is>
      </c>
      <c r="E29" s="247" t="n">
        <v>525</v>
      </c>
      <c r="F29" s="11">
        <f>IF(E29="","",IF(ISNA(VLOOKUP(E29,科目コード表!$C$4:$D$67,2,FALSE)),"該当科目なし",VLOOKUP(E29,科目コード表!$C$4:$D$67,2,FALSE)))</f>
        <v/>
      </c>
      <c r="G29" s="38" t="n">
        <v>1813</v>
      </c>
      <c r="H29" s="248" t="n"/>
      <c r="I29" s="11">
        <f>IF(H29="","",IF(ISNA(VLOOKUP(H29,科目コード表!$C$4:$D$67,2,FALSE)),"該当科目なし",VLOOKUP(H29,科目コード表!$C$4:$D$67,2,FALSE)))</f>
        <v/>
      </c>
      <c r="J29" s="40" t="n"/>
      <c r="L29" s="46">
        <f>IF($E29=L$3,$G29,0)-IF($H29=L$3,$J29,0)</f>
        <v/>
      </c>
      <c r="M29" s="47">
        <f>IF($E29=M$3,$G29,0)-IF($H29=M$3,$J29,0)</f>
        <v/>
      </c>
      <c r="N29" s="47">
        <f>IF($E29=N$3,$G29,0)-IF($H29=N$3,$J29,0)</f>
        <v/>
      </c>
      <c r="O29" s="47">
        <f>IF($E29=O$3,$G29,0)-IF($H29=O$3,$J29,0)</f>
        <v/>
      </c>
      <c r="P29" s="47">
        <f>IF($E29=P$3,$G29,0)-IF($H29=P$3,$J29,0)</f>
        <v/>
      </c>
      <c r="Q29" s="47">
        <f>IF($E29=Q$3,$G29,0)-IF($H29=Q$3,$J29,0)</f>
        <v/>
      </c>
      <c r="R29" s="47">
        <f>IF($E29=R$3,$G29,0)-IF($H29=R$3,$J29,0)</f>
        <v/>
      </c>
      <c r="S29" s="47">
        <f>IF($E29=S$3,$G29,0)-IF($H29=S$3,$J29,0)</f>
        <v/>
      </c>
      <c r="T29" s="47">
        <f>IF($E29=T$3,$G29,0)-IF($H29=T$3,$J29,0)</f>
        <v/>
      </c>
      <c r="U29" s="47">
        <f>IF($E29=U$3,$G29,0)-IF($H29=U$3,$J29,0)</f>
        <v/>
      </c>
      <c r="V29" s="47">
        <f>IF($E29=V$3,$G29,0)-IF($H29=V$3,$J29,0)</f>
        <v/>
      </c>
      <c r="W29" s="47">
        <f>IF($E29=W$3,$G29,0)-IF($H29=W$3,$J29,0)</f>
        <v/>
      </c>
      <c r="X29" s="47">
        <f>IF($E29=X$3,$G29,0)-IF($H29=X$3,$J29,0)</f>
        <v/>
      </c>
      <c r="Y29" s="47">
        <f>IF($E29=Y$3,$G29,0)-IF($H29=Y$3,$J29,0)</f>
        <v/>
      </c>
      <c r="Z29" s="47">
        <f>IF($E29=Z$3,$G29,0)-IF($H29=Z$3,$J29,0)</f>
        <v/>
      </c>
      <c r="AA29" s="47">
        <f>IF($E29=AA$3,$G29,0)-IF($H29=AA$3,$J29,0)</f>
        <v/>
      </c>
      <c r="AB29" s="47">
        <f>IF($E29=AB$3,$G29,0)-IF($H29=AB$3,$J29,0)</f>
        <v/>
      </c>
      <c r="AC29" s="47">
        <f>IF($E29=AC$3,$G29,0)-IF($H29=AC$3,$J29,0)</f>
        <v/>
      </c>
      <c r="AD29" s="47">
        <f>IF($E29=AD$3,$G29,0)-IF($H29=AD$3,$J29,0)</f>
        <v/>
      </c>
      <c r="AE29" s="47">
        <f>IF($E29=AE$3,$G29,0)-IF($H29=AE$3,$J29,0)</f>
        <v/>
      </c>
      <c r="AF29" s="47">
        <f>IF($E29=AF$3,$G29,0)-IF($H29=AF$3,$J29,0)</f>
        <v/>
      </c>
      <c r="AG29" s="47">
        <f>IF($E29=AG$3,$G29,0)-IF($H29=AG$3,$J29,0)</f>
        <v/>
      </c>
      <c r="AH29" s="47">
        <f>IF($E29=AH$3,$G29,0)-IF($H29=AH$3,$J29,0)</f>
        <v/>
      </c>
      <c r="AI29" s="47">
        <f>IF($E29=AI$3,$G29,0)-IF($H29=AI$3,$J29,0)</f>
        <v/>
      </c>
      <c r="AJ29" s="47">
        <f>IF($E29=AJ$3,$G29,0)-IF($H29=AJ$3,$J29,0)</f>
        <v/>
      </c>
      <c r="AK29" s="47">
        <f>IF($E29=AK$3,$G29,0)-IF($H29=AK$3,$J29,0)</f>
        <v/>
      </c>
      <c r="AL29" s="48">
        <f>IF($E29=AL$3,$G29,0)-IF($H29=AL$3,$J29,0)</f>
        <v/>
      </c>
      <c r="AM29" s="46">
        <f>-IF($E29=AM$3,$G29,0)+IF($H29=AM$3,$J29,0)</f>
        <v/>
      </c>
      <c r="AN29" s="47">
        <f>-IF($E29=AN$3,$G29,0)+IF($H29=AN$3,$J29,0)</f>
        <v/>
      </c>
      <c r="AO29" s="48">
        <f>-IF($E29=AO$3,$G29,0)+IF($H29=AO$3,$J29,0)</f>
        <v/>
      </c>
      <c r="AP29" s="46">
        <f>IF($E29=AP$3,$G29,0)-IF($H29=AP$3,$J29,0)</f>
        <v/>
      </c>
      <c r="AQ29" s="47">
        <f>IF($E29=AQ$3,$G29,0)-IF($H29=AQ$3,$J29,0)</f>
        <v/>
      </c>
      <c r="AR29" s="47">
        <f>IF($E29=AR$3,$G29,0)-IF($H29=AR$3,$J29,0)</f>
        <v/>
      </c>
      <c r="AS29" s="47">
        <f>IF($E29=AS$3,$G29,0)-IF($H29=AS$3,$J29,0)</f>
        <v/>
      </c>
      <c r="AT29" s="47">
        <f>IF($E29=AT$3,$G29,0)-IF($H29=AT$3,$J29,0)</f>
        <v/>
      </c>
      <c r="AU29" s="47">
        <f>IF($E29=AU$3,$G29,0)-IF($H29=AU$3,$J29,0)</f>
        <v/>
      </c>
      <c r="AV29" s="47">
        <f>IF($E29=AV$3,$G29,0)-IF($H29=AV$3,$J29,0)</f>
        <v/>
      </c>
      <c r="AW29" s="47">
        <f>IF($E29=AW$3,$G29,0)-IF($H29=AW$3,$J29,0)</f>
        <v/>
      </c>
      <c r="AX29" s="47">
        <f>IF($E29=AX$3,$G29,0)-IF($H29=AX$3,$J29,0)</f>
        <v/>
      </c>
      <c r="AY29" s="47">
        <f>IF($E29=AY$3,$G29,0)-IF($H29=AY$3,$J29,0)</f>
        <v/>
      </c>
      <c r="AZ29" s="47">
        <f>IF($E29=AZ$3,$G29,0)-IF($H29=AZ$3,$J29,0)</f>
        <v/>
      </c>
      <c r="BA29" s="47">
        <f>IF($E29=BA$3,$G29,0)-IF($H29=BA$3,$J29,0)</f>
        <v/>
      </c>
      <c r="BB29" s="47">
        <f>IF($E29=BB$3,$G29,0)-IF($H29=BB$3,$J29,0)</f>
        <v/>
      </c>
      <c r="BC29" s="47">
        <f>IF($E29=BC$3,$G29,0)-IF($H29=BC$3,$J29,0)</f>
        <v/>
      </c>
      <c r="BD29" s="47">
        <f>IF($E29=BD$3,$G29,0)-IF($H29=BD$3,$J29,0)</f>
        <v/>
      </c>
      <c r="BE29" s="47">
        <f>IF($E29=BE$3,$G29,0)-IF($H29=BE$3,$J29,0)</f>
        <v/>
      </c>
      <c r="BF29" s="47">
        <f>IF($E29=BF$3,$G29,0)-IF($H29=BF$3,$J29,0)</f>
        <v/>
      </c>
      <c r="BG29" s="47">
        <f>IF($E29=BG$3,$G29,0)-IF($H29=BG$3,$J29,0)</f>
        <v/>
      </c>
      <c r="BH29" s="47">
        <f>IF($E29=BH$3,$G29,0)-IF($H29=BH$3,$J29,0)</f>
        <v/>
      </c>
      <c r="BI29" s="47">
        <f>IF($E29=BI$3,$G29,0)-IF($H29=BI$3,$J29,0)</f>
        <v/>
      </c>
      <c r="BJ29" s="47">
        <f>IF($E29=BJ$3,$G29,0)-IF($H29=BJ$3,$J29,0)</f>
        <v/>
      </c>
      <c r="BK29" s="47">
        <f>IF($E29=BK$3,$G29,0)-IF($H29=BK$3,$J29,0)</f>
        <v/>
      </c>
      <c r="BL29" s="46">
        <f>-IF($E29=BL$3,$G29,0)+IF($H29=BL$3,$J29,0)</f>
        <v/>
      </c>
      <c r="BM29" s="47">
        <f>-IF($E29=BM$3,$G29,0)+IF($H29=BM$3,$J29,0)</f>
        <v/>
      </c>
      <c r="BN29" s="47">
        <f>-IF($E29=BN$3,$G29,0)+IF($H29=BN$3,$J29,0)</f>
        <v/>
      </c>
      <c r="BO29" s="47">
        <f>-IF($E29=BO$3,$G29,0)+IF($H29=BO$3,$J29,0)</f>
        <v/>
      </c>
      <c r="BP29" s="47">
        <f>-IF($E29=BP$3,$G29,0)+IF($H29=BP$3,$J29,0)</f>
        <v/>
      </c>
      <c r="BQ29" s="47">
        <f>-IF($E29=BQ$3,$G29,0)+IF($H29=BQ$3,$J29,0)</f>
        <v/>
      </c>
      <c r="BR29" s="47">
        <f>-IF($E29=BR$3,$G29,0)+IF($H29=BR$3,$J29,0)</f>
        <v/>
      </c>
      <c r="BS29" s="47">
        <f>-IF($E29=BS$3,$G29,0)+IF($H29=BS$3,$J29,0)</f>
        <v/>
      </c>
      <c r="BT29" s="47">
        <f>-IF($E29=BT$3,$G29,0)+IF($H29=BT$3,$J29,0)</f>
        <v/>
      </c>
      <c r="BU29" s="46">
        <f>+G29-J29</f>
        <v/>
      </c>
      <c r="BV29" s="48">
        <f>-IF($E29=BV$3,$G29,0)+IF($H29=BV$3,$J29,0)</f>
        <v/>
      </c>
      <c r="BW29" s="3" t="n"/>
    </row>
    <row r="30" ht="15.75" customHeight="1" s="214">
      <c r="A30" s="7" t="n"/>
      <c r="B30" s="8" t="n">
        <v>1</v>
      </c>
      <c r="C30" s="9" t="n">
        <v>19</v>
      </c>
      <c r="D30" s="10" t="inlineStr">
        <is>
          <t>エポス ガソリン代</t>
        </is>
      </c>
      <c r="E30" s="247" t="n">
        <v>523</v>
      </c>
      <c r="F30" s="11">
        <f>IF(E30="","",IF(ISNA(VLOOKUP(E30,科目コード表!$C$4:$D$67,2,FALSE)),"該当科目なし",VLOOKUP(E30,科目コード表!$C$4:$D$67,2,FALSE)))</f>
        <v/>
      </c>
      <c r="G30" s="38" t="n">
        <v>3097</v>
      </c>
      <c r="H30" s="248" t="n"/>
      <c r="I30" s="11">
        <f>IF(H30="","",IF(ISNA(VLOOKUP(H30,科目コード表!$C$4:$D$67,2,FALSE)),"該当科目なし",VLOOKUP(H30,科目コード表!$C$4:$D$67,2,FALSE)))</f>
        <v/>
      </c>
      <c r="J30" s="40" t="n"/>
      <c r="L30" s="46">
        <f>IF($E30=L$3,$G30,0)-IF($H30=L$3,$J30,0)</f>
        <v/>
      </c>
      <c r="M30" s="47">
        <f>IF($E30=M$3,$G30,0)-IF($H30=M$3,$J30,0)</f>
        <v/>
      </c>
      <c r="N30" s="47">
        <f>IF($E30=N$3,$G30,0)-IF($H30=N$3,$J30,0)</f>
        <v/>
      </c>
      <c r="O30" s="47">
        <f>IF($E30=O$3,$G30,0)-IF($H30=O$3,$J30,0)</f>
        <v/>
      </c>
      <c r="P30" s="47">
        <f>IF($E30=P$3,$G30,0)-IF($H30=P$3,$J30,0)</f>
        <v/>
      </c>
      <c r="Q30" s="47">
        <f>IF($E30=Q$3,$G30,0)-IF($H30=Q$3,$J30,0)</f>
        <v/>
      </c>
      <c r="R30" s="47">
        <f>IF($E30=R$3,$G30,0)-IF($H30=R$3,$J30,0)</f>
        <v/>
      </c>
      <c r="S30" s="47">
        <f>IF($E30=S$3,$G30,0)-IF($H30=S$3,$J30,0)</f>
        <v/>
      </c>
      <c r="T30" s="47">
        <f>IF($E30=T$3,$G30,0)-IF($H30=T$3,$J30,0)</f>
        <v/>
      </c>
      <c r="U30" s="47">
        <f>IF($E30=U$3,$G30,0)-IF($H30=U$3,$J30,0)</f>
        <v/>
      </c>
      <c r="V30" s="47">
        <f>IF($E30=V$3,$G30,0)-IF($H30=V$3,$J30,0)</f>
        <v/>
      </c>
      <c r="W30" s="47">
        <f>IF($E30=W$3,$G30,0)-IF($H30=W$3,$J30,0)</f>
        <v/>
      </c>
      <c r="X30" s="47">
        <f>IF($E30=X$3,$G30,0)-IF($H30=X$3,$J30,0)</f>
        <v/>
      </c>
      <c r="Y30" s="47">
        <f>IF($E30=Y$3,$G30,0)-IF($H30=Y$3,$J30,0)</f>
        <v/>
      </c>
      <c r="Z30" s="47">
        <f>IF($E30=Z$3,$G30,0)-IF($H30=Z$3,$J30,0)</f>
        <v/>
      </c>
      <c r="AA30" s="47">
        <f>IF($E30=AA$3,$G30,0)-IF($H30=AA$3,$J30,0)</f>
        <v/>
      </c>
      <c r="AB30" s="47">
        <f>IF($E30=AB$3,$G30,0)-IF($H30=AB$3,$J30,0)</f>
        <v/>
      </c>
      <c r="AC30" s="47">
        <f>IF($E30=AC$3,$G30,0)-IF($H30=AC$3,$J30,0)</f>
        <v/>
      </c>
      <c r="AD30" s="47">
        <f>IF($E30=AD$3,$G30,0)-IF($H30=AD$3,$J30,0)</f>
        <v/>
      </c>
      <c r="AE30" s="47">
        <f>IF($E30=AE$3,$G30,0)-IF($H30=AE$3,$J30,0)</f>
        <v/>
      </c>
      <c r="AF30" s="47">
        <f>IF($E30=AF$3,$G30,0)-IF($H30=AF$3,$J30,0)</f>
        <v/>
      </c>
      <c r="AG30" s="47">
        <f>IF($E30=AG$3,$G30,0)-IF($H30=AG$3,$J30,0)</f>
        <v/>
      </c>
      <c r="AH30" s="47">
        <f>IF($E30=AH$3,$G30,0)-IF($H30=AH$3,$J30,0)</f>
        <v/>
      </c>
      <c r="AI30" s="47">
        <f>IF($E30=AI$3,$G30,0)-IF($H30=AI$3,$J30,0)</f>
        <v/>
      </c>
      <c r="AJ30" s="47">
        <f>IF($E30=AJ$3,$G30,0)-IF($H30=AJ$3,$J30,0)</f>
        <v/>
      </c>
      <c r="AK30" s="47">
        <f>IF($E30=AK$3,$G30,0)-IF($H30=AK$3,$J30,0)</f>
        <v/>
      </c>
      <c r="AL30" s="48">
        <f>IF($E30=AL$3,$G30,0)-IF($H30=AL$3,$J30,0)</f>
        <v/>
      </c>
      <c r="AM30" s="46">
        <f>-IF($E30=AM$3,$G30,0)+IF($H30=AM$3,$J30,0)</f>
        <v/>
      </c>
      <c r="AN30" s="47">
        <f>-IF($E30=AN$3,$G30,0)+IF($H30=AN$3,$J30,0)</f>
        <v/>
      </c>
      <c r="AO30" s="48">
        <f>-IF($E30=AO$3,$G30,0)+IF($H30=AO$3,$J30,0)</f>
        <v/>
      </c>
      <c r="AP30" s="46">
        <f>IF($E30=AP$3,$G30,0)-IF($H30=AP$3,$J30,0)</f>
        <v/>
      </c>
      <c r="AQ30" s="47">
        <f>IF($E30=AQ$3,$G30,0)-IF($H30=AQ$3,$J30,0)</f>
        <v/>
      </c>
      <c r="AR30" s="47">
        <f>IF($E30=AR$3,$G30,0)-IF($H30=AR$3,$J30,0)</f>
        <v/>
      </c>
      <c r="AS30" s="47">
        <f>IF($E30=AS$3,$G30,0)-IF($H30=AS$3,$J30,0)</f>
        <v/>
      </c>
      <c r="AT30" s="47">
        <f>IF($E30=AT$3,$G30,0)-IF($H30=AT$3,$J30,0)</f>
        <v/>
      </c>
      <c r="AU30" s="47">
        <f>IF($E30=AU$3,$G30,0)-IF($H30=AU$3,$J30,0)</f>
        <v/>
      </c>
      <c r="AV30" s="47">
        <f>IF($E30=AV$3,$G30,0)-IF($H30=AV$3,$J30,0)</f>
        <v/>
      </c>
      <c r="AW30" s="47">
        <f>IF($E30=AW$3,$G30,0)-IF($H30=AW$3,$J30,0)</f>
        <v/>
      </c>
      <c r="AX30" s="47">
        <f>IF($E30=AX$3,$G30,0)-IF($H30=AX$3,$J30,0)</f>
        <v/>
      </c>
      <c r="AY30" s="47">
        <f>IF($E30=AY$3,$G30,0)-IF($H30=AY$3,$J30,0)</f>
        <v/>
      </c>
      <c r="AZ30" s="47">
        <f>IF($E30=AZ$3,$G30,0)-IF($H30=AZ$3,$J30,0)</f>
        <v/>
      </c>
      <c r="BA30" s="47">
        <f>IF($E30=BA$3,$G30,0)-IF($H30=BA$3,$J30,0)</f>
        <v/>
      </c>
      <c r="BB30" s="47">
        <f>IF($E30=BB$3,$G30,0)-IF($H30=BB$3,$J30,0)</f>
        <v/>
      </c>
      <c r="BC30" s="47">
        <f>IF($E30=BC$3,$G30,0)-IF($H30=BC$3,$J30,0)</f>
        <v/>
      </c>
      <c r="BD30" s="47">
        <f>IF($E30=BD$3,$G30,0)-IF($H30=BD$3,$J30,0)</f>
        <v/>
      </c>
      <c r="BE30" s="47">
        <f>IF($E30=BE$3,$G30,0)-IF($H30=BE$3,$J30,0)</f>
        <v/>
      </c>
      <c r="BF30" s="47">
        <f>IF($E30=BF$3,$G30,0)-IF($H30=BF$3,$J30,0)</f>
        <v/>
      </c>
      <c r="BG30" s="47">
        <f>IF($E30=BG$3,$G30,0)-IF($H30=BG$3,$J30,0)</f>
        <v/>
      </c>
      <c r="BH30" s="47">
        <f>IF($E30=BH$3,$G30,0)-IF($H30=BH$3,$J30,0)</f>
        <v/>
      </c>
      <c r="BI30" s="47">
        <f>IF($E30=BI$3,$G30,0)-IF($H30=BI$3,$J30,0)</f>
        <v/>
      </c>
      <c r="BJ30" s="47">
        <f>IF($E30=BJ$3,$G30,0)-IF($H30=BJ$3,$J30,0)</f>
        <v/>
      </c>
      <c r="BK30" s="47">
        <f>IF($E30=BK$3,$G30,0)-IF($H30=BK$3,$J30,0)</f>
        <v/>
      </c>
      <c r="BL30" s="46">
        <f>-IF($E30=BL$3,$G30,0)+IF($H30=BL$3,$J30,0)</f>
        <v/>
      </c>
      <c r="BM30" s="47">
        <f>-IF($E30=BM$3,$G30,0)+IF($H30=BM$3,$J30,0)</f>
        <v/>
      </c>
      <c r="BN30" s="47">
        <f>-IF($E30=BN$3,$G30,0)+IF($H30=BN$3,$J30,0)</f>
        <v/>
      </c>
      <c r="BO30" s="47">
        <f>-IF($E30=BO$3,$G30,0)+IF($H30=BO$3,$J30,0)</f>
        <v/>
      </c>
      <c r="BP30" s="47">
        <f>-IF($E30=BP$3,$G30,0)+IF($H30=BP$3,$J30,0)</f>
        <v/>
      </c>
      <c r="BQ30" s="47">
        <f>-IF($E30=BQ$3,$G30,0)+IF($H30=BQ$3,$J30,0)</f>
        <v/>
      </c>
      <c r="BR30" s="47">
        <f>-IF($E30=BR$3,$G30,0)+IF($H30=BR$3,$J30,0)</f>
        <v/>
      </c>
      <c r="BS30" s="47">
        <f>-IF($E30=BS$3,$G30,0)+IF($H30=BS$3,$J30,0)</f>
        <v/>
      </c>
      <c r="BT30" s="47">
        <f>-IF($E30=BT$3,$G30,0)+IF($H30=BT$3,$J30,0)</f>
        <v/>
      </c>
      <c r="BU30" s="46">
        <f>+G30-J30</f>
        <v/>
      </c>
      <c r="BV30" s="48">
        <f>-IF($E30=BV$3,$G30,0)+IF($H30=BV$3,$J30,0)</f>
        <v/>
      </c>
      <c r="BW30" s="3" t="n"/>
    </row>
    <row r="31" ht="15.75" customHeight="1" s="214">
      <c r="A31" s="7" t="n"/>
      <c r="B31" s="8" t="n">
        <v>1</v>
      </c>
      <c r="C31" s="9" t="n">
        <v>20</v>
      </c>
      <c r="D31" s="10" t="inlineStr">
        <is>
          <t>エポス Microsoft</t>
        </is>
      </c>
      <c r="E31" s="247" t="n">
        <v>525</v>
      </c>
      <c r="F31" s="11">
        <f>IF(E31="","",IF(ISNA(VLOOKUP(E31,科目コード表!$C$4:$D$67,2,FALSE)),"該当科目なし",VLOOKUP(E31,科目コード表!$C$4:$D$67,2,FALSE)))</f>
        <v/>
      </c>
      <c r="G31" s="38" t="n">
        <v>2856</v>
      </c>
      <c r="H31" s="248" t="n"/>
      <c r="I31" s="11">
        <f>IF(H31="","",IF(ISNA(VLOOKUP(H31,科目コード表!$C$4:$D$67,2,FALSE)),"該当科目なし",VLOOKUP(H31,科目コード表!$C$4:$D$67,2,FALSE)))</f>
        <v/>
      </c>
      <c r="J31" s="40" t="n"/>
      <c r="L31" s="46">
        <f>IF($E31=L$3,$G31,0)-IF($H31=L$3,$J31,0)</f>
        <v/>
      </c>
      <c r="M31" s="47">
        <f>IF($E31=M$3,$G31,0)-IF($H31=M$3,$J31,0)</f>
        <v/>
      </c>
      <c r="N31" s="47">
        <f>IF($E31=N$3,$G31,0)-IF($H31=N$3,$J31,0)</f>
        <v/>
      </c>
      <c r="O31" s="47">
        <f>IF($E31=O$3,$G31,0)-IF($H31=O$3,$J31,0)</f>
        <v/>
      </c>
      <c r="P31" s="47">
        <f>IF($E31=P$3,$G31,0)-IF($H31=P$3,$J31,0)</f>
        <v/>
      </c>
      <c r="Q31" s="47">
        <f>IF($E31=Q$3,$G31,0)-IF($H31=Q$3,$J31,0)</f>
        <v/>
      </c>
      <c r="R31" s="47">
        <f>IF($E31=R$3,$G31,0)-IF($H31=R$3,$J31,0)</f>
        <v/>
      </c>
      <c r="S31" s="47">
        <f>IF($E31=S$3,$G31,0)-IF($H31=S$3,$J31,0)</f>
        <v/>
      </c>
      <c r="T31" s="47">
        <f>IF($E31=T$3,$G31,0)-IF($H31=T$3,$J31,0)</f>
        <v/>
      </c>
      <c r="U31" s="47">
        <f>IF($E31=U$3,$G31,0)-IF($H31=U$3,$J31,0)</f>
        <v/>
      </c>
      <c r="V31" s="47">
        <f>IF($E31=V$3,$G31,0)-IF($H31=V$3,$J31,0)</f>
        <v/>
      </c>
      <c r="W31" s="47">
        <f>IF($E31=W$3,$G31,0)-IF($H31=W$3,$J31,0)</f>
        <v/>
      </c>
      <c r="X31" s="47">
        <f>IF($E31=X$3,$G31,0)-IF($H31=X$3,$J31,0)</f>
        <v/>
      </c>
      <c r="Y31" s="47">
        <f>IF($E31=Y$3,$G31,0)-IF($H31=Y$3,$J31,0)</f>
        <v/>
      </c>
      <c r="Z31" s="47">
        <f>IF($E31=Z$3,$G31,0)-IF($H31=Z$3,$J31,0)</f>
        <v/>
      </c>
      <c r="AA31" s="47">
        <f>IF($E31=AA$3,$G31,0)-IF($H31=AA$3,$J31,0)</f>
        <v/>
      </c>
      <c r="AB31" s="47">
        <f>IF($E31=AB$3,$G31,0)-IF($H31=AB$3,$J31,0)</f>
        <v/>
      </c>
      <c r="AC31" s="47">
        <f>IF($E31=AC$3,$G31,0)-IF($H31=AC$3,$J31,0)</f>
        <v/>
      </c>
      <c r="AD31" s="47">
        <f>IF($E31=AD$3,$G31,0)-IF($H31=AD$3,$J31,0)</f>
        <v/>
      </c>
      <c r="AE31" s="47">
        <f>IF($E31=AE$3,$G31,0)-IF($H31=AE$3,$J31,0)</f>
        <v/>
      </c>
      <c r="AF31" s="47">
        <f>IF($E31=AF$3,$G31,0)-IF($H31=AF$3,$J31,0)</f>
        <v/>
      </c>
      <c r="AG31" s="47">
        <f>IF($E31=AG$3,$G31,0)-IF($H31=AG$3,$J31,0)</f>
        <v/>
      </c>
      <c r="AH31" s="47">
        <f>IF($E31=AH$3,$G31,0)-IF($H31=AH$3,$J31,0)</f>
        <v/>
      </c>
      <c r="AI31" s="47">
        <f>IF($E31=AI$3,$G31,0)-IF($H31=AI$3,$J31,0)</f>
        <v/>
      </c>
      <c r="AJ31" s="47">
        <f>IF($E31=AJ$3,$G31,0)-IF($H31=AJ$3,$J31,0)</f>
        <v/>
      </c>
      <c r="AK31" s="47">
        <f>IF($E31=AK$3,$G31,0)-IF($H31=AK$3,$J31,0)</f>
        <v/>
      </c>
      <c r="AL31" s="48">
        <f>IF($E31=AL$3,$G31,0)-IF($H31=AL$3,$J31,0)</f>
        <v/>
      </c>
      <c r="AM31" s="46">
        <f>-IF($E31=AM$3,$G31,0)+IF($H31=AM$3,$J31,0)</f>
        <v/>
      </c>
      <c r="AN31" s="47">
        <f>-IF($E31=AN$3,$G31,0)+IF($H31=AN$3,$J31,0)</f>
        <v/>
      </c>
      <c r="AO31" s="48">
        <f>-IF($E31=AO$3,$G31,0)+IF($H31=AO$3,$J31,0)</f>
        <v/>
      </c>
      <c r="AP31" s="46">
        <f>IF($E31=AP$3,$G31,0)-IF($H31=AP$3,$J31,0)</f>
        <v/>
      </c>
      <c r="AQ31" s="47">
        <f>IF($E31=AQ$3,$G31,0)-IF($H31=AQ$3,$J31,0)</f>
        <v/>
      </c>
      <c r="AR31" s="47">
        <f>IF($E31=AR$3,$G31,0)-IF($H31=AR$3,$J31,0)</f>
        <v/>
      </c>
      <c r="AS31" s="47">
        <f>IF($E31=AS$3,$G31,0)-IF($H31=AS$3,$J31,0)</f>
        <v/>
      </c>
      <c r="AT31" s="47">
        <f>IF($E31=AT$3,$G31,0)-IF($H31=AT$3,$J31,0)</f>
        <v/>
      </c>
      <c r="AU31" s="47">
        <f>IF($E31=AU$3,$G31,0)-IF($H31=AU$3,$J31,0)</f>
        <v/>
      </c>
      <c r="AV31" s="47">
        <f>IF($E31=AV$3,$G31,0)-IF($H31=AV$3,$J31,0)</f>
        <v/>
      </c>
      <c r="AW31" s="47">
        <f>IF($E31=AW$3,$G31,0)-IF($H31=AW$3,$J31,0)</f>
        <v/>
      </c>
      <c r="AX31" s="47">
        <f>IF($E31=AX$3,$G31,0)-IF($H31=AX$3,$J31,0)</f>
        <v/>
      </c>
      <c r="AY31" s="47">
        <f>IF($E31=AY$3,$G31,0)-IF($H31=AY$3,$J31,0)</f>
        <v/>
      </c>
      <c r="AZ31" s="47">
        <f>IF($E31=AZ$3,$G31,0)-IF($H31=AZ$3,$J31,0)</f>
        <v/>
      </c>
      <c r="BA31" s="47">
        <f>IF($E31=BA$3,$G31,0)-IF($H31=BA$3,$J31,0)</f>
        <v/>
      </c>
      <c r="BB31" s="47">
        <f>IF($E31=BB$3,$G31,0)-IF($H31=BB$3,$J31,0)</f>
        <v/>
      </c>
      <c r="BC31" s="47">
        <f>IF($E31=BC$3,$G31,0)-IF($H31=BC$3,$J31,0)</f>
        <v/>
      </c>
      <c r="BD31" s="47">
        <f>IF($E31=BD$3,$G31,0)-IF($H31=BD$3,$J31,0)</f>
        <v/>
      </c>
      <c r="BE31" s="47">
        <f>IF($E31=BE$3,$G31,0)-IF($H31=BE$3,$J31,0)</f>
        <v/>
      </c>
      <c r="BF31" s="47">
        <f>IF($E31=BF$3,$G31,0)-IF($H31=BF$3,$J31,0)</f>
        <v/>
      </c>
      <c r="BG31" s="47">
        <f>IF($E31=BG$3,$G31,0)-IF($H31=BG$3,$J31,0)</f>
        <v/>
      </c>
      <c r="BH31" s="47">
        <f>IF($E31=BH$3,$G31,0)-IF($H31=BH$3,$J31,0)</f>
        <v/>
      </c>
      <c r="BI31" s="47">
        <f>IF($E31=BI$3,$G31,0)-IF($H31=BI$3,$J31,0)</f>
        <v/>
      </c>
      <c r="BJ31" s="47">
        <f>IF($E31=BJ$3,$G31,0)-IF($H31=BJ$3,$J31,0)</f>
        <v/>
      </c>
      <c r="BK31" s="47">
        <f>IF($E31=BK$3,$G31,0)-IF($H31=BK$3,$J31,0)</f>
        <v/>
      </c>
      <c r="BL31" s="46">
        <f>-IF($E31=BL$3,$G31,0)+IF($H31=BL$3,$J31,0)</f>
        <v/>
      </c>
      <c r="BM31" s="47">
        <f>-IF($E31=BM$3,$G31,0)+IF($H31=BM$3,$J31,0)</f>
        <v/>
      </c>
      <c r="BN31" s="47">
        <f>-IF($E31=BN$3,$G31,0)+IF($H31=BN$3,$J31,0)</f>
        <v/>
      </c>
      <c r="BO31" s="47">
        <f>-IF($E31=BO$3,$G31,0)+IF($H31=BO$3,$J31,0)</f>
        <v/>
      </c>
      <c r="BP31" s="47">
        <f>-IF($E31=BP$3,$G31,0)+IF($H31=BP$3,$J31,0)</f>
        <v/>
      </c>
      <c r="BQ31" s="47">
        <f>-IF($E31=BQ$3,$G31,0)+IF($H31=BQ$3,$J31,0)</f>
        <v/>
      </c>
      <c r="BR31" s="47">
        <f>-IF($E31=BR$3,$G31,0)+IF($H31=BR$3,$J31,0)</f>
        <v/>
      </c>
      <c r="BS31" s="47">
        <f>-IF($E31=BS$3,$G31,0)+IF($H31=BS$3,$J31,0)</f>
        <v/>
      </c>
      <c r="BT31" s="47">
        <f>-IF($E31=BT$3,$G31,0)+IF($H31=BT$3,$J31,0)</f>
        <v/>
      </c>
      <c r="BU31" s="46">
        <f>+G31-J31</f>
        <v/>
      </c>
      <c r="BV31" s="48">
        <f>-IF($E31=BV$3,$G31,0)+IF($H31=BV$3,$J31,0)</f>
        <v/>
      </c>
      <c r="BW31" s="3" t="n"/>
    </row>
    <row r="32" ht="15.75" customHeight="1" s="214">
      <c r="A32" s="7" t="n"/>
      <c r="B32" s="8" t="n">
        <v>1</v>
      </c>
      <c r="C32" s="9" t="n">
        <v>21</v>
      </c>
      <c r="D32" s="10" t="inlineStr">
        <is>
          <t>ドアプロテクター</t>
        </is>
      </c>
      <c r="E32" s="247" t="n">
        <v>523</v>
      </c>
      <c r="F32" s="11">
        <f>IF(E32="","",IF(ISNA(VLOOKUP(E32,科目コード表!$C$4:$D$67,2,FALSE)),"該当科目なし",VLOOKUP(E32,科目コード表!$C$4:$D$67,2,FALSE)))</f>
        <v/>
      </c>
      <c r="G32" s="38" t="n">
        <v>859</v>
      </c>
      <c r="H32" s="248" t="n"/>
      <c r="I32" s="11">
        <f>IF(H32="","",IF(ISNA(VLOOKUP(H32,科目コード表!$C$4:$D$67,2,FALSE)),"該当科目なし",VLOOKUP(H32,科目コード表!$C$4:$D$67,2,FALSE)))</f>
        <v/>
      </c>
      <c r="J32" s="40" t="n"/>
      <c r="L32" s="46">
        <f>IF($E32=L$3,$G32,0)-IF($H32=L$3,$J32,0)</f>
        <v/>
      </c>
      <c r="M32" s="47">
        <f>IF($E32=M$3,$G32,0)-IF($H32=M$3,$J32,0)</f>
        <v/>
      </c>
      <c r="N32" s="47">
        <f>IF($E32=N$3,$G32,0)-IF($H32=N$3,$J32,0)</f>
        <v/>
      </c>
      <c r="O32" s="47">
        <f>IF($E32=O$3,$G32,0)-IF($H32=O$3,$J32,0)</f>
        <v/>
      </c>
      <c r="P32" s="47">
        <f>IF($E32=P$3,$G32,0)-IF($H32=P$3,$J32,0)</f>
        <v/>
      </c>
      <c r="Q32" s="47">
        <f>IF($E32=Q$3,$G32,0)-IF($H32=Q$3,$J32,0)</f>
        <v/>
      </c>
      <c r="R32" s="47">
        <f>IF($E32=R$3,$G32,0)-IF($H32=R$3,$J32,0)</f>
        <v/>
      </c>
      <c r="S32" s="47">
        <f>IF($E32=S$3,$G32,0)-IF($H32=S$3,$J32,0)</f>
        <v/>
      </c>
      <c r="T32" s="47">
        <f>IF($E32=T$3,$G32,0)-IF($H32=T$3,$J32,0)</f>
        <v/>
      </c>
      <c r="U32" s="47">
        <f>IF($E32=U$3,$G32,0)-IF($H32=U$3,$J32,0)</f>
        <v/>
      </c>
      <c r="V32" s="47">
        <f>IF($E32=V$3,$G32,0)-IF($H32=V$3,$J32,0)</f>
        <v/>
      </c>
      <c r="W32" s="47">
        <f>IF($E32=W$3,$G32,0)-IF($H32=W$3,$J32,0)</f>
        <v/>
      </c>
      <c r="X32" s="47">
        <f>IF($E32=X$3,$G32,0)-IF($H32=X$3,$J32,0)</f>
        <v/>
      </c>
      <c r="Y32" s="47">
        <f>IF($E32=Y$3,$G32,0)-IF($H32=Y$3,$J32,0)</f>
        <v/>
      </c>
      <c r="Z32" s="47">
        <f>IF($E32=Z$3,$G32,0)-IF($H32=Z$3,$J32,0)</f>
        <v/>
      </c>
      <c r="AA32" s="47">
        <f>IF($E32=AA$3,$G32,0)-IF($H32=AA$3,$J32,0)</f>
        <v/>
      </c>
      <c r="AB32" s="47">
        <f>IF($E32=AB$3,$G32,0)-IF($H32=AB$3,$J32,0)</f>
        <v/>
      </c>
      <c r="AC32" s="47">
        <f>IF($E32=AC$3,$G32,0)-IF($H32=AC$3,$J32,0)</f>
        <v/>
      </c>
      <c r="AD32" s="47">
        <f>IF($E32=AD$3,$G32,0)-IF($H32=AD$3,$J32,0)</f>
        <v/>
      </c>
      <c r="AE32" s="47">
        <f>IF($E32=AE$3,$G32,0)-IF($H32=AE$3,$J32,0)</f>
        <v/>
      </c>
      <c r="AF32" s="47">
        <f>IF($E32=AF$3,$G32,0)-IF($H32=AF$3,$J32,0)</f>
        <v/>
      </c>
      <c r="AG32" s="47">
        <f>IF($E32=AG$3,$G32,0)-IF($H32=AG$3,$J32,0)</f>
        <v/>
      </c>
      <c r="AH32" s="47">
        <f>IF($E32=AH$3,$G32,0)-IF($H32=AH$3,$J32,0)</f>
        <v/>
      </c>
      <c r="AI32" s="47">
        <f>IF($E32=AI$3,$G32,0)-IF($H32=AI$3,$J32,0)</f>
        <v/>
      </c>
      <c r="AJ32" s="47">
        <f>IF($E32=AJ$3,$G32,0)-IF($H32=AJ$3,$J32,0)</f>
        <v/>
      </c>
      <c r="AK32" s="47">
        <f>IF($E32=AK$3,$G32,0)-IF($H32=AK$3,$J32,0)</f>
        <v/>
      </c>
      <c r="AL32" s="48">
        <f>IF($E32=AL$3,$G32,0)-IF($H32=AL$3,$J32,0)</f>
        <v/>
      </c>
      <c r="AM32" s="46">
        <f>-IF($E32=AM$3,$G32,0)+IF($H32=AM$3,$J32,0)</f>
        <v/>
      </c>
      <c r="AN32" s="47">
        <f>-IF($E32=AN$3,$G32,0)+IF($H32=AN$3,$J32,0)</f>
        <v/>
      </c>
      <c r="AO32" s="48">
        <f>-IF($E32=AO$3,$G32,0)+IF($H32=AO$3,$J32,0)</f>
        <v/>
      </c>
      <c r="AP32" s="46">
        <f>IF($E32=AP$3,$G32,0)-IF($H32=AP$3,$J32,0)</f>
        <v/>
      </c>
      <c r="AQ32" s="47">
        <f>IF($E32=AQ$3,$G32,0)-IF($H32=AQ$3,$J32,0)</f>
        <v/>
      </c>
      <c r="AR32" s="47">
        <f>IF($E32=AR$3,$G32,0)-IF($H32=AR$3,$J32,0)</f>
        <v/>
      </c>
      <c r="AS32" s="47">
        <f>IF($E32=AS$3,$G32,0)-IF($H32=AS$3,$J32,0)</f>
        <v/>
      </c>
      <c r="AT32" s="47">
        <f>IF($E32=AT$3,$G32,0)-IF($H32=AT$3,$J32,0)</f>
        <v/>
      </c>
      <c r="AU32" s="47">
        <f>IF($E32=AU$3,$G32,0)-IF($H32=AU$3,$J32,0)</f>
        <v/>
      </c>
      <c r="AV32" s="47">
        <f>IF($E32=AV$3,$G32,0)-IF($H32=AV$3,$J32,0)</f>
        <v/>
      </c>
      <c r="AW32" s="47">
        <f>IF($E32=AW$3,$G32,0)-IF($H32=AW$3,$J32,0)</f>
        <v/>
      </c>
      <c r="AX32" s="47">
        <f>IF($E32=AX$3,$G32,0)-IF($H32=AX$3,$J32,0)</f>
        <v/>
      </c>
      <c r="AY32" s="47">
        <f>IF($E32=AY$3,$G32,0)-IF($H32=AY$3,$J32,0)</f>
        <v/>
      </c>
      <c r="AZ32" s="47">
        <f>IF($E32=AZ$3,$G32,0)-IF($H32=AZ$3,$J32,0)</f>
        <v/>
      </c>
      <c r="BA32" s="47">
        <f>IF($E32=BA$3,$G32,0)-IF($H32=BA$3,$J32,0)</f>
        <v/>
      </c>
      <c r="BB32" s="47">
        <f>IF($E32=BB$3,$G32,0)-IF($H32=BB$3,$J32,0)</f>
        <v/>
      </c>
      <c r="BC32" s="47">
        <f>IF($E32=BC$3,$G32,0)-IF($H32=BC$3,$J32,0)</f>
        <v/>
      </c>
      <c r="BD32" s="47">
        <f>IF($E32=BD$3,$G32,0)-IF($H32=BD$3,$J32,0)</f>
        <v/>
      </c>
      <c r="BE32" s="47">
        <f>IF($E32=BE$3,$G32,0)-IF($H32=BE$3,$J32,0)</f>
        <v/>
      </c>
      <c r="BF32" s="47">
        <f>IF($E32=BF$3,$G32,0)-IF($H32=BF$3,$J32,0)</f>
        <v/>
      </c>
      <c r="BG32" s="47">
        <f>IF($E32=BG$3,$G32,0)-IF($H32=BG$3,$J32,0)</f>
        <v/>
      </c>
      <c r="BH32" s="47">
        <f>IF($E32=BH$3,$G32,0)-IF($H32=BH$3,$J32,0)</f>
        <v/>
      </c>
      <c r="BI32" s="47">
        <f>IF($E32=BI$3,$G32,0)-IF($H32=BI$3,$J32,0)</f>
        <v/>
      </c>
      <c r="BJ32" s="47">
        <f>IF($E32=BJ$3,$G32,0)-IF($H32=BJ$3,$J32,0)</f>
        <v/>
      </c>
      <c r="BK32" s="47">
        <f>IF($E32=BK$3,$G32,0)-IF($H32=BK$3,$J32,0)</f>
        <v/>
      </c>
      <c r="BL32" s="46">
        <f>-IF($E32=BL$3,$G32,0)+IF($H32=BL$3,$J32,0)</f>
        <v/>
      </c>
      <c r="BM32" s="47">
        <f>-IF($E32=BM$3,$G32,0)+IF($H32=BM$3,$J32,0)</f>
        <v/>
      </c>
      <c r="BN32" s="47">
        <f>-IF($E32=BN$3,$G32,0)+IF($H32=BN$3,$J32,0)</f>
        <v/>
      </c>
      <c r="BO32" s="47">
        <f>-IF($E32=BO$3,$G32,0)+IF($H32=BO$3,$J32,0)</f>
        <v/>
      </c>
      <c r="BP32" s="47">
        <f>-IF($E32=BP$3,$G32,0)+IF($H32=BP$3,$J32,0)</f>
        <v/>
      </c>
      <c r="BQ32" s="47">
        <f>-IF($E32=BQ$3,$G32,0)+IF($H32=BQ$3,$J32,0)</f>
        <v/>
      </c>
      <c r="BR32" s="47">
        <f>-IF($E32=BR$3,$G32,0)+IF($H32=BR$3,$J32,0)</f>
        <v/>
      </c>
      <c r="BS32" s="47">
        <f>-IF($E32=BS$3,$G32,0)+IF($H32=BS$3,$J32,0)</f>
        <v/>
      </c>
      <c r="BT32" s="47">
        <f>-IF($E32=BT$3,$G32,0)+IF($H32=BT$3,$J32,0)</f>
        <v/>
      </c>
      <c r="BU32" s="46">
        <f>+G32-J32</f>
        <v/>
      </c>
      <c r="BV32" s="48">
        <f>-IF($E32=BV$3,$G32,0)+IF($H32=BV$3,$J32,0)</f>
        <v/>
      </c>
      <c r="BW32" s="3" t="n"/>
    </row>
    <row r="33" ht="15.75" customHeight="1" s="214">
      <c r="A33" s="7" t="n"/>
      <c r="B33" s="8" t="n">
        <v>1</v>
      </c>
      <c r="C33" s="9" t="n">
        <v>21</v>
      </c>
      <c r="D33" s="10" t="inlineStr">
        <is>
          <t>Bluetooth 5.4 対応 USB</t>
        </is>
      </c>
      <c r="E33" s="247" t="n">
        <v>514</v>
      </c>
      <c r="F33" s="11">
        <f>IF(E33="","",IF(ISNA(VLOOKUP(E33,科目コード表!$C$4:$D$67,2,FALSE)),"該当科目なし",VLOOKUP(E33,科目コード表!$C$4:$D$67,2,FALSE)))</f>
        <v/>
      </c>
      <c r="G33" s="38" t="n">
        <v>1190</v>
      </c>
      <c r="H33" s="248" t="n"/>
      <c r="I33" s="11">
        <f>IF(H33="","",IF(ISNA(VLOOKUP(H33,科目コード表!$C$4:$D$67,2,FALSE)),"該当科目なし",VLOOKUP(H33,科目コード表!$C$4:$D$67,2,FALSE)))</f>
        <v/>
      </c>
      <c r="J33" s="40" t="n"/>
      <c r="L33" s="46">
        <f>IF($E33=L$3,$G33,0)-IF($H33=L$3,$J33,0)</f>
        <v/>
      </c>
      <c r="M33" s="47">
        <f>IF($E33=M$3,$G33,0)-IF($H33=M$3,$J33,0)</f>
        <v/>
      </c>
      <c r="N33" s="47">
        <f>IF($E33=N$3,$G33,0)-IF($H33=N$3,$J33,0)</f>
        <v/>
      </c>
      <c r="O33" s="47">
        <f>IF($E33=O$3,$G33,0)-IF($H33=O$3,$J33,0)</f>
        <v/>
      </c>
      <c r="P33" s="47">
        <f>IF($E33=P$3,$G33,0)-IF($H33=P$3,$J33,0)</f>
        <v/>
      </c>
      <c r="Q33" s="47">
        <f>IF($E33=Q$3,$G33,0)-IF($H33=Q$3,$J33,0)</f>
        <v/>
      </c>
      <c r="R33" s="47">
        <f>IF($E33=R$3,$G33,0)-IF($H33=R$3,$J33,0)</f>
        <v/>
      </c>
      <c r="S33" s="47">
        <f>IF($E33=S$3,$G33,0)-IF($H33=S$3,$J33,0)</f>
        <v/>
      </c>
      <c r="T33" s="47">
        <f>IF($E33=T$3,$G33,0)-IF($H33=T$3,$J33,0)</f>
        <v/>
      </c>
      <c r="U33" s="47">
        <f>IF($E33=U$3,$G33,0)-IF($H33=U$3,$J33,0)</f>
        <v/>
      </c>
      <c r="V33" s="47">
        <f>IF($E33=V$3,$G33,0)-IF($H33=V$3,$J33,0)</f>
        <v/>
      </c>
      <c r="W33" s="47">
        <f>IF($E33=W$3,$G33,0)-IF($H33=W$3,$J33,0)</f>
        <v/>
      </c>
      <c r="X33" s="47">
        <f>IF($E33=X$3,$G33,0)-IF($H33=X$3,$J33,0)</f>
        <v/>
      </c>
      <c r="Y33" s="47">
        <f>IF($E33=Y$3,$G33,0)-IF($H33=Y$3,$J33,0)</f>
        <v/>
      </c>
      <c r="Z33" s="47">
        <f>IF($E33=Z$3,$G33,0)-IF($H33=Z$3,$J33,0)</f>
        <v/>
      </c>
      <c r="AA33" s="47">
        <f>IF($E33=AA$3,$G33,0)-IF($H33=AA$3,$J33,0)</f>
        <v/>
      </c>
      <c r="AB33" s="47">
        <f>IF($E33=AB$3,$G33,0)-IF($H33=AB$3,$J33,0)</f>
        <v/>
      </c>
      <c r="AC33" s="47">
        <f>IF($E33=AC$3,$G33,0)-IF($H33=AC$3,$J33,0)</f>
        <v/>
      </c>
      <c r="AD33" s="47">
        <f>IF($E33=AD$3,$G33,0)-IF($H33=AD$3,$J33,0)</f>
        <v/>
      </c>
      <c r="AE33" s="47">
        <f>IF($E33=AE$3,$G33,0)-IF($H33=AE$3,$J33,0)</f>
        <v/>
      </c>
      <c r="AF33" s="47">
        <f>IF($E33=AF$3,$G33,0)-IF($H33=AF$3,$J33,0)</f>
        <v/>
      </c>
      <c r="AG33" s="47">
        <f>IF($E33=AG$3,$G33,0)-IF($H33=AG$3,$J33,0)</f>
        <v/>
      </c>
      <c r="AH33" s="47">
        <f>IF($E33=AH$3,$G33,0)-IF($H33=AH$3,$J33,0)</f>
        <v/>
      </c>
      <c r="AI33" s="47">
        <f>IF($E33=AI$3,$G33,0)-IF($H33=AI$3,$J33,0)</f>
        <v/>
      </c>
      <c r="AJ33" s="47">
        <f>IF($E33=AJ$3,$G33,0)-IF($H33=AJ$3,$J33,0)</f>
        <v/>
      </c>
      <c r="AK33" s="47">
        <f>IF($E33=AK$3,$G33,0)-IF($H33=AK$3,$J33,0)</f>
        <v/>
      </c>
      <c r="AL33" s="48">
        <f>IF($E33=AL$3,$G33,0)-IF($H33=AL$3,$J33,0)</f>
        <v/>
      </c>
      <c r="AM33" s="46">
        <f>-IF($E33=AM$3,$G33,0)+IF($H33=AM$3,$J33,0)</f>
        <v/>
      </c>
      <c r="AN33" s="47">
        <f>-IF($E33=AN$3,$G33,0)+IF($H33=AN$3,$J33,0)</f>
        <v/>
      </c>
      <c r="AO33" s="48">
        <f>-IF($E33=AO$3,$G33,0)+IF($H33=AO$3,$J33,0)</f>
        <v/>
      </c>
      <c r="AP33" s="46">
        <f>IF($E33=AP$3,$G33,0)-IF($H33=AP$3,$J33,0)</f>
        <v/>
      </c>
      <c r="AQ33" s="47">
        <f>IF($E33=AQ$3,$G33,0)-IF($H33=AQ$3,$J33,0)</f>
        <v/>
      </c>
      <c r="AR33" s="47">
        <f>IF($E33=AR$3,$G33,0)-IF($H33=AR$3,$J33,0)</f>
        <v/>
      </c>
      <c r="AS33" s="47">
        <f>IF($E33=AS$3,$G33,0)-IF($H33=AS$3,$J33,0)</f>
        <v/>
      </c>
      <c r="AT33" s="47">
        <f>IF($E33=AT$3,$G33,0)-IF($H33=AT$3,$J33,0)</f>
        <v/>
      </c>
      <c r="AU33" s="47">
        <f>IF($E33=AU$3,$G33,0)-IF($H33=AU$3,$J33,0)</f>
        <v/>
      </c>
      <c r="AV33" s="47">
        <f>IF($E33=AV$3,$G33,0)-IF($H33=AV$3,$J33,0)</f>
        <v/>
      </c>
      <c r="AW33" s="47">
        <f>IF($E33=AW$3,$G33,0)-IF($H33=AW$3,$J33,0)</f>
        <v/>
      </c>
      <c r="AX33" s="47">
        <f>IF($E33=AX$3,$G33,0)-IF($H33=AX$3,$J33,0)</f>
        <v/>
      </c>
      <c r="AY33" s="47">
        <f>IF($E33=AY$3,$G33,0)-IF($H33=AY$3,$J33,0)</f>
        <v/>
      </c>
      <c r="AZ33" s="47">
        <f>IF($E33=AZ$3,$G33,0)-IF($H33=AZ$3,$J33,0)</f>
        <v/>
      </c>
      <c r="BA33" s="47">
        <f>IF($E33=BA$3,$G33,0)-IF($H33=BA$3,$J33,0)</f>
        <v/>
      </c>
      <c r="BB33" s="47">
        <f>IF($E33=BB$3,$G33,0)-IF($H33=BB$3,$J33,0)</f>
        <v/>
      </c>
      <c r="BC33" s="47">
        <f>IF($E33=BC$3,$G33,0)-IF($H33=BC$3,$J33,0)</f>
        <v/>
      </c>
      <c r="BD33" s="47">
        <f>IF($E33=BD$3,$G33,0)-IF($H33=BD$3,$J33,0)</f>
        <v/>
      </c>
      <c r="BE33" s="47">
        <f>IF($E33=BE$3,$G33,0)-IF($H33=BE$3,$J33,0)</f>
        <v/>
      </c>
      <c r="BF33" s="47">
        <f>IF($E33=BF$3,$G33,0)-IF($H33=BF$3,$J33,0)</f>
        <v/>
      </c>
      <c r="BG33" s="47">
        <f>IF($E33=BG$3,$G33,0)-IF($H33=BG$3,$J33,0)</f>
        <v/>
      </c>
      <c r="BH33" s="47">
        <f>IF($E33=BH$3,$G33,0)-IF($H33=BH$3,$J33,0)</f>
        <v/>
      </c>
      <c r="BI33" s="47">
        <f>IF($E33=BI$3,$G33,0)-IF($H33=BI$3,$J33,0)</f>
        <v/>
      </c>
      <c r="BJ33" s="47">
        <f>IF($E33=BJ$3,$G33,0)-IF($H33=BJ$3,$J33,0)</f>
        <v/>
      </c>
      <c r="BK33" s="47">
        <f>IF($E33=BK$3,$G33,0)-IF($H33=BK$3,$J33,0)</f>
        <v/>
      </c>
      <c r="BL33" s="46">
        <f>-IF($E33=BL$3,$G33,0)+IF($H33=BL$3,$J33,0)</f>
        <v/>
      </c>
      <c r="BM33" s="47">
        <f>-IF($E33=BM$3,$G33,0)+IF($H33=BM$3,$J33,0)</f>
        <v/>
      </c>
      <c r="BN33" s="47">
        <f>-IF($E33=BN$3,$G33,0)+IF($H33=BN$3,$J33,0)</f>
        <v/>
      </c>
      <c r="BO33" s="47">
        <f>-IF($E33=BO$3,$G33,0)+IF($H33=BO$3,$J33,0)</f>
        <v/>
      </c>
      <c r="BP33" s="47">
        <f>-IF($E33=BP$3,$G33,0)+IF($H33=BP$3,$J33,0)</f>
        <v/>
      </c>
      <c r="BQ33" s="47">
        <f>-IF($E33=BQ$3,$G33,0)+IF($H33=BQ$3,$J33,0)</f>
        <v/>
      </c>
      <c r="BR33" s="47">
        <f>-IF($E33=BR$3,$G33,0)+IF($H33=BR$3,$J33,0)</f>
        <v/>
      </c>
      <c r="BS33" s="47">
        <f>-IF($E33=BS$3,$G33,0)+IF($H33=BS$3,$J33,0)</f>
        <v/>
      </c>
      <c r="BT33" s="47">
        <f>-IF($E33=BT$3,$G33,0)+IF($H33=BT$3,$J33,0)</f>
        <v/>
      </c>
      <c r="BU33" s="46">
        <f>+G33-J33</f>
        <v/>
      </c>
      <c r="BV33" s="48">
        <f>-IF($E33=BV$3,$G33,0)+IF($H33=BV$3,$J33,0)</f>
        <v/>
      </c>
      <c r="BW33" s="3" t="n"/>
    </row>
    <row r="34" ht="15.75" customHeight="1" s="214">
      <c r="A34" s="7" t="n"/>
      <c r="B34" s="8" t="n">
        <v>1</v>
      </c>
      <c r="C34" s="9" t="n">
        <v>22</v>
      </c>
      <c r="D34" s="10" t="inlineStr">
        <is>
          <t>トランクネット</t>
        </is>
      </c>
      <c r="E34" s="247" t="n">
        <v>523</v>
      </c>
      <c r="F34" s="11">
        <f>IF(E34="","",IF(ISNA(VLOOKUP(E34,科目コード表!$C$4:$D$67,2,FALSE)),"該当科目なし",VLOOKUP(E34,科目コード表!$C$4:$D$67,2,FALSE)))</f>
        <v/>
      </c>
      <c r="G34" s="38" t="n">
        <v>999</v>
      </c>
      <c r="H34" s="248" t="n"/>
      <c r="I34" s="11">
        <f>IF(H34="","",IF(ISNA(VLOOKUP(H34,科目コード表!$C$4:$D$67,2,FALSE)),"該当科目なし",VLOOKUP(H34,科目コード表!$C$4:$D$67,2,FALSE)))</f>
        <v/>
      </c>
      <c r="J34" s="40" t="n"/>
      <c r="L34" s="46">
        <f>IF($E34=L$3,$G34,0)-IF($H34=L$3,$J34,0)</f>
        <v/>
      </c>
      <c r="M34" s="47">
        <f>IF($E34=M$3,$G34,0)-IF($H34=M$3,$J34,0)</f>
        <v/>
      </c>
      <c r="N34" s="47">
        <f>IF($E34=N$3,$G34,0)-IF($H34=N$3,$J34,0)</f>
        <v/>
      </c>
      <c r="O34" s="47">
        <f>IF($E34=O$3,$G34,0)-IF($H34=O$3,$J34,0)</f>
        <v/>
      </c>
      <c r="P34" s="47">
        <f>IF($E34=P$3,$G34,0)-IF($H34=P$3,$J34,0)</f>
        <v/>
      </c>
      <c r="Q34" s="47">
        <f>IF($E34=Q$3,$G34,0)-IF($H34=Q$3,$J34,0)</f>
        <v/>
      </c>
      <c r="R34" s="47">
        <f>IF($E34=R$3,$G34,0)-IF($H34=R$3,$J34,0)</f>
        <v/>
      </c>
      <c r="S34" s="47">
        <f>IF($E34=S$3,$G34,0)-IF($H34=S$3,$J34,0)</f>
        <v/>
      </c>
      <c r="T34" s="47">
        <f>IF($E34=T$3,$G34,0)-IF($H34=T$3,$J34,0)</f>
        <v/>
      </c>
      <c r="U34" s="47">
        <f>IF($E34=U$3,$G34,0)-IF($H34=U$3,$J34,0)</f>
        <v/>
      </c>
      <c r="V34" s="47">
        <f>IF($E34=V$3,$G34,0)-IF($H34=V$3,$J34,0)</f>
        <v/>
      </c>
      <c r="W34" s="47">
        <f>IF($E34=W$3,$G34,0)-IF($H34=W$3,$J34,0)</f>
        <v/>
      </c>
      <c r="X34" s="47">
        <f>IF($E34=X$3,$G34,0)-IF($H34=X$3,$J34,0)</f>
        <v/>
      </c>
      <c r="Y34" s="47">
        <f>IF($E34=Y$3,$G34,0)-IF($H34=Y$3,$J34,0)</f>
        <v/>
      </c>
      <c r="Z34" s="47">
        <f>IF($E34=Z$3,$G34,0)-IF($H34=Z$3,$J34,0)</f>
        <v/>
      </c>
      <c r="AA34" s="47">
        <f>IF($E34=AA$3,$G34,0)-IF($H34=AA$3,$J34,0)</f>
        <v/>
      </c>
      <c r="AB34" s="47">
        <f>IF($E34=AB$3,$G34,0)-IF($H34=AB$3,$J34,0)</f>
        <v/>
      </c>
      <c r="AC34" s="47">
        <f>IF($E34=AC$3,$G34,0)-IF($H34=AC$3,$J34,0)</f>
        <v/>
      </c>
      <c r="AD34" s="47">
        <f>IF($E34=AD$3,$G34,0)-IF($H34=AD$3,$J34,0)</f>
        <v/>
      </c>
      <c r="AE34" s="47">
        <f>IF($E34=AE$3,$G34,0)-IF($H34=AE$3,$J34,0)</f>
        <v/>
      </c>
      <c r="AF34" s="47">
        <f>IF($E34=AF$3,$G34,0)-IF($H34=AF$3,$J34,0)</f>
        <v/>
      </c>
      <c r="AG34" s="47">
        <f>IF($E34=AG$3,$G34,0)-IF($H34=AG$3,$J34,0)</f>
        <v/>
      </c>
      <c r="AH34" s="47">
        <f>IF($E34=AH$3,$G34,0)-IF($H34=AH$3,$J34,0)</f>
        <v/>
      </c>
      <c r="AI34" s="47">
        <f>IF($E34=AI$3,$G34,0)-IF($H34=AI$3,$J34,0)</f>
        <v/>
      </c>
      <c r="AJ34" s="47">
        <f>IF($E34=AJ$3,$G34,0)-IF($H34=AJ$3,$J34,0)</f>
        <v/>
      </c>
      <c r="AK34" s="47">
        <f>IF($E34=AK$3,$G34,0)-IF($H34=AK$3,$J34,0)</f>
        <v/>
      </c>
      <c r="AL34" s="48">
        <f>IF($E34=AL$3,$G34,0)-IF($H34=AL$3,$J34,0)</f>
        <v/>
      </c>
      <c r="AM34" s="46">
        <f>-IF($E34=AM$3,$G34,0)+IF($H34=AM$3,$J34,0)</f>
        <v/>
      </c>
      <c r="AN34" s="47">
        <f>-IF($E34=AN$3,$G34,0)+IF($H34=AN$3,$J34,0)</f>
        <v/>
      </c>
      <c r="AO34" s="48">
        <f>-IF($E34=AO$3,$G34,0)+IF($H34=AO$3,$J34,0)</f>
        <v/>
      </c>
      <c r="AP34" s="46">
        <f>IF($E34=AP$3,$G34,0)-IF($H34=AP$3,$J34,0)</f>
        <v/>
      </c>
      <c r="AQ34" s="47">
        <f>IF($E34=AQ$3,$G34,0)-IF($H34=AQ$3,$J34,0)</f>
        <v/>
      </c>
      <c r="AR34" s="47">
        <f>IF($E34=AR$3,$G34,0)-IF($H34=AR$3,$J34,0)</f>
        <v/>
      </c>
      <c r="AS34" s="47">
        <f>IF($E34=AS$3,$G34,0)-IF($H34=AS$3,$J34,0)</f>
        <v/>
      </c>
      <c r="AT34" s="47">
        <f>IF($E34=AT$3,$G34,0)-IF($H34=AT$3,$J34,0)</f>
        <v/>
      </c>
      <c r="AU34" s="47">
        <f>IF($E34=AU$3,$G34,0)-IF($H34=AU$3,$J34,0)</f>
        <v/>
      </c>
      <c r="AV34" s="47">
        <f>IF($E34=AV$3,$G34,0)-IF($H34=AV$3,$J34,0)</f>
        <v/>
      </c>
      <c r="AW34" s="47">
        <f>IF($E34=AW$3,$G34,0)-IF($H34=AW$3,$J34,0)</f>
        <v/>
      </c>
      <c r="AX34" s="47">
        <f>IF($E34=AX$3,$G34,0)-IF($H34=AX$3,$J34,0)</f>
        <v/>
      </c>
      <c r="AY34" s="47">
        <f>IF($E34=AY$3,$G34,0)-IF($H34=AY$3,$J34,0)</f>
        <v/>
      </c>
      <c r="AZ34" s="47">
        <f>IF($E34=AZ$3,$G34,0)-IF($H34=AZ$3,$J34,0)</f>
        <v/>
      </c>
      <c r="BA34" s="47">
        <f>IF($E34=BA$3,$G34,0)-IF($H34=BA$3,$J34,0)</f>
        <v/>
      </c>
      <c r="BB34" s="47">
        <f>IF($E34=BB$3,$G34,0)-IF($H34=BB$3,$J34,0)</f>
        <v/>
      </c>
      <c r="BC34" s="47">
        <f>IF($E34=BC$3,$G34,0)-IF($H34=BC$3,$J34,0)</f>
        <v/>
      </c>
      <c r="BD34" s="47">
        <f>IF($E34=BD$3,$G34,0)-IF($H34=BD$3,$J34,0)</f>
        <v/>
      </c>
      <c r="BE34" s="47">
        <f>IF($E34=BE$3,$G34,0)-IF($H34=BE$3,$J34,0)</f>
        <v/>
      </c>
      <c r="BF34" s="47">
        <f>IF($E34=BF$3,$G34,0)-IF($H34=BF$3,$J34,0)</f>
        <v/>
      </c>
      <c r="BG34" s="47">
        <f>IF($E34=BG$3,$G34,0)-IF($H34=BG$3,$J34,0)</f>
        <v/>
      </c>
      <c r="BH34" s="47">
        <f>IF($E34=BH$3,$G34,0)-IF($H34=BH$3,$J34,0)</f>
        <v/>
      </c>
      <c r="BI34" s="47">
        <f>IF($E34=BI$3,$G34,0)-IF($H34=BI$3,$J34,0)</f>
        <v/>
      </c>
      <c r="BJ34" s="47">
        <f>IF($E34=BJ$3,$G34,0)-IF($H34=BJ$3,$J34,0)</f>
        <v/>
      </c>
      <c r="BK34" s="47">
        <f>IF($E34=BK$3,$G34,0)-IF($H34=BK$3,$J34,0)</f>
        <v/>
      </c>
      <c r="BL34" s="46">
        <f>-IF($E34=BL$3,$G34,0)+IF($H34=BL$3,$J34,0)</f>
        <v/>
      </c>
      <c r="BM34" s="47">
        <f>-IF($E34=BM$3,$G34,0)+IF($H34=BM$3,$J34,0)</f>
        <v/>
      </c>
      <c r="BN34" s="47">
        <f>-IF($E34=BN$3,$G34,0)+IF($H34=BN$3,$J34,0)</f>
        <v/>
      </c>
      <c r="BO34" s="47">
        <f>-IF($E34=BO$3,$G34,0)+IF($H34=BO$3,$J34,0)</f>
        <v/>
      </c>
      <c r="BP34" s="47">
        <f>-IF($E34=BP$3,$G34,0)+IF($H34=BP$3,$J34,0)</f>
        <v/>
      </c>
      <c r="BQ34" s="47">
        <f>-IF($E34=BQ$3,$G34,0)+IF($H34=BQ$3,$J34,0)</f>
        <v/>
      </c>
      <c r="BR34" s="47">
        <f>-IF($E34=BR$3,$G34,0)+IF($H34=BR$3,$J34,0)</f>
        <v/>
      </c>
      <c r="BS34" s="47">
        <f>-IF($E34=BS$3,$G34,0)+IF($H34=BS$3,$J34,0)</f>
        <v/>
      </c>
      <c r="BT34" s="47">
        <f>-IF($E34=BT$3,$G34,0)+IF($H34=BT$3,$J34,0)</f>
        <v/>
      </c>
      <c r="BU34" s="46">
        <f>+G34-J34</f>
        <v/>
      </c>
      <c r="BV34" s="48">
        <f>-IF($E34=BV$3,$G34,0)+IF($H34=BV$3,$J34,0)</f>
        <v/>
      </c>
      <c r="BW34" s="3" t="n"/>
    </row>
    <row r="35" ht="15.75" customHeight="1" s="214">
      <c r="A35" s="7" t="n"/>
      <c r="B35" s="8" t="n">
        <v>1</v>
      </c>
      <c r="C35" s="9" t="n">
        <v>22</v>
      </c>
      <c r="D35" s="10" t="inlineStr">
        <is>
          <t>荷掛けフック</t>
        </is>
      </c>
      <c r="E35" s="247" t="n">
        <v>523</v>
      </c>
      <c r="F35" s="11">
        <f>IF(E35="","",IF(ISNA(VLOOKUP(E35,科目コード表!$C$4:$D$67,2,FALSE)),"該当科目なし",VLOOKUP(E35,科目コード表!$C$4:$D$67,2,FALSE)))</f>
        <v/>
      </c>
      <c r="G35" s="38" t="n">
        <v>849</v>
      </c>
      <c r="H35" s="248" t="n"/>
      <c r="I35" s="11">
        <f>IF(H35="","",IF(ISNA(VLOOKUP(H35,科目コード表!$C$4:$D$67,2,FALSE)),"該当科目なし",VLOOKUP(H35,科目コード表!$C$4:$D$67,2,FALSE)))</f>
        <v/>
      </c>
      <c r="J35" s="40" t="n"/>
      <c r="L35" s="46">
        <f>IF($E35=L$3,$G35,0)-IF($H35=L$3,$J35,0)</f>
        <v/>
      </c>
      <c r="M35" s="47">
        <f>IF($E35=M$3,$G35,0)-IF($H35=M$3,$J35,0)</f>
        <v/>
      </c>
      <c r="N35" s="47">
        <f>IF($E35=N$3,$G35,0)-IF($H35=N$3,$J35,0)</f>
        <v/>
      </c>
      <c r="O35" s="47">
        <f>IF($E35=O$3,$G35,0)-IF($H35=O$3,$J35,0)</f>
        <v/>
      </c>
      <c r="P35" s="47">
        <f>IF($E35=P$3,$G35,0)-IF($H35=P$3,$J35,0)</f>
        <v/>
      </c>
      <c r="Q35" s="47">
        <f>IF($E35=Q$3,$G35,0)-IF($H35=Q$3,$J35,0)</f>
        <v/>
      </c>
      <c r="R35" s="47">
        <f>IF($E35=R$3,$G35,0)-IF($H35=R$3,$J35,0)</f>
        <v/>
      </c>
      <c r="S35" s="47">
        <f>IF($E35=S$3,$G35,0)-IF($H35=S$3,$J35,0)</f>
        <v/>
      </c>
      <c r="T35" s="47">
        <f>IF($E35=T$3,$G35,0)-IF($H35=T$3,$J35,0)</f>
        <v/>
      </c>
      <c r="U35" s="47">
        <f>IF($E35=U$3,$G35,0)-IF($H35=U$3,$J35,0)</f>
        <v/>
      </c>
      <c r="V35" s="47">
        <f>IF($E35=V$3,$G35,0)-IF($H35=V$3,$J35,0)</f>
        <v/>
      </c>
      <c r="W35" s="47">
        <f>IF($E35=W$3,$G35,0)-IF($H35=W$3,$J35,0)</f>
        <v/>
      </c>
      <c r="X35" s="47">
        <f>IF($E35=X$3,$G35,0)-IF($H35=X$3,$J35,0)</f>
        <v/>
      </c>
      <c r="Y35" s="47">
        <f>IF($E35=Y$3,$G35,0)-IF($H35=Y$3,$J35,0)</f>
        <v/>
      </c>
      <c r="Z35" s="47">
        <f>IF($E35=Z$3,$G35,0)-IF($H35=Z$3,$J35,0)</f>
        <v/>
      </c>
      <c r="AA35" s="47">
        <f>IF($E35=AA$3,$G35,0)-IF($H35=AA$3,$J35,0)</f>
        <v/>
      </c>
      <c r="AB35" s="47">
        <f>IF($E35=AB$3,$G35,0)-IF($H35=AB$3,$J35,0)</f>
        <v/>
      </c>
      <c r="AC35" s="47">
        <f>IF($E35=AC$3,$G35,0)-IF($H35=AC$3,$J35,0)</f>
        <v/>
      </c>
      <c r="AD35" s="47">
        <f>IF($E35=AD$3,$G35,0)-IF($H35=AD$3,$J35,0)</f>
        <v/>
      </c>
      <c r="AE35" s="47">
        <f>IF($E35=AE$3,$G35,0)-IF($H35=AE$3,$J35,0)</f>
        <v/>
      </c>
      <c r="AF35" s="47">
        <f>IF($E35=AF$3,$G35,0)-IF($H35=AF$3,$J35,0)</f>
        <v/>
      </c>
      <c r="AG35" s="47">
        <f>IF($E35=AG$3,$G35,0)-IF($H35=AG$3,$J35,0)</f>
        <v/>
      </c>
      <c r="AH35" s="47">
        <f>IF($E35=AH$3,$G35,0)-IF($H35=AH$3,$J35,0)</f>
        <v/>
      </c>
      <c r="AI35" s="47">
        <f>IF($E35=AI$3,$G35,0)-IF($H35=AI$3,$J35,0)</f>
        <v/>
      </c>
      <c r="AJ35" s="47">
        <f>IF($E35=AJ$3,$G35,0)-IF($H35=AJ$3,$J35,0)</f>
        <v/>
      </c>
      <c r="AK35" s="47">
        <f>IF($E35=AK$3,$G35,0)-IF($H35=AK$3,$J35,0)</f>
        <v/>
      </c>
      <c r="AL35" s="48">
        <f>IF($E35=AL$3,$G35,0)-IF($H35=AL$3,$J35,0)</f>
        <v/>
      </c>
      <c r="AM35" s="46">
        <f>-IF($E35=AM$3,$G35,0)+IF($H35=AM$3,$J35,0)</f>
        <v/>
      </c>
      <c r="AN35" s="47">
        <f>-IF($E35=AN$3,$G35,0)+IF($H35=AN$3,$J35,0)</f>
        <v/>
      </c>
      <c r="AO35" s="48">
        <f>-IF($E35=AO$3,$G35,0)+IF($H35=AO$3,$J35,0)</f>
        <v/>
      </c>
      <c r="AP35" s="46">
        <f>IF($E35=AP$3,$G35,0)-IF($H35=AP$3,$J35,0)</f>
        <v/>
      </c>
      <c r="AQ35" s="47">
        <f>IF($E35=AQ$3,$G35,0)-IF($H35=AQ$3,$J35,0)</f>
        <v/>
      </c>
      <c r="AR35" s="47">
        <f>IF($E35=AR$3,$G35,0)-IF($H35=AR$3,$J35,0)</f>
        <v/>
      </c>
      <c r="AS35" s="47">
        <f>IF($E35=AS$3,$G35,0)-IF($H35=AS$3,$J35,0)</f>
        <v/>
      </c>
      <c r="AT35" s="47">
        <f>IF($E35=AT$3,$G35,0)-IF($H35=AT$3,$J35,0)</f>
        <v/>
      </c>
      <c r="AU35" s="47">
        <f>IF($E35=AU$3,$G35,0)-IF($H35=AU$3,$J35,0)</f>
        <v/>
      </c>
      <c r="AV35" s="47">
        <f>IF($E35=AV$3,$G35,0)-IF($H35=AV$3,$J35,0)</f>
        <v/>
      </c>
      <c r="AW35" s="47">
        <f>IF($E35=AW$3,$G35,0)-IF($H35=AW$3,$J35,0)</f>
        <v/>
      </c>
      <c r="AX35" s="47">
        <f>IF($E35=AX$3,$G35,0)-IF($H35=AX$3,$J35,0)</f>
        <v/>
      </c>
      <c r="AY35" s="47">
        <f>IF($E35=AY$3,$G35,0)-IF($H35=AY$3,$J35,0)</f>
        <v/>
      </c>
      <c r="AZ35" s="47">
        <f>IF($E35=AZ$3,$G35,0)-IF($H35=AZ$3,$J35,0)</f>
        <v/>
      </c>
      <c r="BA35" s="47">
        <f>IF($E35=BA$3,$G35,0)-IF($H35=BA$3,$J35,0)</f>
        <v/>
      </c>
      <c r="BB35" s="47">
        <f>IF($E35=BB$3,$G35,0)-IF($H35=BB$3,$J35,0)</f>
        <v/>
      </c>
      <c r="BC35" s="47">
        <f>IF($E35=BC$3,$G35,0)-IF($H35=BC$3,$J35,0)</f>
        <v/>
      </c>
      <c r="BD35" s="47">
        <f>IF($E35=BD$3,$G35,0)-IF($H35=BD$3,$J35,0)</f>
        <v/>
      </c>
      <c r="BE35" s="47">
        <f>IF($E35=BE$3,$G35,0)-IF($H35=BE$3,$J35,0)</f>
        <v/>
      </c>
      <c r="BF35" s="47">
        <f>IF($E35=BF$3,$G35,0)-IF($H35=BF$3,$J35,0)</f>
        <v/>
      </c>
      <c r="BG35" s="47">
        <f>IF($E35=BG$3,$G35,0)-IF($H35=BG$3,$J35,0)</f>
        <v/>
      </c>
      <c r="BH35" s="47">
        <f>IF($E35=BH$3,$G35,0)-IF($H35=BH$3,$J35,0)</f>
        <v/>
      </c>
      <c r="BI35" s="47">
        <f>IF($E35=BI$3,$G35,0)-IF($H35=BI$3,$J35,0)</f>
        <v/>
      </c>
      <c r="BJ35" s="47">
        <f>IF($E35=BJ$3,$G35,0)-IF($H35=BJ$3,$J35,0)</f>
        <v/>
      </c>
      <c r="BK35" s="47">
        <f>IF($E35=BK$3,$G35,0)-IF($H35=BK$3,$J35,0)</f>
        <v/>
      </c>
      <c r="BL35" s="46">
        <f>-IF($E35=BL$3,$G35,0)+IF($H35=BL$3,$J35,0)</f>
        <v/>
      </c>
      <c r="BM35" s="47">
        <f>-IF($E35=BM$3,$G35,0)+IF($H35=BM$3,$J35,0)</f>
        <v/>
      </c>
      <c r="BN35" s="47">
        <f>-IF($E35=BN$3,$G35,0)+IF($H35=BN$3,$J35,0)</f>
        <v/>
      </c>
      <c r="BO35" s="47">
        <f>-IF($E35=BO$3,$G35,0)+IF($H35=BO$3,$J35,0)</f>
        <v/>
      </c>
      <c r="BP35" s="47">
        <f>-IF($E35=BP$3,$G35,0)+IF($H35=BP$3,$J35,0)</f>
        <v/>
      </c>
      <c r="BQ35" s="47">
        <f>-IF($E35=BQ$3,$G35,0)+IF($H35=BQ$3,$J35,0)</f>
        <v/>
      </c>
      <c r="BR35" s="47">
        <f>-IF($E35=BR$3,$G35,0)+IF($H35=BR$3,$J35,0)</f>
        <v/>
      </c>
      <c r="BS35" s="47">
        <f>-IF($E35=BS$3,$G35,0)+IF($H35=BS$3,$J35,0)</f>
        <v/>
      </c>
      <c r="BT35" s="47">
        <f>-IF($E35=BT$3,$G35,0)+IF($H35=BT$3,$J35,0)</f>
        <v/>
      </c>
      <c r="BU35" s="46">
        <f>+G35-J35</f>
        <v/>
      </c>
      <c r="BV35" s="48">
        <f>-IF($E35=BV$3,$G35,0)+IF($H35=BV$3,$J35,0)</f>
        <v/>
      </c>
      <c r="BW35" s="3" t="n"/>
    </row>
    <row r="36" ht="15.75" customHeight="1" s="214">
      <c r="A36" s="7" t="n"/>
      <c r="B36" s="8" t="n">
        <v>1</v>
      </c>
      <c r="C36" s="9" t="n">
        <v>24</v>
      </c>
      <c r="D36" s="10" t="inlineStr">
        <is>
          <t>クランプノブ M4</t>
        </is>
      </c>
      <c r="E36" s="247" t="n">
        <v>523</v>
      </c>
      <c r="F36" s="11">
        <f>IF(E36="","",IF(ISNA(VLOOKUP(E36,科目コード表!$C$4:$D$67,2,FALSE)),"該当科目なし",VLOOKUP(E36,科目コード表!$C$4:$D$67,2,FALSE)))</f>
        <v/>
      </c>
      <c r="G36" s="38" t="n">
        <v>999</v>
      </c>
      <c r="H36" s="248" t="n"/>
      <c r="I36" s="11">
        <f>IF(H36="","",IF(ISNA(VLOOKUP(H36,科目コード表!$C$4:$D$67,2,FALSE)),"該当科目なし",VLOOKUP(H36,科目コード表!$C$4:$D$67,2,FALSE)))</f>
        <v/>
      </c>
      <c r="J36" s="40" t="n"/>
      <c r="L36" s="46">
        <f>IF($E36=L$3,$G36,0)-IF($H36=L$3,$J36,0)</f>
        <v/>
      </c>
      <c r="M36" s="47">
        <f>IF($E36=M$3,$G36,0)-IF($H36=M$3,$J36,0)</f>
        <v/>
      </c>
      <c r="N36" s="47">
        <f>IF($E36=N$3,$G36,0)-IF($H36=N$3,$J36,0)</f>
        <v/>
      </c>
      <c r="O36" s="47">
        <f>IF($E36=O$3,$G36,0)-IF($H36=O$3,$J36,0)</f>
        <v/>
      </c>
      <c r="P36" s="47">
        <f>IF($E36=P$3,$G36,0)-IF($H36=P$3,$J36,0)</f>
        <v/>
      </c>
      <c r="Q36" s="47">
        <f>IF($E36=Q$3,$G36,0)-IF($H36=Q$3,$J36,0)</f>
        <v/>
      </c>
      <c r="R36" s="47">
        <f>IF($E36=R$3,$G36,0)-IF($H36=R$3,$J36,0)</f>
        <v/>
      </c>
      <c r="S36" s="47">
        <f>IF($E36=S$3,$G36,0)-IF($H36=S$3,$J36,0)</f>
        <v/>
      </c>
      <c r="T36" s="47">
        <f>IF($E36=T$3,$G36,0)-IF($H36=T$3,$J36,0)</f>
        <v/>
      </c>
      <c r="U36" s="47">
        <f>IF($E36=U$3,$G36,0)-IF($H36=U$3,$J36,0)</f>
        <v/>
      </c>
      <c r="V36" s="47">
        <f>IF($E36=V$3,$G36,0)-IF($H36=V$3,$J36,0)</f>
        <v/>
      </c>
      <c r="W36" s="47">
        <f>IF($E36=W$3,$G36,0)-IF($H36=W$3,$J36,0)</f>
        <v/>
      </c>
      <c r="X36" s="47">
        <f>IF($E36=X$3,$G36,0)-IF($H36=X$3,$J36,0)</f>
        <v/>
      </c>
      <c r="Y36" s="47">
        <f>IF($E36=Y$3,$G36,0)-IF($H36=Y$3,$J36,0)</f>
        <v/>
      </c>
      <c r="Z36" s="47">
        <f>IF($E36=Z$3,$G36,0)-IF($H36=Z$3,$J36,0)</f>
        <v/>
      </c>
      <c r="AA36" s="47">
        <f>IF($E36=AA$3,$G36,0)-IF($H36=AA$3,$J36,0)</f>
        <v/>
      </c>
      <c r="AB36" s="47">
        <f>IF($E36=AB$3,$G36,0)-IF($H36=AB$3,$J36,0)</f>
        <v/>
      </c>
      <c r="AC36" s="47">
        <f>IF($E36=AC$3,$G36,0)-IF($H36=AC$3,$J36,0)</f>
        <v/>
      </c>
      <c r="AD36" s="47">
        <f>IF($E36=AD$3,$G36,0)-IF($H36=AD$3,$J36,0)</f>
        <v/>
      </c>
      <c r="AE36" s="47">
        <f>IF($E36=AE$3,$G36,0)-IF($H36=AE$3,$J36,0)</f>
        <v/>
      </c>
      <c r="AF36" s="47">
        <f>IF($E36=AF$3,$G36,0)-IF($H36=AF$3,$J36,0)</f>
        <v/>
      </c>
      <c r="AG36" s="47">
        <f>IF($E36=AG$3,$G36,0)-IF($H36=AG$3,$J36,0)</f>
        <v/>
      </c>
      <c r="AH36" s="47">
        <f>IF($E36=AH$3,$G36,0)-IF($H36=AH$3,$J36,0)</f>
        <v/>
      </c>
      <c r="AI36" s="47">
        <f>IF($E36=AI$3,$G36,0)-IF($H36=AI$3,$J36,0)</f>
        <v/>
      </c>
      <c r="AJ36" s="47">
        <f>IF($E36=AJ$3,$G36,0)-IF($H36=AJ$3,$J36,0)</f>
        <v/>
      </c>
      <c r="AK36" s="47">
        <f>IF($E36=AK$3,$G36,0)-IF($H36=AK$3,$J36,0)</f>
        <v/>
      </c>
      <c r="AL36" s="48">
        <f>IF($E36=AL$3,$G36,0)-IF($H36=AL$3,$J36,0)</f>
        <v/>
      </c>
      <c r="AM36" s="46">
        <f>-IF($E36=AM$3,$G36,0)+IF($H36=AM$3,$J36,0)</f>
        <v/>
      </c>
      <c r="AN36" s="47">
        <f>-IF($E36=AN$3,$G36,0)+IF($H36=AN$3,$J36,0)</f>
        <v/>
      </c>
      <c r="AO36" s="48">
        <f>-IF($E36=AO$3,$G36,0)+IF($H36=AO$3,$J36,0)</f>
        <v/>
      </c>
      <c r="AP36" s="46">
        <f>IF($E36=AP$3,$G36,0)-IF($H36=AP$3,$J36,0)</f>
        <v/>
      </c>
      <c r="AQ36" s="47">
        <f>IF($E36=AQ$3,$G36,0)-IF($H36=AQ$3,$J36,0)</f>
        <v/>
      </c>
      <c r="AR36" s="47">
        <f>IF($E36=AR$3,$G36,0)-IF($H36=AR$3,$J36,0)</f>
        <v/>
      </c>
      <c r="AS36" s="47">
        <f>IF($E36=AS$3,$G36,0)-IF($H36=AS$3,$J36,0)</f>
        <v/>
      </c>
      <c r="AT36" s="47">
        <f>IF($E36=AT$3,$G36,0)-IF($H36=AT$3,$J36,0)</f>
        <v/>
      </c>
      <c r="AU36" s="47">
        <f>IF($E36=AU$3,$G36,0)-IF($H36=AU$3,$J36,0)</f>
        <v/>
      </c>
      <c r="AV36" s="47">
        <f>IF($E36=AV$3,$G36,0)-IF($H36=AV$3,$J36,0)</f>
        <v/>
      </c>
      <c r="AW36" s="47">
        <f>IF($E36=AW$3,$G36,0)-IF($H36=AW$3,$J36,0)</f>
        <v/>
      </c>
      <c r="AX36" s="47">
        <f>IF($E36=AX$3,$G36,0)-IF($H36=AX$3,$J36,0)</f>
        <v/>
      </c>
      <c r="AY36" s="47">
        <f>IF($E36=AY$3,$G36,0)-IF($H36=AY$3,$J36,0)</f>
        <v/>
      </c>
      <c r="AZ36" s="47">
        <f>IF($E36=AZ$3,$G36,0)-IF($H36=AZ$3,$J36,0)</f>
        <v/>
      </c>
      <c r="BA36" s="47">
        <f>IF($E36=BA$3,$G36,0)-IF($H36=BA$3,$J36,0)</f>
        <v/>
      </c>
      <c r="BB36" s="47">
        <f>IF($E36=BB$3,$G36,0)-IF($H36=BB$3,$J36,0)</f>
        <v/>
      </c>
      <c r="BC36" s="47">
        <f>IF($E36=BC$3,$G36,0)-IF($H36=BC$3,$J36,0)</f>
        <v/>
      </c>
      <c r="BD36" s="47">
        <f>IF($E36=BD$3,$G36,0)-IF($H36=BD$3,$J36,0)</f>
        <v/>
      </c>
      <c r="BE36" s="47">
        <f>IF($E36=BE$3,$G36,0)-IF($H36=BE$3,$J36,0)</f>
        <v/>
      </c>
      <c r="BF36" s="47">
        <f>IF($E36=BF$3,$G36,0)-IF($H36=BF$3,$J36,0)</f>
        <v/>
      </c>
      <c r="BG36" s="47">
        <f>IF($E36=BG$3,$G36,0)-IF($H36=BG$3,$J36,0)</f>
        <v/>
      </c>
      <c r="BH36" s="47">
        <f>IF($E36=BH$3,$G36,0)-IF($H36=BH$3,$J36,0)</f>
        <v/>
      </c>
      <c r="BI36" s="47">
        <f>IF($E36=BI$3,$G36,0)-IF($H36=BI$3,$J36,0)</f>
        <v/>
      </c>
      <c r="BJ36" s="47">
        <f>IF($E36=BJ$3,$G36,0)-IF($H36=BJ$3,$J36,0)</f>
        <v/>
      </c>
      <c r="BK36" s="47">
        <f>IF($E36=BK$3,$G36,0)-IF($H36=BK$3,$J36,0)</f>
        <v/>
      </c>
      <c r="BL36" s="46">
        <f>-IF($E36=BL$3,$G36,0)+IF($H36=BL$3,$J36,0)</f>
        <v/>
      </c>
      <c r="BM36" s="47">
        <f>-IF($E36=BM$3,$G36,0)+IF($H36=BM$3,$J36,0)</f>
        <v/>
      </c>
      <c r="BN36" s="47">
        <f>-IF($E36=BN$3,$G36,0)+IF($H36=BN$3,$J36,0)</f>
        <v/>
      </c>
      <c r="BO36" s="47">
        <f>-IF($E36=BO$3,$G36,0)+IF($H36=BO$3,$J36,0)</f>
        <v/>
      </c>
      <c r="BP36" s="47">
        <f>-IF($E36=BP$3,$G36,0)+IF($H36=BP$3,$J36,0)</f>
        <v/>
      </c>
      <c r="BQ36" s="47">
        <f>-IF($E36=BQ$3,$G36,0)+IF($H36=BQ$3,$J36,0)</f>
        <v/>
      </c>
      <c r="BR36" s="47">
        <f>-IF($E36=BR$3,$G36,0)+IF($H36=BR$3,$J36,0)</f>
        <v/>
      </c>
      <c r="BS36" s="47">
        <f>-IF($E36=BS$3,$G36,0)+IF($H36=BS$3,$J36,0)</f>
        <v/>
      </c>
      <c r="BT36" s="47">
        <f>-IF($E36=BT$3,$G36,0)+IF($H36=BT$3,$J36,0)</f>
        <v/>
      </c>
      <c r="BU36" s="46">
        <f>+G36-J36</f>
        <v/>
      </c>
      <c r="BV36" s="48">
        <f>-IF($E36=BV$3,$G36,0)+IF($H36=BV$3,$J36,0)</f>
        <v/>
      </c>
      <c r="BW36" s="3" t="n"/>
    </row>
    <row r="37" ht="15.75" customHeight="1" s="214">
      <c r="A37" s="7" t="n"/>
      <c r="B37" s="8" t="n">
        <v>1</v>
      </c>
      <c r="C37" s="9" t="n">
        <v>24</v>
      </c>
      <c r="D37" s="10" t="inlineStr">
        <is>
          <t>楽天 ナビ保護フィルム</t>
        </is>
      </c>
      <c r="E37" s="247" t="n">
        <v>523</v>
      </c>
      <c r="F37" s="11">
        <f>IF(E37="","",IF(ISNA(VLOOKUP(E37,科目コード表!$C$4:$D$67,2,FALSE)),"該当科目なし",VLOOKUP(E37,科目コード表!$C$4:$D$67,2,FALSE)))</f>
        <v/>
      </c>
      <c r="G37" s="38" t="n">
        <v>1280</v>
      </c>
      <c r="H37" s="248" t="n"/>
      <c r="I37" s="11">
        <f>IF(H37="","",IF(ISNA(VLOOKUP(H37,科目コード表!$C$4:$D$67,2,FALSE)),"該当科目なし",VLOOKUP(H37,科目コード表!$C$4:$D$67,2,FALSE)))</f>
        <v/>
      </c>
      <c r="J37" s="40" t="n"/>
      <c r="L37" s="46">
        <f>IF($E37=L$3,$G37,0)-IF($H37=L$3,$J37,0)</f>
        <v/>
      </c>
      <c r="M37" s="47">
        <f>IF($E37=M$3,$G37,0)-IF($H37=M$3,$J37,0)</f>
        <v/>
      </c>
      <c r="N37" s="47">
        <f>IF($E37=N$3,$G37,0)-IF($H37=N$3,$J37,0)</f>
        <v/>
      </c>
      <c r="O37" s="47">
        <f>IF($E37=O$3,$G37,0)-IF($H37=O$3,$J37,0)</f>
        <v/>
      </c>
      <c r="P37" s="47">
        <f>IF($E37=P$3,$G37,0)-IF($H37=P$3,$J37,0)</f>
        <v/>
      </c>
      <c r="Q37" s="47">
        <f>IF($E37=Q$3,$G37,0)-IF($H37=Q$3,$J37,0)</f>
        <v/>
      </c>
      <c r="R37" s="47">
        <f>IF($E37=R$3,$G37,0)-IF($H37=R$3,$J37,0)</f>
        <v/>
      </c>
      <c r="S37" s="47">
        <f>IF($E37=S$3,$G37,0)-IF($H37=S$3,$J37,0)</f>
        <v/>
      </c>
      <c r="T37" s="47">
        <f>IF($E37=T$3,$G37,0)-IF($H37=T$3,$J37,0)</f>
        <v/>
      </c>
      <c r="U37" s="47">
        <f>IF($E37=U$3,$G37,0)-IF($H37=U$3,$J37,0)</f>
        <v/>
      </c>
      <c r="V37" s="47">
        <f>IF($E37=V$3,$G37,0)-IF($H37=V$3,$J37,0)</f>
        <v/>
      </c>
      <c r="W37" s="47">
        <f>IF($E37=W$3,$G37,0)-IF($H37=W$3,$J37,0)</f>
        <v/>
      </c>
      <c r="X37" s="47">
        <f>IF($E37=X$3,$G37,0)-IF($H37=X$3,$J37,0)</f>
        <v/>
      </c>
      <c r="Y37" s="47">
        <f>IF($E37=Y$3,$G37,0)-IF($H37=Y$3,$J37,0)</f>
        <v/>
      </c>
      <c r="Z37" s="47">
        <f>IF($E37=Z$3,$G37,0)-IF($H37=Z$3,$J37,0)</f>
        <v/>
      </c>
      <c r="AA37" s="47">
        <f>IF($E37=AA$3,$G37,0)-IF($H37=AA$3,$J37,0)</f>
        <v/>
      </c>
      <c r="AB37" s="47">
        <f>IF($E37=AB$3,$G37,0)-IF($H37=AB$3,$J37,0)</f>
        <v/>
      </c>
      <c r="AC37" s="47">
        <f>IF($E37=AC$3,$G37,0)-IF($H37=AC$3,$J37,0)</f>
        <v/>
      </c>
      <c r="AD37" s="47">
        <f>IF($E37=AD$3,$G37,0)-IF($H37=AD$3,$J37,0)</f>
        <v/>
      </c>
      <c r="AE37" s="47">
        <f>IF($E37=AE$3,$G37,0)-IF($H37=AE$3,$J37,0)</f>
        <v/>
      </c>
      <c r="AF37" s="47">
        <f>IF($E37=AF$3,$G37,0)-IF($H37=AF$3,$J37,0)</f>
        <v/>
      </c>
      <c r="AG37" s="47">
        <f>IF($E37=AG$3,$G37,0)-IF($H37=AG$3,$J37,0)</f>
        <v/>
      </c>
      <c r="AH37" s="47">
        <f>IF($E37=AH$3,$G37,0)-IF($H37=AH$3,$J37,0)</f>
        <v/>
      </c>
      <c r="AI37" s="47">
        <f>IF($E37=AI$3,$G37,0)-IF($H37=AI$3,$J37,0)</f>
        <v/>
      </c>
      <c r="AJ37" s="47">
        <f>IF($E37=AJ$3,$G37,0)-IF($H37=AJ$3,$J37,0)</f>
        <v/>
      </c>
      <c r="AK37" s="47">
        <f>IF($E37=AK$3,$G37,0)-IF($H37=AK$3,$J37,0)</f>
        <v/>
      </c>
      <c r="AL37" s="48">
        <f>IF($E37=AL$3,$G37,0)-IF($H37=AL$3,$J37,0)</f>
        <v/>
      </c>
      <c r="AM37" s="46">
        <f>-IF($E37=AM$3,$G37,0)+IF($H37=AM$3,$J37,0)</f>
        <v/>
      </c>
      <c r="AN37" s="47">
        <f>-IF($E37=AN$3,$G37,0)+IF($H37=AN$3,$J37,0)</f>
        <v/>
      </c>
      <c r="AO37" s="48">
        <f>-IF($E37=AO$3,$G37,0)+IF($H37=AO$3,$J37,0)</f>
        <v/>
      </c>
      <c r="AP37" s="46">
        <f>IF($E37=AP$3,$G37,0)-IF($H37=AP$3,$J37,0)</f>
        <v/>
      </c>
      <c r="AQ37" s="47">
        <f>IF($E37=AQ$3,$G37,0)-IF($H37=AQ$3,$J37,0)</f>
        <v/>
      </c>
      <c r="AR37" s="47">
        <f>IF($E37=AR$3,$G37,0)-IF($H37=AR$3,$J37,0)</f>
        <v/>
      </c>
      <c r="AS37" s="47">
        <f>IF($E37=AS$3,$G37,0)-IF($H37=AS$3,$J37,0)</f>
        <v/>
      </c>
      <c r="AT37" s="47">
        <f>IF($E37=AT$3,$G37,0)-IF($H37=AT$3,$J37,0)</f>
        <v/>
      </c>
      <c r="AU37" s="47">
        <f>IF($E37=AU$3,$G37,0)-IF($H37=AU$3,$J37,0)</f>
        <v/>
      </c>
      <c r="AV37" s="47">
        <f>IF($E37=AV$3,$G37,0)-IF($H37=AV$3,$J37,0)</f>
        <v/>
      </c>
      <c r="AW37" s="47">
        <f>IF($E37=AW$3,$G37,0)-IF($H37=AW$3,$J37,0)</f>
        <v/>
      </c>
      <c r="AX37" s="47">
        <f>IF($E37=AX$3,$G37,0)-IF($H37=AX$3,$J37,0)</f>
        <v/>
      </c>
      <c r="AY37" s="47">
        <f>IF($E37=AY$3,$G37,0)-IF($H37=AY$3,$J37,0)</f>
        <v/>
      </c>
      <c r="AZ37" s="47">
        <f>IF($E37=AZ$3,$G37,0)-IF($H37=AZ$3,$J37,0)</f>
        <v/>
      </c>
      <c r="BA37" s="47">
        <f>IF($E37=BA$3,$G37,0)-IF($H37=BA$3,$J37,0)</f>
        <v/>
      </c>
      <c r="BB37" s="47">
        <f>IF($E37=BB$3,$G37,0)-IF($H37=BB$3,$J37,0)</f>
        <v/>
      </c>
      <c r="BC37" s="47">
        <f>IF($E37=BC$3,$G37,0)-IF($H37=BC$3,$J37,0)</f>
        <v/>
      </c>
      <c r="BD37" s="47">
        <f>IF($E37=BD$3,$G37,0)-IF($H37=BD$3,$J37,0)</f>
        <v/>
      </c>
      <c r="BE37" s="47">
        <f>IF($E37=BE$3,$G37,0)-IF($H37=BE$3,$J37,0)</f>
        <v/>
      </c>
      <c r="BF37" s="47">
        <f>IF($E37=BF$3,$G37,0)-IF($H37=BF$3,$J37,0)</f>
        <v/>
      </c>
      <c r="BG37" s="47">
        <f>IF($E37=BG$3,$G37,0)-IF($H37=BG$3,$J37,0)</f>
        <v/>
      </c>
      <c r="BH37" s="47">
        <f>IF($E37=BH$3,$G37,0)-IF($H37=BH$3,$J37,0)</f>
        <v/>
      </c>
      <c r="BI37" s="47">
        <f>IF($E37=BI$3,$G37,0)-IF($H37=BI$3,$J37,0)</f>
        <v/>
      </c>
      <c r="BJ37" s="47">
        <f>IF($E37=BJ$3,$G37,0)-IF($H37=BJ$3,$J37,0)</f>
        <v/>
      </c>
      <c r="BK37" s="47">
        <f>IF($E37=BK$3,$G37,0)-IF($H37=BK$3,$J37,0)</f>
        <v/>
      </c>
      <c r="BL37" s="46">
        <f>-IF($E37=BL$3,$G37,0)+IF($H37=BL$3,$J37,0)</f>
        <v/>
      </c>
      <c r="BM37" s="47">
        <f>-IF($E37=BM$3,$G37,0)+IF($H37=BM$3,$J37,0)</f>
        <v/>
      </c>
      <c r="BN37" s="47">
        <f>-IF($E37=BN$3,$G37,0)+IF($H37=BN$3,$J37,0)</f>
        <v/>
      </c>
      <c r="BO37" s="47">
        <f>-IF($E37=BO$3,$G37,0)+IF($H37=BO$3,$J37,0)</f>
        <v/>
      </c>
      <c r="BP37" s="47">
        <f>-IF($E37=BP$3,$G37,0)+IF($H37=BP$3,$J37,0)</f>
        <v/>
      </c>
      <c r="BQ37" s="47">
        <f>-IF($E37=BQ$3,$G37,0)+IF($H37=BQ$3,$J37,0)</f>
        <v/>
      </c>
      <c r="BR37" s="47">
        <f>-IF($E37=BR$3,$G37,0)+IF($H37=BR$3,$J37,0)</f>
        <v/>
      </c>
      <c r="BS37" s="47">
        <f>-IF($E37=BS$3,$G37,0)+IF($H37=BS$3,$J37,0)</f>
        <v/>
      </c>
      <c r="BT37" s="47">
        <f>-IF($E37=BT$3,$G37,0)+IF($H37=BT$3,$J37,0)</f>
        <v/>
      </c>
      <c r="BU37" s="46">
        <f>+G37-J37</f>
        <v/>
      </c>
      <c r="BV37" s="48">
        <f>-IF($E37=BV$3,$G37,0)+IF($H37=BV$3,$J37,0)</f>
        <v/>
      </c>
      <c r="BW37" s="3" t="n"/>
    </row>
    <row r="38" ht="15.75" customHeight="1" s="214">
      <c r="A38" s="7" t="n"/>
      <c r="B38" s="8" t="n">
        <v>1</v>
      </c>
      <c r="C38" s="9" t="n">
        <v>25</v>
      </c>
      <c r="D38" s="10" t="inlineStr">
        <is>
          <t>スマホスタンド ホルダー</t>
        </is>
      </c>
      <c r="E38" s="247" t="n">
        <v>523</v>
      </c>
      <c r="F38" s="11">
        <f>IF(E38="","",IF(ISNA(VLOOKUP(E38,科目コード表!$C$4:$D$67,2,FALSE)),"該当科目なし",VLOOKUP(E38,科目コード表!$C$4:$D$67,2,FALSE)))</f>
        <v/>
      </c>
      <c r="G38" s="38" t="n">
        <v>899</v>
      </c>
      <c r="H38" s="248" t="n"/>
      <c r="I38" s="11">
        <f>IF(H38="","",IF(ISNA(VLOOKUP(H38,科目コード表!$C$4:$D$67,2,FALSE)),"該当科目なし",VLOOKUP(H38,科目コード表!$C$4:$D$67,2,FALSE)))</f>
        <v/>
      </c>
      <c r="J38" s="40" t="n"/>
      <c r="L38" s="46">
        <f>IF($E38=L$3,$G38,0)-IF($H38=L$3,$J38,0)</f>
        <v/>
      </c>
      <c r="M38" s="47">
        <f>IF($E38=M$3,$G38,0)-IF($H38=M$3,$J38,0)</f>
        <v/>
      </c>
      <c r="N38" s="47">
        <f>IF($E38=N$3,$G38,0)-IF($H38=N$3,$J38,0)</f>
        <v/>
      </c>
      <c r="O38" s="47">
        <f>IF($E38=O$3,$G38,0)-IF($H38=O$3,$J38,0)</f>
        <v/>
      </c>
      <c r="P38" s="47">
        <f>IF($E38=P$3,$G38,0)-IF($H38=P$3,$J38,0)</f>
        <v/>
      </c>
      <c r="Q38" s="47">
        <f>IF($E38=Q$3,$G38,0)-IF($H38=Q$3,$J38,0)</f>
        <v/>
      </c>
      <c r="R38" s="47">
        <f>IF($E38=R$3,$G38,0)-IF($H38=R$3,$J38,0)</f>
        <v/>
      </c>
      <c r="S38" s="47">
        <f>IF($E38=S$3,$G38,0)-IF($H38=S$3,$J38,0)</f>
        <v/>
      </c>
      <c r="T38" s="47">
        <f>IF($E38=T$3,$G38,0)-IF($H38=T$3,$J38,0)</f>
        <v/>
      </c>
      <c r="U38" s="47">
        <f>IF($E38=U$3,$G38,0)-IF($H38=U$3,$J38,0)</f>
        <v/>
      </c>
      <c r="V38" s="47">
        <f>IF($E38=V$3,$G38,0)-IF($H38=V$3,$J38,0)</f>
        <v/>
      </c>
      <c r="W38" s="47">
        <f>IF($E38=W$3,$G38,0)-IF($H38=W$3,$J38,0)</f>
        <v/>
      </c>
      <c r="X38" s="47">
        <f>IF($E38=X$3,$G38,0)-IF($H38=X$3,$J38,0)</f>
        <v/>
      </c>
      <c r="Y38" s="47">
        <f>IF($E38=Y$3,$G38,0)-IF($H38=Y$3,$J38,0)</f>
        <v/>
      </c>
      <c r="Z38" s="47">
        <f>IF($E38=Z$3,$G38,0)-IF($H38=Z$3,$J38,0)</f>
        <v/>
      </c>
      <c r="AA38" s="47">
        <f>IF($E38=AA$3,$G38,0)-IF($H38=AA$3,$J38,0)</f>
        <v/>
      </c>
      <c r="AB38" s="47">
        <f>IF($E38=AB$3,$G38,0)-IF($H38=AB$3,$J38,0)</f>
        <v/>
      </c>
      <c r="AC38" s="47">
        <f>IF($E38=AC$3,$G38,0)-IF($H38=AC$3,$J38,0)</f>
        <v/>
      </c>
      <c r="AD38" s="47">
        <f>IF($E38=AD$3,$G38,0)-IF($H38=AD$3,$J38,0)</f>
        <v/>
      </c>
      <c r="AE38" s="47">
        <f>IF($E38=AE$3,$G38,0)-IF($H38=AE$3,$J38,0)</f>
        <v/>
      </c>
      <c r="AF38" s="47">
        <f>IF($E38=AF$3,$G38,0)-IF($H38=AF$3,$J38,0)</f>
        <v/>
      </c>
      <c r="AG38" s="47">
        <f>IF($E38=AG$3,$G38,0)-IF($H38=AG$3,$J38,0)</f>
        <v/>
      </c>
      <c r="AH38" s="47">
        <f>IF($E38=AH$3,$G38,0)-IF($H38=AH$3,$J38,0)</f>
        <v/>
      </c>
      <c r="AI38" s="47">
        <f>IF($E38=AI$3,$G38,0)-IF($H38=AI$3,$J38,0)</f>
        <v/>
      </c>
      <c r="AJ38" s="47">
        <f>IF($E38=AJ$3,$G38,0)-IF($H38=AJ$3,$J38,0)</f>
        <v/>
      </c>
      <c r="AK38" s="47">
        <f>IF($E38=AK$3,$G38,0)-IF($H38=AK$3,$J38,0)</f>
        <v/>
      </c>
      <c r="AL38" s="48">
        <f>IF($E38=AL$3,$G38,0)-IF($H38=AL$3,$J38,0)</f>
        <v/>
      </c>
      <c r="AM38" s="46">
        <f>-IF($E38=AM$3,$G38,0)+IF($H38=AM$3,$J38,0)</f>
        <v/>
      </c>
      <c r="AN38" s="47">
        <f>-IF($E38=AN$3,$G38,0)+IF($H38=AN$3,$J38,0)</f>
        <v/>
      </c>
      <c r="AO38" s="48">
        <f>-IF($E38=AO$3,$G38,0)+IF($H38=AO$3,$J38,0)</f>
        <v/>
      </c>
      <c r="AP38" s="46">
        <f>IF($E38=AP$3,$G38,0)-IF($H38=AP$3,$J38,0)</f>
        <v/>
      </c>
      <c r="AQ38" s="47">
        <f>IF($E38=AQ$3,$G38,0)-IF($H38=AQ$3,$J38,0)</f>
        <v/>
      </c>
      <c r="AR38" s="47">
        <f>IF($E38=AR$3,$G38,0)-IF($H38=AR$3,$J38,0)</f>
        <v/>
      </c>
      <c r="AS38" s="47">
        <f>IF($E38=AS$3,$G38,0)-IF($H38=AS$3,$J38,0)</f>
        <v/>
      </c>
      <c r="AT38" s="47">
        <f>IF($E38=AT$3,$G38,0)-IF($H38=AT$3,$J38,0)</f>
        <v/>
      </c>
      <c r="AU38" s="47">
        <f>IF($E38=AU$3,$G38,0)-IF($H38=AU$3,$J38,0)</f>
        <v/>
      </c>
      <c r="AV38" s="47">
        <f>IF($E38=AV$3,$G38,0)-IF($H38=AV$3,$J38,0)</f>
        <v/>
      </c>
      <c r="AW38" s="47">
        <f>IF($E38=AW$3,$G38,0)-IF($H38=AW$3,$J38,0)</f>
        <v/>
      </c>
      <c r="AX38" s="47">
        <f>IF($E38=AX$3,$G38,0)-IF($H38=AX$3,$J38,0)</f>
        <v/>
      </c>
      <c r="AY38" s="47">
        <f>IF($E38=AY$3,$G38,0)-IF($H38=AY$3,$J38,0)</f>
        <v/>
      </c>
      <c r="AZ38" s="47">
        <f>IF($E38=AZ$3,$G38,0)-IF($H38=AZ$3,$J38,0)</f>
        <v/>
      </c>
      <c r="BA38" s="47">
        <f>IF($E38=BA$3,$G38,0)-IF($H38=BA$3,$J38,0)</f>
        <v/>
      </c>
      <c r="BB38" s="47">
        <f>IF($E38=BB$3,$G38,0)-IF($H38=BB$3,$J38,0)</f>
        <v/>
      </c>
      <c r="BC38" s="47">
        <f>IF($E38=BC$3,$G38,0)-IF($H38=BC$3,$J38,0)</f>
        <v/>
      </c>
      <c r="BD38" s="47">
        <f>IF($E38=BD$3,$G38,0)-IF($H38=BD$3,$J38,0)</f>
        <v/>
      </c>
      <c r="BE38" s="47">
        <f>IF($E38=BE$3,$G38,0)-IF($H38=BE$3,$J38,0)</f>
        <v/>
      </c>
      <c r="BF38" s="47">
        <f>IF($E38=BF$3,$G38,0)-IF($H38=BF$3,$J38,0)</f>
        <v/>
      </c>
      <c r="BG38" s="47">
        <f>IF($E38=BG$3,$G38,0)-IF($H38=BG$3,$J38,0)</f>
        <v/>
      </c>
      <c r="BH38" s="47">
        <f>IF($E38=BH$3,$G38,0)-IF($H38=BH$3,$J38,0)</f>
        <v/>
      </c>
      <c r="BI38" s="47">
        <f>IF($E38=BI$3,$G38,0)-IF($H38=BI$3,$J38,0)</f>
        <v/>
      </c>
      <c r="BJ38" s="47">
        <f>IF($E38=BJ$3,$G38,0)-IF($H38=BJ$3,$J38,0)</f>
        <v/>
      </c>
      <c r="BK38" s="47">
        <f>IF($E38=BK$3,$G38,0)-IF($H38=BK$3,$J38,0)</f>
        <v/>
      </c>
      <c r="BL38" s="46">
        <f>-IF($E38=BL$3,$G38,0)+IF($H38=BL$3,$J38,0)</f>
        <v/>
      </c>
      <c r="BM38" s="47">
        <f>-IF($E38=BM$3,$G38,0)+IF($H38=BM$3,$J38,0)</f>
        <v/>
      </c>
      <c r="BN38" s="47">
        <f>-IF($E38=BN$3,$G38,0)+IF($H38=BN$3,$J38,0)</f>
        <v/>
      </c>
      <c r="BO38" s="47">
        <f>-IF($E38=BO$3,$G38,0)+IF($H38=BO$3,$J38,0)</f>
        <v/>
      </c>
      <c r="BP38" s="47">
        <f>-IF($E38=BP$3,$G38,0)+IF($H38=BP$3,$J38,0)</f>
        <v/>
      </c>
      <c r="BQ38" s="47">
        <f>-IF($E38=BQ$3,$G38,0)+IF($H38=BQ$3,$J38,0)</f>
        <v/>
      </c>
      <c r="BR38" s="47">
        <f>-IF($E38=BR$3,$G38,0)+IF($H38=BR$3,$J38,0)</f>
        <v/>
      </c>
      <c r="BS38" s="47">
        <f>-IF($E38=BS$3,$G38,0)+IF($H38=BS$3,$J38,0)</f>
        <v/>
      </c>
      <c r="BT38" s="47">
        <f>-IF($E38=BT$3,$G38,0)+IF($H38=BT$3,$J38,0)</f>
        <v/>
      </c>
      <c r="BU38" s="46">
        <f>+G38-J38</f>
        <v/>
      </c>
      <c r="BV38" s="48">
        <f>-IF($E38=BV$3,$G38,0)+IF($H38=BV$3,$J38,0)</f>
        <v/>
      </c>
      <c r="BW38" s="3" t="n"/>
    </row>
    <row r="39" ht="15.75" customHeight="1" s="214">
      <c r="A39" s="7" t="n"/>
      <c r="B39" s="8" t="n">
        <v>1</v>
      </c>
      <c r="C39" s="9" t="n">
        <v>25</v>
      </c>
      <c r="D39" s="10" t="inlineStr">
        <is>
          <t>キーケース 電波遮断</t>
        </is>
      </c>
      <c r="E39" s="247" t="n">
        <v>523</v>
      </c>
      <c r="F39" s="11">
        <f>IF(E39="","",IF(ISNA(VLOOKUP(E39,科目コード表!$C$4:$D$67,2,FALSE)),"該当科目なし",VLOOKUP(E39,科目コード表!$C$4:$D$67,2,FALSE)))</f>
        <v/>
      </c>
      <c r="G39" s="38" t="n">
        <v>747</v>
      </c>
      <c r="H39" s="248" t="n"/>
      <c r="I39" s="11">
        <f>IF(H39="","",IF(ISNA(VLOOKUP(H39,科目コード表!$C$4:$D$67,2,FALSE)),"該当科目なし",VLOOKUP(H39,科目コード表!$C$4:$D$67,2,FALSE)))</f>
        <v/>
      </c>
      <c r="J39" s="40" t="n"/>
      <c r="L39" s="46">
        <f>IF($E39=L$3,$G39,0)-IF($H39=L$3,$J39,0)</f>
        <v/>
      </c>
      <c r="M39" s="47">
        <f>IF($E39=M$3,$G39,0)-IF($H39=M$3,$J39,0)</f>
        <v/>
      </c>
      <c r="N39" s="47">
        <f>IF($E39=N$3,$G39,0)-IF($H39=N$3,$J39,0)</f>
        <v/>
      </c>
      <c r="O39" s="47">
        <f>IF($E39=O$3,$G39,0)-IF($H39=O$3,$J39,0)</f>
        <v/>
      </c>
      <c r="P39" s="47">
        <f>IF($E39=P$3,$G39,0)-IF($H39=P$3,$J39,0)</f>
        <v/>
      </c>
      <c r="Q39" s="47">
        <f>IF($E39=Q$3,$G39,0)-IF($H39=Q$3,$J39,0)</f>
        <v/>
      </c>
      <c r="R39" s="47">
        <f>IF($E39=R$3,$G39,0)-IF($H39=R$3,$J39,0)</f>
        <v/>
      </c>
      <c r="S39" s="47">
        <f>IF($E39=S$3,$G39,0)-IF($H39=S$3,$J39,0)</f>
        <v/>
      </c>
      <c r="T39" s="47">
        <f>IF($E39=T$3,$G39,0)-IF($H39=T$3,$J39,0)</f>
        <v/>
      </c>
      <c r="U39" s="47">
        <f>IF($E39=U$3,$G39,0)-IF($H39=U$3,$J39,0)</f>
        <v/>
      </c>
      <c r="V39" s="47">
        <f>IF($E39=V$3,$G39,0)-IF($H39=V$3,$J39,0)</f>
        <v/>
      </c>
      <c r="W39" s="47">
        <f>IF($E39=W$3,$G39,0)-IF($H39=W$3,$J39,0)</f>
        <v/>
      </c>
      <c r="X39" s="47">
        <f>IF($E39=X$3,$G39,0)-IF($H39=X$3,$J39,0)</f>
        <v/>
      </c>
      <c r="Y39" s="47">
        <f>IF($E39=Y$3,$G39,0)-IF($H39=Y$3,$J39,0)</f>
        <v/>
      </c>
      <c r="Z39" s="47">
        <f>IF($E39=Z$3,$G39,0)-IF($H39=Z$3,$J39,0)</f>
        <v/>
      </c>
      <c r="AA39" s="47">
        <f>IF($E39=AA$3,$G39,0)-IF($H39=AA$3,$J39,0)</f>
        <v/>
      </c>
      <c r="AB39" s="47">
        <f>IF($E39=AB$3,$G39,0)-IF($H39=AB$3,$J39,0)</f>
        <v/>
      </c>
      <c r="AC39" s="47">
        <f>IF($E39=AC$3,$G39,0)-IF($H39=AC$3,$J39,0)</f>
        <v/>
      </c>
      <c r="AD39" s="47">
        <f>IF($E39=AD$3,$G39,0)-IF($H39=AD$3,$J39,0)</f>
        <v/>
      </c>
      <c r="AE39" s="47">
        <f>IF($E39=AE$3,$G39,0)-IF($H39=AE$3,$J39,0)</f>
        <v/>
      </c>
      <c r="AF39" s="47">
        <f>IF($E39=AF$3,$G39,0)-IF($H39=AF$3,$J39,0)</f>
        <v/>
      </c>
      <c r="AG39" s="47">
        <f>IF($E39=AG$3,$G39,0)-IF($H39=AG$3,$J39,0)</f>
        <v/>
      </c>
      <c r="AH39" s="47">
        <f>IF($E39=AH$3,$G39,0)-IF($H39=AH$3,$J39,0)</f>
        <v/>
      </c>
      <c r="AI39" s="47">
        <f>IF($E39=AI$3,$G39,0)-IF($H39=AI$3,$J39,0)</f>
        <v/>
      </c>
      <c r="AJ39" s="47">
        <f>IF($E39=AJ$3,$G39,0)-IF($H39=AJ$3,$J39,0)</f>
        <v/>
      </c>
      <c r="AK39" s="47">
        <f>IF($E39=AK$3,$G39,0)-IF($H39=AK$3,$J39,0)</f>
        <v/>
      </c>
      <c r="AL39" s="48">
        <f>IF($E39=AL$3,$G39,0)-IF($H39=AL$3,$J39,0)</f>
        <v/>
      </c>
      <c r="AM39" s="46">
        <f>-IF($E39=AM$3,$G39,0)+IF($H39=AM$3,$J39,0)</f>
        <v/>
      </c>
      <c r="AN39" s="47">
        <f>-IF($E39=AN$3,$G39,0)+IF($H39=AN$3,$J39,0)</f>
        <v/>
      </c>
      <c r="AO39" s="48">
        <f>-IF($E39=AO$3,$G39,0)+IF($H39=AO$3,$J39,0)</f>
        <v/>
      </c>
      <c r="AP39" s="46">
        <f>IF($E39=AP$3,$G39,0)-IF($H39=AP$3,$J39,0)</f>
        <v/>
      </c>
      <c r="AQ39" s="47">
        <f>IF($E39=AQ$3,$G39,0)-IF($H39=AQ$3,$J39,0)</f>
        <v/>
      </c>
      <c r="AR39" s="47">
        <f>IF($E39=AR$3,$G39,0)-IF($H39=AR$3,$J39,0)</f>
        <v/>
      </c>
      <c r="AS39" s="47">
        <f>IF($E39=AS$3,$G39,0)-IF($H39=AS$3,$J39,0)</f>
        <v/>
      </c>
      <c r="AT39" s="47">
        <f>IF($E39=AT$3,$G39,0)-IF($H39=AT$3,$J39,0)</f>
        <v/>
      </c>
      <c r="AU39" s="47">
        <f>IF($E39=AU$3,$G39,0)-IF($H39=AU$3,$J39,0)</f>
        <v/>
      </c>
      <c r="AV39" s="47">
        <f>IF($E39=AV$3,$G39,0)-IF($H39=AV$3,$J39,0)</f>
        <v/>
      </c>
      <c r="AW39" s="47">
        <f>IF($E39=AW$3,$G39,0)-IF($H39=AW$3,$J39,0)</f>
        <v/>
      </c>
      <c r="AX39" s="47">
        <f>IF($E39=AX$3,$G39,0)-IF($H39=AX$3,$J39,0)</f>
        <v/>
      </c>
      <c r="AY39" s="47">
        <f>IF($E39=AY$3,$G39,0)-IF($H39=AY$3,$J39,0)</f>
        <v/>
      </c>
      <c r="AZ39" s="47">
        <f>IF($E39=AZ$3,$G39,0)-IF($H39=AZ$3,$J39,0)</f>
        <v/>
      </c>
      <c r="BA39" s="47">
        <f>IF($E39=BA$3,$G39,0)-IF($H39=BA$3,$J39,0)</f>
        <v/>
      </c>
      <c r="BB39" s="47">
        <f>IF($E39=BB$3,$G39,0)-IF($H39=BB$3,$J39,0)</f>
        <v/>
      </c>
      <c r="BC39" s="47">
        <f>IF($E39=BC$3,$G39,0)-IF($H39=BC$3,$J39,0)</f>
        <v/>
      </c>
      <c r="BD39" s="47">
        <f>IF($E39=BD$3,$G39,0)-IF($H39=BD$3,$J39,0)</f>
        <v/>
      </c>
      <c r="BE39" s="47">
        <f>IF($E39=BE$3,$G39,0)-IF($H39=BE$3,$J39,0)</f>
        <v/>
      </c>
      <c r="BF39" s="47">
        <f>IF($E39=BF$3,$G39,0)-IF($H39=BF$3,$J39,0)</f>
        <v/>
      </c>
      <c r="BG39" s="47">
        <f>IF($E39=BG$3,$G39,0)-IF($H39=BG$3,$J39,0)</f>
        <v/>
      </c>
      <c r="BH39" s="47">
        <f>IF($E39=BH$3,$G39,0)-IF($H39=BH$3,$J39,0)</f>
        <v/>
      </c>
      <c r="BI39" s="47">
        <f>IF($E39=BI$3,$G39,0)-IF($H39=BI$3,$J39,0)</f>
        <v/>
      </c>
      <c r="BJ39" s="47">
        <f>IF($E39=BJ$3,$G39,0)-IF($H39=BJ$3,$J39,0)</f>
        <v/>
      </c>
      <c r="BK39" s="47">
        <f>IF($E39=BK$3,$G39,0)-IF($H39=BK$3,$J39,0)</f>
        <v/>
      </c>
      <c r="BL39" s="46">
        <f>-IF($E39=BL$3,$G39,0)+IF($H39=BL$3,$J39,0)</f>
        <v/>
      </c>
      <c r="BM39" s="47">
        <f>-IF($E39=BM$3,$G39,0)+IF($H39=BM$3,$J39,0)</f>
        <v/>
      </c>
      <c r="BN39" s="47">
        <f>-IF($E39=BN$3,$G39,0)+IF($H39=BN$3,$J39,0)</f>
        <v/>
      </c>
      <c r="BO39" s="47">
        <f>-IF($E39=BO$3,$G39,0)+IF($H39=BO$3,$J39,0)</f>
        <v/>
      </c>
      <c r="BP39" s="47">
        <f>-IF($E39=BP$3,$G39,0)+IF($H39=BP$3,$J39,0)</f>
        <v/>
      </c>
      <c r="BQ39" s="47">
        <f>-IF($E39=BQ$3,$G39,0)+IF($H39=BQ$3,$J39,0)</f>
        <v/>
      </c>
      <c r="BR39" s="47">
        <f>-IF($E39=BR$3,$G39,0)+IF($H39=BR$3,$J39,0)</f>
        <v/>
      </c>
      <c r="BS39" s="47">
        <f>-IF($E39=BS$3,$G39,0)+IF($H39=BS$3,$J39,0)</f>
        <v/>
      </c>
      <c r="BT39" s="47">
        <f>-IF($E39=BT$3,$G39,0)+IF($H39=BT$3,$J39,0)</f>
        <v/>
      </c>
      <c r="BU39" s="46">
        <f>+G39-J39</f>
        <v/>
      </c>
      <c r="BV39" s="48">
        <f>-IF($E39=BV$3,$G39,0)+IF($H39=BV$3,$J39,0)</f>
        <v/>
      </c>
      <c r="BW39" s="3" t="n"/>
    </row>
    <row r="40" ht="15.75" customHeight="1" s="214">
      <c r="A40" s="7" t="n"/>
      <c r="B40" s="8" t="n">
        <v>1</v>
      </c>
      <c r="C40" s="9" t="n">
        <v>28</v>
      </c>
      <c r="D40" s="10" t="inlineStr">
        <is>
          <t>エポス 東京ガス</t>
        </is>
      </c>
      <c r="E40" s="247" t="n">
        <v>507</v>
      </c>
      <c r="F40" s="11">
        <f>IF(E40="","",IF(ISNA(VLOOKUP(E40,科目コード表!$C$4:$D$67,2,FALSE)),"該当科目なし",VLOOKUP(E40,科目コード表!$C$4:$D$67,2,FALSE)))</f>
        <v/>
      </c>
      <c r="G40" s="38" t="n">
        <v>10715</v>
      </c>
      <c r="H40" s="248" t="n"/>
      <c r="I40" s="11">
        <f>IF(H40="","",IF(ISNA(VLOOKUP(H40,科目コード表!$C$4:$D$67,2,FALSE)),"該当科目なし",VLOOKUP(H40,科目コード表!$C$4:$D$67,2,FALSE)))</f>
        <v/>
      </c>
      <c r="J40" s="40" t="n"/>
      <c r="L40" s="46">
        <f>IF($E40=L$3,$G40,0)-IF($H40=L$3,$J40,0)</f>
        <v/>
      </c>
      <c r="M40" s="47">
        <f>IF($E40=M$3,$G40,0)-IF($H40=M$3,$J40,0)</f>
        <v/>
      </c>
      <c r="N40" s="47">
        <f>IF($E40=N$3,$G40,0)-IF($H40=N$3,$J40,0)</f>
        <v/>
      </c>
      <c r="O40" s="47">
        <f>IF($E40=O$3,$G40,0)-IF($H40=O$3,$J40,0)</f>
        <v/>
      </c>
      <c r="P40" s="47">
        <f>IF($E40=P$3,$G40,0)-IF($H40=P$3,$J40,0)</f>
        <v/>
      </c>
      <c r="Q40" s="47">
        <f>IF($E40=Q$3,$G40,0)-IF($H40=Q$3,$J40,0)</f>
        <v/>
      </c>
      <c r="R40" s="47">
        <f>IF($E40=R$3,$G40,0)-IF($H40=R$3,$J40,0)</f>
        <v/>
      </c>
      <c r="S40" s="47">
        <f>IF($E40=S$3,$G40,0)-IF($H40=S$3,$J40,0)</f>
        <v/>
      </c>
      <c r="T40" s="47">
        <f>IF($E40=T$3,$G40,0)-IF($H40=T$3,$J40,0)</f>
        <v/>
      </c>
      <c r="U40" s="47">
        <f>IF($E40=U$3,$G40,0)-IF($H40=U$3,$J40,0)</f>
        <v/>
      </c>
      <c r="V40" s="47">
        <f>IF($E40=V$3,$G40,0)-IF($H40=V$3,$J40,0)</f>
        <v/>
      </c>
      <c r="W40" s="47">
        <f>IF($E40=W$3,$G40,0)-IF($H40=W$3,$J40,0)</f>
        <v/>
      </c>
      <c r="X40" s="47">
        <f>IF($E40=X$3,$G40,0)-IF($H40=X$3,$J40,0)</f>
        <v/>
      </c>
      <c r="Y40" s="47">
        <f>IF($E40=Y$3,$G40,0)-IF($H40=Y$3,$J40,0)</f>
        <v/>
      </c>
      <c r="Z40" s="47">
        <f>IF($E40=Z$3,$G40,0)-IF($H40=Z$3,$J40,0)</f>
        <v/>
      </c>
      <c r="AA40" s="47">
        <f>IF($E40=AA$3,$G40,0)-IF($H40=AA$3,$J40,0)</f>
        <v/>
      </c>
      <c r="AB40" s="47">
        <f>IF($E40=AB$3,$G40,0)-IF($H40=AB$3,$J40,0)</f>
        <v/>
      </c>
      <c r="AC40" s="47">
        <f>IF($E40=AC$3,$G40,0)-IF($H40=AC$3,$J40,0)</f>
        <v/>
      </c>
      <c r="AD40" s="47">
        <f>IF($E40=AD$3,$G40,0)-IF($H40=AD$3,$J40,0)</f>
        <v/>
      </c>
      <c r="AE40" s="47">
        <f>IF($E40=AE$3,$G40,0)-IF($H40=AE$3,$J40,0)</f>
        <v/>
      </c>
      <c r="AF40" s="47">
        <f>IF($E40=AF$3,$G40,0)-IF($H40=AF$3,$J40,0)</f>
        <v/>
      </c>
      <c r="AG40" s="47">
        <f>IF($E40=AG$3,$G40,0)-IF($H40=AG$3,$J40,0)</f>
        <v/>
      </c>
      <c r="AH40" s="47">
        <f>IF($E40=AH$3,$G40,0)-IF($H40=AH$3,$J40,0)</f>
        <v/>
      </c>
      <c r="AI40" s="47">
        <f>IF($E40=AI$3,$G40,0)-IF($H40=AI$3,$J40,0)</f>
        <v/>
      </c>
      <c r="AJ40" s="47">
        <f>IF($E40=AJ$3,$G40,0)-IF($H40=AJ$3,$J40,0)</f>
        <v/>
      </c>
      <c r="AK40" s="47">
        <f>IF($E40=AK$3,$G40,0)-IF($H40=AK$3,$J40,0)</f>
        <v/>
      </c>
      <c r="AL40" s="48">
        <f>IF($E40=AL$3,$G40,0)-IF($H40=AL$3,$J40,0)</f>
        <v/>
      </c>
      <c r="AM40" s="46">
        <f>-IF($E40=AM$3,$G40,0)+IF($H40=AM$3,$J40,0)</f>
        <v/>
      </c>
      <c r="AN40" s="47">
        <f>-IF($E40=AN$3,$G40,0)+IF($H40=AN$3,$J40,0)</f>
        <v/>
      </c>
      <c r="AO40" s="48">
        <f>-IF($E40=AO$3,$G40,0)+IF($H40=AO$3,$J40,0)</f>
        <v/>
      </c>
      <c r="AP40" s="46">
        <f>IF($E40=AP$3,$G40,0)-IF($H40=AP$3,$J40,0)</f>
        <v/>
      </c>
      <c r="AQ40" s="47">
        <f>IF($E40=AQ$3,$G40,0)-IF($H40=AQ$3,$J40,0)</f>
        <v/>
      </c>
      <c r="AR40" s="47">
        <f>IF($E40=AR$3,$G40,0)-IF($H40=AR$3,$J40,0)</f>
        <v/>
      </c>
      <c r="AS40" s="47">
        <f>IF($E40=AS$3,$G40,0)-IF($H40=AS$3,$J40,0)</f>
        <v/>
      </c>
      <c r="AT40" s="47">
        <f>IF($E40=AT$3,$G40,0)-IF($H40=AT$3,$J40,0)</f>
        <v/>
      </c>
      <c r="AU40" s="47">
        <f>IF($E40=AU$3,$G40,0)-IF($H40=AU$3,$J40,0)</f>
        <v/>
      </c>
      <c r="AV40" s="47">
        <f>IF($E40=AV$3,$G40,0)-IF($H40=AV$3,$J40,0)</f>
        <v/>
      </c>
      <c r="AW40" s="47">
        <f>IF($E40=AW$3,$G40,0)-IF($H40=AW$3,$J40,0)</f>
        <v/>
      </c>
      <c r="AX40" s="47">
        <f>IF($E40=AX$3,$G40,0)-IF($H40=AX$3,$J40,0)</f>
        <v/>
      </c>
      <c r="AY40" s="47">
        <f>IF($E40=AY$3,$G40,0)-IF($H40=AY$3,$J40,0)</f>
        <v/>
      </c>
      <c r="AZ40" s="47">
        <f>IF($E40=AZ$3,$G40,0)-IF($H40=AZ$3,$J40,0)</f>
        <v/>
      </c>
      <c r="BA40" s="47">
        <f>IF($E40=BA$3,$G40,0)-IF($H40=BA$3,$J40,0)</f>
        <v/>
      </c>
      <c r="BB40" s="47">
        <f>IF($E40=BB$3,$G40,0)-IF($H40=BB$3,$J40,0)</f>
        <v/>
      </c>
      <c r="BC40" s="47">
        <f>IF($E40=BC$3,$G40,0)-IF($H40=BC$3,$J40,0)</f>
        <v/>
      </c>
      <c r="BD40" s="47">
        <f>IF($E40=BD$3,$G40,0)-IF($H40=BD$3,$J40,0)</f>
        <v/>
      </c>
      <c r="BE40" s="47">
        <f>IF($E40=BE$3,$G40,0)-IF($H40=BE$3,$J40,0)</f>
        <v/>
      </c>
      <c r="BF40" s="47">
        <f>IF($E40=BF$3,$G40,0)-IF($H40=BF$3,$J40,0)</f>
        <v/>
      </c>
      <c r="BG40" s="47">
        <f>IF($E40=BG$3,$G40,0)-IF($H40=BG$3,$J40,0)</f>
        <v/>
      </c>
      <c r="BH40" s="47">
        <f>IF($E40=BH$3,$G40,0)-IF($H40=BH$3,$J40,0)</f>
        <v/>
      </c>
      <c r="BI40" s="47">
        <f>IF($E40=BI$3,$G40,0)-IF($H40=BI$3,$J40,0)</f>
        <v/>
      </c>
      <c r="BJ40" s="47">
        <f>IF($E40=BJ$3,$G40,0)-IF($H40=BJ$3,$J40,0)</f>
        <v/>
      </c>
      <c r="BK40" s="47">
        <f>IF($E40=BK$3,$G40,0)-IF($H40=BK$3,$J40,0)</f>
        <v/>
      </c>
      <c r="BL40" s="46">
        <f>-IF($E40=BL$3,$G40,0)+IF($H40=BL$3,$J40,0)</f>
        <v/>
      </c>
      <c r="BM40" s="47">
        <f>-IF($E40=BM$3,$G40,0)+IF($H40=BM$3,$J40,0)</f>
        <v/>
      </c>
      <c r="BN40" s="47">
        <f>-IF($E40=BN$3,$G40,0)+IF($H40=BN$3,$J40,0)</f>
        <v/>
      </c>
      <c r="BO40" s="47">
        <f>-IF($E40=BO$3,$G40,0)+IF($H40=BO$3,$J40,0)</f>
        <v/>
      </c>
      <c r="BP40" s="47">
        <f>-IF($E40=BP$3,$G40,0)+IF($H40=BP$3,$J40,0)</f>
        <v/>
      </c>
      <c r="BQ40" s="47">
        <f>-IF($E40=BQ$3,$G40,0)+IF($H40=BQ$3,$J40,0)</f>
        <v/>
      </c>
      <c r="BR40" s="47">
        <f>-IF($E40=BR$3,$G40,0)+IF($H40=BR$3,$J40,0)</f>
        <v/>
      </c>
      <c r="BS40" s="47">
        <f>-IF($E40=BS$3,$G40,0)+IF($H40=BS$3,$J40,0)</f>
        <v/>
      </c>
      <c r="BT40" s="47">
        <f>-IF($E40=BT$3,$G40,0)+IF($H40=BT$3,$J40,0)</f>
        <v/>
      </c>
      <c r="BU40" s="46">
        <f>+G40-J40</f>
        <v/>
      </c>
      <c r="BV40" s="48">
        <f>-IF($E40=BV$3,$G40,0)+IF($H40=BV$3,$J40,0)</f>
        <v/>
      </c>
      <c r="BW40" s="3" t="n"/>
    </row>
    <row r="41" ht="15.75" customHeight="1" s="214">
      <c r="A41" s="7" t="n"/>
      <c r="B41" s="8" t="n">
        <v>1</v>
      </c>
      <c r="C41" s="9" t="n">
        <v>29</v>
      </c>
      <c r="D41" s="10" t="inlineStr">
        <is>
          <t>ロング水切りワイパー</t>
        </is>
      </c>
      <c r="E41" s="247" t="n">
        <v>523</v>
      </c>
      <c r="F41" s="11">
        <f>IF(E41="","",IF(ISNA(VLOOKUP(E41,科目コード表!$C$4:$D$67,2,FALSE)),"該当科目なし",VLOOKUP(E41,科目コード表!$C$4:$D$67,2,FALSE)))</f>
        <v/>
      </c>
      <c r="G41" s="38" t="n">
        <v>1800</v>
      </c>
      <c r="H41" s="248" t="n"/>
      <c r="I41" s="11">
        <f>IF(H41="","",IF(ISNA(VLOOKUP(H41,科目コード表!$C$4:$D$67,2,FALSE)),"該当科目なし",VLOOKUP(H41,科目コード表!$C$4:$D$67,2,FALSE)))</f>
        <v/>
      </c>
      <c r="J41" s="40" t="n"/>
      <c r="L41" s="46">
        <f>IF($E41=L$3,$G41,0)-IF($H41=L$3,$J41,0)</f>
        <v/>
      </c>
      <c r="M41" s="47">
        <f>IF($E41=M$3,$G41,0)-IF($H41=M$3,$J41,0)</f>
        <v/>
      </c>
      <c r="N41" s="47">
        <f>IF($E41=N$3,$G41,0)-IF($H41=N$3,$J41,0)</f>
        <v/>
      </c>
      <c r="O41" s="47">
        <f>IF($E41=O$3,$G41,0)-IF($H41=O$3,$J41,0)</f>
        <v/>
      </c>
      <c r="P41" s="47">
        <f>IF($E41=P$3,$G41,0)-IF($H41=P$3,$J41,0)</f>
        <v/>
      </c>
      <c r="Q41" s="47">
        <f>IF($E41=Q$3,$G41,0)-IF($H41=Q$3,$J41,0)</f>
        <v/>
      </c>
      <c r="R41" s="47">
        <f>IF($E41=R$3,$G41,0)-IF($H41=R$3,$J41,0)</f>
        <v/>
      </c>
      <c r="S41" s="47">
        <f>IF($E41=S$3,$G41,0)-IF($H41=S$3,$J41,0)</f>
        <v/>
      </c>
      <c r="T41" s="47">
        <f>IF($E41=T$3,$G41,0)-IF($H41=T$3,$J41,0)</f>
        <v/>
      </c>
      <c r="U41" s="47">
        <f>IF($E41=U$3,$G41,0)-IF($H41=U$3,$J41,0)</f>
        <v/>
      </c>
      <c r="V41" s="47">
        <f>IF($E41=V$3,$G41,0)-IF($H41=V$3,$J41,0)</f>
        <v/>
      </c>
      <c r="W41" s="47">
        <f>IF($E41=W$3,$G41,0)-IF($H41=W$3,$J41,0)</f>
        <v/>
      </c>
      <c r="X41" s="47">
        <f>IF($E41=X$3,$G41,0)-IF($H41=X$3,$J41,0)</f>
        <v/>
      </c>
      <c r="Y41" s="47">
        <f>IF($E41=Y$3,$G41,0)-IF($H41=Y$3,$J41,0)</f>
        <v/>
      </c>
      <c r="Z41" s="47">
        <f>IF($E41=Z$3,$G41,0)-IF($H41=Z$3,$J41,0)</f>
        <v/>
      </c>
      <c r="AA41" s="47">
        <f>IF($E41=AA$3,$G41,0)-IF($H41=AA$3,$J41,0)</f>
        <v/>
      </c>
      <c r="AB41" s="47">
        <f>IF($E41=AB$3,$G41,0)-IF($H41=AB$3,$J41,0)</f>
        <v/>
      </c>
      <c r="AC41" s="47">
        <f>IF($E41=AC$3,$G41,0)-IF($H41=AC$3,$J41,0)</f>
        <v/>
      </c>
      <c r="AD41" s="47">
        <f>IF($E41=AD$3,$G41,0)-IF($H41=AD$3,$J41,0)</f>
        <v/>
      </c>
      <c r="AE41" s="47">
        <f>IF($E41=AE$3,$G41,0)-IF($H41=AE$3,$J41,0)</f>
        <v/>
      </c>
      <c r="AF41" s="47">
        <f>IF($E41=AF$3,$G41,0)-IF($H41=AF$3,$J41,0)</f>
        <v/>
      </c>
      <c r="AG41" s="47">
        <f>IF($E41=AG$3,$G41,0)-IF($H41=AG$3,$J41,0)</f>
        <v/>
      </c>
      <c r="AH41" s="47">
        <f>IF($E41=AH$3,$G41,0)-IF($H41=AH$3,$J41,0)</f>
        <v/>
      </c>
      <c r="AI41" s="47">
        <f>IF($E41=AI$3,$G41,0)-IF($H41=AI$3,$J41,0)</f>
        <v/>
      </c>
      <c r="AJ41" s="47">
        <f>IF($E41=AJ$3,$G41,0)-IF($H41=AJ$3,$J41,0)</f>
        <v/>
      </c>
      <c r="AK41" s="47">
        <f>IF($E41=AK$3,$G41,0)-IF($H41=AK$3,$J41,0)</f>
        <v/>
      </c>
      <c r="AL41" s="48">
        <f>IF($E41=AL$3,$G41,0)-IF($H41=AL$3,$J41,0)</f>
        <v/>
      </c>
      <c r="AM41" s="46">
        <f>-IF($E41=AM$3,$G41,0)+IF($H41=AM$3,$J41,0)</f>
        <v/>
      </c>
      <c r="AN41" s="47">
        <f>-IF($E41=AN$3,$G41,0)+IF($H41=AN$3,$J41,0)</f>
        <v/>
      </c>
      <c r="AO41" s="48">
        <f>-IF($E41=AO$3,$G41,0)+IF($H41=AO$3,$J41,0)</f>
        <v/>
      </c>
      <c r="AP41" s="46">
        <f>IF($E41=AP$3,$G41,0)-IF($H41=AP$3,$J41,0)</f>
        <v/>
      </c>
      <c r="AQ41" s="47">
        <f>IF($E41=AQ$3,$G41,0)-IF($H41=AQ$3,$J41,0)</f>
        <v/>
      </c>
      <c r="AR41" s="47">
        <f>IF($E41=AR$3,$G41,0)-IF($H41=AR$3,$J41,0)</f>
        <v/>
      </c>
      <c r="AS41" s="47">
        <f>IF($E41=AS$3,$G41,0)-IF($H41=AS$3,$J41,0)</f>
        <v/>
      </c>
      <c r="AT41" s="47">
        <f>IF($E41=AT$3,$G41,0)-IF($H41=AT$3,$J41,0)</f>
        <v/>
      </c>
      <c r="AU41" s="47">
        <f>IF($E41=AU$3,$G41,0)-IF($H41=AU$3,$J41,0)</f>
        <v/>
      </c>
      <c r="AV41" s="47">
        <f>IF($E41=AV$3,$G41,0)-IF($H41=AV$3,$J41,0)</f>
        <v/>
      </c>
      <c r="AW41" s="47">
        <f>IF($E41=AW$3,$G41,0)-IF($H41=AW$3,$J41,0)</f>
        <v/>
      </c>
      <c r="AX41" s="47">
        <f>IF($E41=AX$3,$G41,0)-IF($H41=AX$3,$J41,0)</f>
        <v/>
      </c>
      <c r="AY41" s="47">
        <f>IF($E41=AY$3,$G41,0)-IF($H41=AY$3,$J41,0)</f>
        <v/>
      </c>
      <c r="AZ41" s="47">
        <f>IF($E41=AZ$3,$G41,0)-IF($H41=AZ$3,$J41,0)</f>
        <v/>
      </c>
      <c r="BA41" s="47">
        <f>IF($E41=BA$3,$G41,0)-IF($H41=BA$3,$J41,0)</f>
        <v/>
      </c>
      <c r="BB41" s="47">
        <f>IF($E41=BB$3,$G41,0)-IF($H41=BB$3,$J41,0)</f>
        <v/>
      </c>
      <c r="BC41" s="47">
        <f>IF($E41=BC$3,$G41,0)-IF($H41=BC$3,$J41,0)</f>
        <v/>
      </c>
      <c r="BD41" s="47">
        <f>IF($E41=BD$3,$G41,0)-IF($H41=BD$3,$J41,0)</f>
        <v/>
      </c>
      <c r="BE41" s="47">
        <f>IF($E41=BE$3,$G41,0)-IF($H41=BE$3,$J41,0)</f>
        <v/>
      </c>
      <c r="BF41" s="47">
        <f>IF($E41=BF$3,$G41,0)-IF($H41=BF$3,$J41,0)</f>
        <v/>
      </c>
      <c r="BG41" s="47">
        <f>IF($E41=BG$3,$G41,0)-IF($H41=BG$3,$J41,0)</f>
        <v/>
      </c>
      <c r="BH41" s="47">
        <f>IF($E41=BH$3,$G41,0)-IF($H41=BH$3,$J41,0)</f>
        <v/>
      </c>
      <c r="BI41" s="47">
        <f>IF($E41=BI$3,$G41,0)-IF($H41=BI$3,$J41,0)</f>
        <v/>
      </c>
      <c r="BJ41" s="47">
        <f>IF($E41=BJ$3,$G41,0)-IF($H41=BJ$3,$J41,0)</f>
        <v/>
      </c>
      <c r="BK41" s="47">
        <f>IF($E41=BK$3,$G41,0)-IF($H41=BK$3,$J41,0)</f>
        <v/>
      </c>
      <c r="BL41" s="46">
        <f>-IF($E41=BL$3,$G41,0)+IF($H41=BL$3,$J41,0)</f>
        <v/>
      </c>
      <c r="BM41" s="47">
        <f>-IF($E41=BM$3,$G41,0)+IF($H41=BM$3,$J41,0)</f>
        <v/>
      </c>
      <c r="BN41" s="47">
        <f>-IF($E41=BN$3,$G41,0)+IF($H41=BN$3,$J41,0)</f>
        <v/>
      </c>
      <c r="BO41" s="47">
        <f>-IF($E41=BO$3,$G41,0)+IF($H41=BO$3,$J41,0)</f>
        <v/>
      </c>
      <c r="BP41" s="47">
        <f>-IF($E41=BP$3,$G41,0)+IF($H41=BP$3,$J41,0)</f>
        <v/>
      </c>
      <c r="BQ41" s="47">
        <f>-IF($E41=BQ$3,$G41,0)+IF($H41=BQ$3,$J41,0)</f>
        <v/>
      </c>
      <c r="BR41" s="47">
        <f>-IF($E41=BR$3,$G41,0)+IF($H41=BR$3,$J41,0)</f>
        <v/>
      </c>
      <c r="BS41" s="47">
        <f>-IF($E41=BS$3,$G41,0)+IF($H41=BS$3,$J41,0)</f>
        <v/>
      </c>
      <c r="BT41" s="47">
        <f>-IF($E41=BT$3,$G41,0)+IF($H41=BT$3,$J41,0)</f>
        <v/>
      </c>
      <c r="BU41" s="46">
        <f>+G41-J41</f>
        <v/>
      </c>
      <c r="BV41" s="48">
        <f>-IF($E41=BV$3,$G41,0)+IF($H41=BV$3,$J41,0)</f>
        <v/>
      </c>
      <c r="BW41" s="3" t="n"/>
    </row>
    <row r="42" ht="15.75" customHeight="1" s="214">
      <c r="A42" s="7" t="n"/>
      <c r="B42" s="8" t="n">
        <v>1</v>
      </c>
      <c r="C42" s="9" t="n">
        <v>29</v>
      </c>
      <c r="D42" s="10" t="inlineStr">
        <is>
          <t>エポス さくらインターネット</t>
        </is>
      </c>
      <c r="E42" s="247" t="n">
        <v>525</v>
      </c>
      <c r="F42" s="11">
        <f>IF(E42="","",IF(ISNA(VLOOKUP(E42,科目コード表!$C$4:$D$67,2,FALSE)),"該当科目なし",VLOOKUP(E42,科目コード表!$C$4:$D$67,2,FALSE)))</f>
        <v/>
      </c>
      <c r="G42" s="38" t="n">
        <v>7700</v>
      </c>
      <c r="H42" s="248" t="n"/>
      <c r="I42" s="11">
        <f>IF(H42="","",IF(ISNA(VLOOKUP(H42,科目コード表!$C$4:$D$67,2,FALSE)),"該当科目なし",VLOOKUP(H42,科目コード表!$C$4:$D$67,2,FALSE)))</f>
        <v/>
      </c>
      <c r="J42" s="40" t="n"/>
      <c r="L42" s="46">
        <f>IF($E42=L$3,$G42,0)-IF($H42=L$3,$J42,0)</f>
        <v/>
      </c>
      <c r="M42" s="47">
        <f>IF($E42=M$3,$G42,0)-IF($H42=M$3,$J42,0)</f>
        <v/>
      </c>
      <c r="N42" s="47">
        <f>IF($E42=N$3,$G42,0)-IF($H42=N$3,$J42,0)</f>
        <v/>
      </c>
      <c r="O42" s="47">
        <f>IF($E42=O$3,$G42,0)-IF($H42=O$3,$J42,0)</f>
        <v/>
      </c>
      <c r="P42" s="47">
        <f>IF($E42=P$3,$G42,0)-IF($H42=P$3,$J42,0)</f>
        <v/>
      </c>
      <c r="Q42" s="47">
        <f>IF($E42=Q$3,$G42,0)-IF($H42=Q$3,$J42,0)</f>
        <v/>
      </c>
      <c r="R42" s="47">
        <f>IF($E42=R$3,$G42,0)-IF($H42=R$3,$J42,0)</f>
        <v/>
      </c>
      <c r="S42" s="47">
        <f>IF($E42=S$3,$G42,0)-IF($H42=S$3,$J42,0)</f>
        <v/>
      </c>
      <c r="T42" s="47">
        <f>IF($E42=T$3,$G42,0)-IF($H42=T$3,$J42,0)</f>
        <v/>
      </c>
      <c r="U42" s="47">
        <f>IF($E42=U$3,$G42,0)-IF($H42=U$3,$J42,0)</f>
        <v/>
      </c>
      <c r="V42" s="47">
        <f>IF($E42=V$3,$G42,0)-IF($H42=V$3,$J42,0)</f>
        <v/>
      </c>
      <c r="W42" s="47">
        <f>IF($E42=W$3,$G42,0)-IF($H42=W$3,$J42,0)</f>
        <v/>
      </c>
      <c r="X42" s="47">
        <f>IF($E42=X$3,$G42,0)-IF($H42=X$3,$J42,0)</f>
        <v/>
      </c>
      <c r="Y42" s="47">
        <f>IF($E42=Y$3,$G42,0)-IF($H42=Y$3,$J42,0)</f>
        <v/>
      </c>
      <c r="Z42" s="47">
        <f>IF($E42=Z$3,$G42,0)-IF($H42=Z$3,$J42,0)</f>
        <v/>
      </c>
      <c r="AA42" s="47">
        <f>IF($E42=AA$3,$G42,0)-IF($H42=AA$3,$J42,0)</f>
        <v/>
      </c>
      <c r="AB42" s="47">
        <f>IF($E42=AB$3,$G42,0)-IF($H42=AB$3,$J42,0)</f>
        <v/>
      </c>
      <c r="AC42" s="47">
        <f>IF($E42=AC$3,$G42,0)-IF($H42=AC$3,$J42,0)</f>
        <v/>
      </c>
      <c r="AD42" s="47">
        <f>IF($E42=AD$3,$G42,0)-IF($H42=AD$3,$J42,0)</f>
        <v/>
      </c>
      <c r="AE42" s="47">
        <f>IF($E42=AE$3,$G42,0)-IF($H42=AE$3,$J42,0)</f>
        <v/>
      </c>
      <c r="AF42" s="47">
        <f>IF($E42=AF$3,$G42,0)-IF($H42=AF$3,$J42,0)</f>
        <v/>
      </c>
      <c r="AG42" s="47">
        <f>IF($E42=AG$3,$G42,0)-IF($H42=AG$3,$J42,0)</f>
        <v/>
      </c>
      <c r="AH42" s="47">
        <f>IF($E42=AH$3,$G42,0)-IF($H42=AH$3,$J42,0)</f>
        <v/>
      </c>
      <c r="AI42" s="47">
        <f>IF($E42=AI$3,$G42,0)-IF($H42=AI$3,$J42,0)</f>
        <v/>
      </c>
      <c r="AJ42" s="47">
        <f>IF($E42=AJ$3,$G42,0)-IF($H42=AJ$3,$J42,0)</f>
        <v/>
      </c>
      <c r="AK42" s="47">
        <f>IF($E42=AK$3,$G42,0)-IF($H42=AK$3,$J42,0)</f>
        <v/>
      </c>
      <c r="AL42" s="48">
        <f>IF($E42=AL$3,$G42,0)-IF($H42=AL$3,$J42,0)</f>
        <v/>
      </c>
      <c r="AM42" s="46">
        <f>-IF($E42=AM$3,$G42,0)+IF($H42=AM$3,$J42,0)</f>
        <v/>
      </c>
      <c r="AN42" s="47">
        <f>-IF($E42=AN$3,$G42,0)+IF($H42=AN$3,$J42,0)</f>
        <v/>
      </c>
      <c r="AO42" s="48">
        <f>-IF($E42=AO$3,$G42,0)+IF($H42=AO$3,$J42,0)</f>
        <v/>
      </c>
      <c r="AP42" s="46">
        <f>IF($E42=AP$3,$G42,0)-IF($H42=AP$3,$J42,0)</f>
        <v/>
      </c>
      <c r="AQ42" s="47">
        <f>IF($E42=AQ$3,$G42,0)-IF($H42=AQ$3,$J42,0)</f>
        <v/>
      </c>
      <c r="AR42" s="47">
        <f>IF($E42=AR$3,$G42,0)-IF($H42=AR$3,$J42,0)</f>
        <v/>
      </c>
      <c r="AS42" s="47">
        <f>IF($E42=AS$3,$G42,0)-IF($H42=AS$3,$J42,0)</f>
        <v/>
      </c>
      <c r="AT42" s="47">
        <f>IF($E42=AT$3,$G42,0)-IF($H42=AT$3,$J42,0)</f>
        <v/>
      </c>
      <c r="AU42" s="47">
        <f>IF($E42=AU$3,$G42,0)-IF($H42=AU$3,$J42,0)</f>
        <v/>
      </c>
      <c r="AV42" s="47">
        <f>IF($E42=AV$3,$G42,0)-IF($H42=AV$3,$J42,0)</f>
        <v/>
      </c>
      <c r="AW42" s="47">
        <f>IF($E42=AW$3,$G42,0)-IF($H42=AW$3,$J42,0)</f>
        <v/>
      </c>
      <c r="AX42" s="47">
        <f>IF($E42=AX$3,$G42,0)-IF($H42=AX$3,$J42,0)</f>
        <v/>
      </c>
      <c r="AY42" s="47">
        <f>IF($E42=AY$3,$G42,0)-IF($H42=AY$3,$J42,0)</f>
        <v/>
      </c>
      <c r="AZ42" s="47">
        <f>IF($E42=AZ$3,$G42,0)-IF($H42=AZ$3,$J42,0)</f>
        <v/>
      </c>
      <c r="BA42" s="47">
        <f>IF($E42=BA$3,$G42,0)-IF($H42=BA$3,$J42,0)</f>
        <v/>
      </c>
      <c r="BB42" s="47">
        <f>IF($E42=BB$3,$G42,0)-IF($H42=BB$3,$J42,0)</f>
        <v/>
      </c>
      <c r="BC42" s="47">
        <f>IF($E42=BC$3,$G42,0)-IF($H42=BC$3,$J42,0)</f>
        <v/>
      </c>
      <c r="BD42" s="47">
        <f>IF($E42=BD$3,$G42,0)-IF($H42=BD$3,$J42,0)</f>
        <v/>
      </c>
      <c r="BE42" s="47">
        <f>IF($E42=BE$3,$G42,0)-IF($H42=BE$3,$J42,0)</f>
        <v/>
      </c>
      <c r="BF42" s="47">
        <f>IF($E42=BF$3,$G42,0)-IF($H42=BF$3,$J42,0)</f>
        <v/>
      </c>
      <c r="BG42" s="47">
        <f>IF($E42=BG$3,$G42,0)-IF($H42=BG$3,$J42,0)</f>
        <v/>
      </c>
      <c r="BH42" s="47">
        <f>IF($E42=BH$3,$G42,0)-IF($H42=BH$3,$J42,0)</f>
        <v/>
      </c>
      <c r="BI42" s="47">
        <f>IF($E42=BI$3,$G42,0)-IF($H42=BI$3,$J42,0)</f>
        <v/>
      </c>
      <c r="BJ42" s="47">
        <f>IF($E42=BJ$3,$G42,0)-IF($H42=BJ$3,$J42,0)</f>
        <v/>
      </c>
      <c r="BK42" s="47">
        <f>IF($E42=BK$3,$G42,0)-IF($H42=BK$3,$J42,0)</f>
        <v/>
      </c>
      <c r="BL42" s="46">
        <f>-IF($E42=BL$3,$G42,0)+IF($H42=BL$3,$J42,0)</f>
        <v/>
      </c>
      <c r="BM42" s="47">
        <f>-IF($E42=BM$3,$G42,0)+IF($H42=BM$3,$J42,0)</f>
        <v/>
      </c>
      <c r="BN42" s="47">
        <f>-IF($E42=BN$3,$G42,0)+IF($H42=BN$3,$J42,0)</f>
        <v/>
      </c>
      <c r="BO42" s="47">
        <f>-IF($E42=BO$3,$G42,0)+IF($H42=BO$3,$J42,0)</f>
        <v/>
      </c>
      <c r="BP42" s="47">
        <f>-IF($E42=BP$3,$G42,0)+IF($H42=BP$3,$J42,0)</f>
        <v/>
      </c>
      <c r="BQ42" s="47">
        <f>-IF($E42=BQ$3,$G42,0)+IF($H42=BQ$3,$J42,0)</f>
        <v/>
      </c>
      <c r="BR42" s="47">
        <f>-IF($E42=BR$3,$G42,0)+IF($H42=BR$3,$J42,0)</f>
        <v/>
      </c>
      <c r="BS42" s="47">
        <f>-IF($E42=BS$3,$G42,0)+IF($H42=BS$3,$J42,0)</f>
        <v/>
      </c>
      <c r="BT42" s="47">
        <f>-IF($E42=BT$3,$G42,0)+IF($H42=BT$3,$J42,0)</f>
        <v/>
      </c>
      <c r="BU42" s="46">
        <f>+G42-J42</f>
        <v/>
      </c>
      <c r="BV42" s="48">
        <f>-IF($E42=BV$3,$G42,0)+IF($H42=BV$3,$J42,0)</f>
        <v/>
      </c>
      <c r="BW42" s="3" t="n"/>
    </row>
    <row r="43" ht="15.75" customHeight="1" s="214">
      <c r="A43" s="7" t="n"/>
      <c r="B43" s="8" t="n">
        <v>1</v>
      </c>
      <c r="C43" s="9" t="n">
        <v>30</v>
      </c>
      <c r="D43" s="10" t="inlineStr">
        <is>
          <t>セレサ川崎 BASIS入金</t>
        </is>
      </c>
      <c r="E43" s="247" t="n"/>
      <c r="F43" s="11">
        <f>IF(E43="","",IF(ISNA(VLOOKUP(E43,科目コード表!$C$4:$D$67,2,FALSE)),"該当科目なし",VLOOKUP(E43,科目コード表!$C$4:$D$67,2,FALSE)))</f>
        <v/>
      </c>
      <c r="G43" s="38" t="n"/>
      <c r="H43" s="248" t="n">
        <v>107</v>
      </c>
      <c r="I43" s="11">
        <f>IF(H43="","",IF(ISNA(VLOOKUP(H43,科目コード表!$C$4:$D$67,2,FALSE)),"該当科目なし",VLOOKUP(H43,科目コード表!$C$4:$D$67,2,FALSE)))</f>
        <v/>
      </c>
      <c r="J43" s="40" t="n">
        <v>1237500</v>
      </c>
      <c r="L43" s="46">
        <f>IF($E43=L$3,$G43,0)-IF($H43=L$3,$J43,0)</f>
        <v/>
      </c>
      <c r="M43" s="47">
        <f>IF($E43=M$3,$G43,0)-IF($H43=M$3,$J43,0)</f>
        <v/>
      </c>
      <c r="N43" s="47">
        <f>IF($E43=N$3,$G43,0)-IF($H43=N$3,$J43,0)</f>
        <v/>
      </c>
      <c r="O43" s="47">
        <f>IF($E43=O$3,$G43,0)-IF($H43=O$3,$J43,0)</f>
        <v/>
      </c>
      <c r="P43" s="47">
        <f>IF($E43=P$3,$G43,0)-IF($H43=P$3,$J43,0)</f>
        <v/>
      </c>
      <c r="Q43" s="47">
        <f>IF($E43=Q$3,$G43,0)-IF($H43=Q$3,$J43,0)</f>
        <v/>
      </c>
      <c r="R43" s="47">
        <f>IF($E43=R$3,$G43,0)-IF($H43=R$3,$J43,0)</f>
        <v/>
      </c>
      <c r="S43" s="47">
        <f>IF($E43=S$3,$G43,0)-IF($H43=S$3,$J43,0)</f>
        <v/>
      </c>
      <c r="T43" s="47">
        <f>IF($E43=T$3,$G43,0)-IF($H43=T$3,$J43,0)</f>
        <v/>
      </c>
      <c r="U43" s="47">
        <f>IF($E43=U$3,$G43,0)-IF($H43=U$3,$J43,0)</f>
        <v/>
      </c>
      <c r="V43" s="47">
        <f>IF($E43=V$3,$G43,0)-IF($H43=V$3,$J43,0)</f>
        <v/>
      </c>
      <c r="W43" s="47">
        <f>IF($E43=W$3,$G43,0)-IF($H43=W$3,$J43,0)</f>
        <v/>
      </c>
      <c r="X43" s="47">
        <f>IF($E43=X$3,$G43,0)-IF($H43=X$3,$J43,0)</f>
        <v/>
      </c>
      <c r="Y43" s="47">
        <f>IF($E43=Y$3,$G43,0)-IF($H43=Y$3,$J43,0)</f>
        <v/>
      </c>
      <c r="Z43" s="47">
        <f>IF($E43=Z$3,$G43,0)-IF($H43=Z$3,$J43,0)</f>
        <v/>
      </c>
      <c r="AA43" s="47">
        <f>IF($E43=AA$3,$G43,0)-IF($H43=AA$3,$J43,0)</f>
        <v/>
      </c>
      <c r="AB43" s="47">
        <f>IF($E43=AB$3,$G43,0)-IF($H43=AB$3,$J43,0)</f>
        <v/>
      </c>
      <c r="AC43" s="47">
        <f>IF($E43=AC$3,$G43,0)-IF($H43=AC$3,$J43,0)</f>
        <v/>
      </c>
      <c r="AD43" s="47">
        <f>IF($E43=AD$3,$G43,0)-IF($H43=AD$3,$J43,0)</f>
        <v/>
      </c>
      <c r="AE43" s="47">
        <f>IF($E43=AE$3,$G43,0)-IF($H43=AE$3,$J43,0)</f>
        <v/>
      </c>
      <c r="AF43" s="47">
        <f>IF($E43=AF$3,$G43,0)-IF($H43=AF$3,$J43,0)</f>
        <v/>
      </c>
      <c r="AG43" s="47">
        <f>IF($E43=AG$3,$G43,0)-IF($H43=AG$3,$J43,0)</f>
        <v/>
      </c>
      <c r="AH43" s="47">
        <f>IF($E43=AH$3,$G43,0)-IF($H43=AH$3,$J43,0)</f>
        <v/>
      </c>
      <c r="AI43" s="47">
        <f>IF($E43=AI$3,$G43,0)-IF($H43=AI$3,$J43,0)</f>
        <v/>
      </c>
      <c r="AJ43" s="47">
        <f>IF($E43=AJ$3,$G43,0)-IF($H43=AJ$3,$J43,0)</f>
        <v/>
      </c>
      <c r="AK43" s="47">
        <f>IF($E43=AK$3,$G43,0)-IF($H43=AK$3,$J43,0)</f>
        <v/>
      </c>
      <c r="AL43" s="48">
        <f>IF($E43=AL$3,$G43,0)-IF($H43=AL$3,$J43,0)</f>
        <v/>
      </c>
      <c r="AM43" s="46">
        <f>-IF($E43=AM$3,$G43,0)+IF($H43=AM$3,$J43,0)</f>
        <v/>
      </c>
      <c r="AN43" s="47">
        <f>-IF($E43=AN$3,$G43,0)+IF($H43=AN$3,$J43,0)</f>
        <v/>
      </c>
      <c r="AO43" s="48">
        <f>-IF($E43=AO$3,$G43,0)+IF($H43=AO$3,$J43,0)</f>
        <v/>
      </c>
      <c r="AP43" s="46">
        <f>IF($E43=AP$3,$G43,0)-IF($H43=AP$3,$J43,0)</f>
        <v/>
      </c>
      <c r="AQ43" s="47">
        <f>IF($E43=AQ$3,$G43,0)-IF($H43=AQ$3,$J43,0)</f>
        <v/>
      </c>
      <c r="AR43" s="47">
        <f>IF($E43=AR$3,$G43,0)-IF($H43=AR$3,$J43,0)</f>
        <v/>
      </c>
      <c r="AS43" s="47">
        <f>IF($E43=AS$3,$G43,0)-IF($H43=AS$3,$J43,0)</f>
        <v/>
      </c>
      <c r="AT43" s="47">
        <f>IF($E43=AT$3,$G43,0)-IF($H43=AT$3,$J43,0)</f>
        <v/>
      </c>
      <c r="AU43" s="47">
        <f>IF($E43=AU$3,$G43,0)-IF($H43=AU$3,$J43,0)</f>
        <v/>
      </c>
      <c r="AV43" s="47">
        <f>IF($E43=AV$3,$G43,0)-IF($H43=AV$3,$J43,0)</f>
        <v/>
      </c>
      <c r="AW43" s="47">
        <f>IF($E43=AW$3,$G43,0)-IF($H43=AW$3,$J43,0)</f>
        <v/>
      </c>
      <c r="AX43" s="47">
        <f>IF($E43=AX$3,$G43,0)-IF($H43=AX$3,$J43,0)</f>
        <v/>
      </c>
      <c r="AY43" s="47">
        <f>IF($E43=AY$3,$G43,0)-IF($H43=AY$3,$J43,0)</f>
        <v/>
      </c>
      <c r="AZ43" s="47">
        <f>IF($E43=AZ$3,$G43,0)-IF($H43=AZ$3,$J43,0)</f>
        <v/>
      </c>
      <c r="BA43" s="47">
        <f>IF($E43=BA$3,$G43,0)-IF($H43=BA$3,$J43,0)</f>
        <v/>
      </c>
      <c r="BB43" s="47">
        <f>IF($E43=BB$3,$G43,0)-IF($H43=BB$3,$J43,0)</f>
        <v/>
      </c>
      <c r="BC43" s="47">
        <f>IF($E43=BC$3,$G43,0)-IF($H43=BC$3,$J43,0)</f>
        <v/>
      </c>
      <c r="BD43" s="47">
        <f>IF($E43=BD$3,$G43,0)-IF($H43=BD$3,$J43,0)</f>
        <v/>
      </c>
      <c r="BE43" s="47">
        <f>IF($E43=BE$3,$G43,0)-IF($H43=BE$3,$J43,0)</f>
        <v/>
      </c>
      <c r="BF43" s="47">
        <f>IF($E43=BF$3,$G43,0)-IF($H43=BF$3,$J43,0)</f>
        <v/>
      </c>
      <c r="BG43" s="47">
        <f>IF($E43=BG$3,$G43,0)-IF($H43=BG$3,$J43,0)</f>
        <v/>
      </c>
      <c r="BH43" s="47">
        <f>IF($E43=BH$3,$G43,0)-IF($H43=BH$3,$J43,0)</f>
        <v/>
      </c>
      <c r="BI43" s="47">
        <f>IF($E43=BI$3,$G43,0)-IF($H43=BI$3,$J43,0)</f>
        <v/>
      </c>
      <c r="BJ43" s="47">
        <f>IF($E43=BJ$3,$G43,0)-IF($H43=BJ$3,$J43,0)</f>
        <v/>
      </c>
      <c r="BK43" s="47">
        <f>IF($E43=BK$3,$G43,0)-IF($H43=BK$3,$J43,0)</f>
        <v/>
      </c>
      <c r="BL43" s="46">
        <f>-IF($E43=BL$3,$G43,0)+IF($H43=BL$3,$J43,0)</f>
        <v/>
      </c>
      <c r="BM43" s="47">
        <f>-IF($E43=BM$3,$G43,0)+IF($H43=BM$3,$J43,0)</f>
        <v/>
      </c>
      <c r="BN43" s="47">
        <f>-IF($E43=BN$3,$G43,0)+IF($H43=BN$3,$J43,0)</f>
        <v/>
      </c>
      <c r="BO43" s="47">
        <f>-IF($E43=BO$3,$G43,0)+IF($H43=BO$3,$J43,0)</f>
        <v/>
      </c>
      <c r="BP43" s="47">
        <f>-IF($E43=BP$3,$G43,0)+IF($H43=BP$3,$J43,0)</f>
        <v/>
      </c>
      <c r="BQ43" s="47">
        <f>-IF($E43=BQ$3,$G43,0)+IF($H43=BQ$3,$J43,0)</f>
        <v/>
      </c>
      <c r="BR43" s="47">
        <f>-IF($E43=BR$3,$G43,0)+IF($H43=BR$3,$J43,0)</f>
        <v/>
      </c>
      <c r="BS43" s="47">
        <f>-IF($E43=BS$3,$G43,0)+IF($H43=BS$3,$J43,0)</f>
        <v/>
      </c>
      <c r="BT43" s="47">
        <f>-IF($E43=BT$3,$G43,0)+IF($H43=BT$3,$J43,0)</f>
        <v/>
      </c>
      <c r="BU43" s="46">
        <f>+G43-J43</f>
        <v/>
      </c>
      <c r="BV43" s="48">
        <f>-IF($E43=BV$3,$G43,0)+IF($H43=BV$3,$J43,0)</f>
        <v/>
      </c>
      <c r="BW43" s="3" t="n"/>
    </row>
    <row r="44" ht="15.75" customHeight="1" s="214">
      <c r="A44" s="7" t="n"/>
      <c r="B44" s="8" t="n">
        <v>1</v>
      </c>
      <c r="C44" s="9" t="n">
        <v>31</v>
      </c>
      <c r="D44" s="10" t="inlineStr">
        <is>
          <t>売上 小樽商科大学後援会</t>
        </is>
      </c>
      <c r="E44" s="247" t="n">
        <v>107</v>
      </c>
      <c r="F44" s="11">
        <f>IF(E44="","",IF(ISNA(VLOOKUP(E44,科目コード表!$C$4:$D$67,2,FALSE)),"該当科目なし",VLOOKUP(E44,科目コード表!$C$4:$D$67,2,FALSE)))</f>
        <v/>
      </c>
      <c r="G44" s="38" t="n">
        <v>11000</v>
      </c>
      <c r="H44" s="248" t="n">
        <v>401</v>
      </c>
      <c r="I44" s="11">
        <f>IF(H44="","",IF(ISNA(VLOOKUP(H44,科目コード表!$C$4:$D$67,2,FALSE)),"該当科目なし",VLOOKUP(H44,科目コード表!$C$4:$D$67,2,FALSE)))</f>
        <v/>
      </c>
      <c r="J44" s="40" t="n">
        <v>11000</v>
      </c>
      <c r="L44" s="46">
        <f>IF($E44=L$3,$G44,0)-IF($H44=L$3,$J44,0)</f>
        <v/>
      </c>
      <c r="M44" s="47">
        <f>IF($E44=M$3,$G44,0)-IF($H44=M$3,$J44,0)</f>
        <v/>
      </c>
      <c r="N44" s="47">
        <f>IF($E44=N$3,$G44,0)-IF($H44=N$3,$J44,0)</f>
        <v/>
      </c>
      <c r="O44" s="47">
        <f>IF($E44=O$3,$G44,0)-IF($H44=O$3,$J44,0)</f>
        <v/>
      </c>
      <c r="P44" s="47">
        <f>IF($E44=P$3,$G44,0)-IF($H44=P$3,$J44,0)</f>
        <v/>
      </c>
      <c r="Q44" s="47">
        <f>IF($E44=Q$3,$G44,0)-IF($H44=Q$3,$J44,0)</f>
        <v/>
      </c>
      <c r="R44" s="47">
        <f>IF($E44=R$3,$G44,0)-IF($H44=R$3,$J44,0)</f>
        <v/>
      </c>
      <c r="S44" s="47">
        <f>IF($E44=S$3,$G44,0)-IF($H44=S$3,$J44,0)</f>
        <v/>
      </c>
      <c r="T44" s="47">
        <f>IF($E44=T$3,$G44,0)-IF($H44=T$3,$J44,0)</f>
        <v/>
      </c>
      <c r="U44" s="47">
        <f>IF($E44=U$3,$G44,0)-IF($H44=U$3,$J44,0)</f>
        <v/>
      </c>
      <c r="V44" s="47">
        <f>IF($E44=V$3,$G44,0)-IF($H44=V$3,$J44,0)</f>
        <v/>
      </c>
      <c r="W44" s="47">
        <f>IF($E44=W$3,$G44,0)-IF($H44=W$3,$J44,0)</f>
        <v/>
      </c>
      <c r="X44" s="47">
        <f>IF($E44=X$3,$G44,0)-IF($H44=X$3,$J44,0)</f>
        <v/>
      </c>
      <c r="Y44" s="47">
        <f>IF($E44=Y$3,$G44,0)-IF($H44=Y$3,$J44,0)</f>
        <v/>
      </c>
      <c r="Z44" s="47">
        <f>IF($E44=Z$3,$G44,0)-IF($H44=Z$3,$J44,0)</f>
        <v/>
      </c>
      <c r="AA44" s="47">
        <f>IF($E44=AA$3,$G44,0)-IF($H44=AA$3,$J44,0)</f>
        <v/>
      </c>
      <c r="AB44" s="47">
        <f>IF($E44=AB$3,$G44,0)-IF($H44=AB$3,$J44,0)</f>
        <v/>
      </c>
      <c r="AC44" s="47">
        <f>IF($E44=AC$3,$G44,0)-IF($H44=AC$3,$J44,0)</f>
        <v/>
      </c>
      <c r="AD44" s="47">
        <f>IF($E44=AD$3,$G44,0)-IF($H44=AD$3,$J44,0)</f>
        <v/>
      </c>
      <c r="AE44" s="47">
        <f>IF($E44=AE$3,$G44,0)-IF($H44=AE$3,$J44,0)</f>
        <v/>
      </c>
      <c r="AF44" s="47">
        <f>IF($E44=AF$3,$G44,0)-IF($H44=AF$3,$J44,0)</f>
        <v/>
      </c>
      <c r="AG44" s="47">
        <f>IF($E44=AG$3,$G44,0)-IF($H44=AG$3,$J44,0)</f>
        <v/>
      </c>
      <c r="AH44" s="47">
        <f>IF($E44=AH$3,$G44,0)-IF($H44=AH$3,$J44,0)</f>
        <v/>
      </c>
      <c r="AI44" s="47">
        <f>IF($E44=AI$3,$G44,0)-IF($H44=AI$3,$J44,0)</f>
        <v/>
      </c>
      <c r="AJ44" s="47">
        <f>IF($E44=AJ$3,$G44,0)-IF($H44=AJ$3,$J44,0)</f>
        <v/>
      </c>
      <c r="AK44" s="47">
        <f>IF($E44=AK$3,$G44,0)-IF($H44=AK$3,$J44,0)</f>
        <v/>
      </c>
      <c r="AL44" s="48">
        <f>IF($E44=AL$3,$G44,0)-IF($H44=AL$3,$J44,0)</f>
        <v/>
      </c>
      <c r="AM44" s="46">
        <f>-IF($E44=AM$3,$G44,0)+IF($H44=AM$3,$J44,0)</f>
        <v/>
      </c>
      <c r="AN44" s="47">
        <f>-IF($E44=AN$3,$G44,0)+IF($H44=AN$3,$J44,0)</f>
        <v/>
      </c>
      <c r="AO44" s="48">
        <f>-IF($E44=AO$3,$G44,0)+IF($H44=AO$3,$J44,0)</f>
        <v/>
      </c>
      <c r="AP44" s="46">
        <f>IF($E44=AP$3,$G44,0)-IF($H44=AP$3,$J44,0)</f>
        <v/>
      </c>
      <c r="AQ44" s="47">
        <f>IF($E44=AQ$3,$G44,0)-IF($H44=AQ$3,$J44,0)</f>
        <v/>
      </c>
      <c r="AR44" s="47">
        <f>IF($E44=AR$3,$G44,0)-IF($H44=AR$3,$J44,0)</f>
        <v/>
      </c>
      <c r="AS44" s="47">
        <f>IF($E44=AS$3,$G44,0)-IF($H44=AS$3,$J44,0)</f>
        <v/>
      </c>
      <c r="AT44" s="47">
        <f>IF($E44=AT$3,$G44,0)-IF($H44=AT$3,$J44,0)</f>
        <v/>
      </c>
      <c r="AU44" s="47">
        <f>IF($E44=AU$3,$G44,0)-IF($H44=AU$3,$J44,0)</f>
        <v/>
      </c>
      <c r="AV44" s="47">
        <f>IF($E44=AV$3,$G44,0)-IF($H44=AV$3,$J44,0)</f>
        <v/>
      </c>
      <c r="AW44" s="47">
        <f>IF($E44=AW$3,$G44,0)-IF($H44=AW$3,$J44,0)</f>
        <v/>
      </c>
      <c r="AX44" s="47">
        <f>IF($E44=AX$3,$G44,0)-IF($H44=AX$3,$J44,0)</f>
        <v/>
      </c>
      <c r="AY44" s="47">
        <f>IF($E44=AY$3,$G44,0)-IF($H44=AY$3,$J44,0)</f>
        <v/>
      </c>
      <c r="AZ44" s="47">
        <f>IF($E44=AZ$3,$G44,0)-IF($H44=AZ$3,$J44,0)</f>
        <v/>
      </c>
      <c r="BA44" s="47">
        <f>IF($E44=BA$3,$G44,0)-IF($H44=BA$3,$J44,0)</f>
        <v/>
      </c>
      <c r="BB44" s="47">
        <f>IF($E44=BB$3,$G44,0)-IF($H44=BB$3,$J44,0)</f>
        <v/>
      </c>
      <c r="BC44" s="47">
        <f>IF($E44=BC$3,$G44,0)-IF($H44=BC$3,$J44,0)</f>
        <v/>
      </c>
      <c r="BD44" s="47">
        <f>IF($E44=BD$3,$G44,0)-IF($H44=BD$3,$J44,0)</f>
        <v/>
      </c>
      <c r="BE44" s="47">
        <f>IF($E44=BE$3,$G44,0)-IF($H44=BE$3,$J44,0)</f>
        <v/>
      </c>
      <c r="BF44" s="47">
        <f>IF($E44=BF$3,$G44,0)-IF($H44=BF$3,$J44,0)</f>
        <v/>
      </c>
      <c r="BG44" s="47">
        <f>IF($E44=BG$3,$G44,0)-IF($H44=BG$3,$J44,0)</f>
        <v/>
      </c>
      <c r="BH44" s="47">
        <f>IF($E44=BH$3,$G44,0)-IF($H44=BH$3,$J44,0)</f>
        <v/>
      </c>
      <c r="BI44" s="47">
        <f>IF($E44=BI$3,$G44,0)-IF($H44=BI$3,$J44,0)</f>
        <v/>
      </c>
      <c r="BJ44" s="47">
        <f>IF($E44=BJ$3,$G44,0)-IF($H44=BJ$3,$J44,0)</f>
        <v/>
      </c>
      <c r="BK44" s="47">
        <f>IF($E44=BK$3,$G44,0)-IF($H44=BK$3,$J44,0)</f>
        <v/>
      </c>
      <c r="BL44" s="46">
        <f>-IF($E44=BL$3,$G44,0)+IF($H44=BL$3,$J44,0)</f>
        <v/>
      </c>
      <c r="BM44" s="47">
        <f>-IF($E44=BM$3,$G44,0)+IF($H44=BM$3,$J44,0)</f>
        <v/>
      </c>
      <c r="BN44" s="47">
        <f>-IF($E44=BN$3,$G44,0)+IF($H44=BN$3,$J44,0)</f>
        <v/>
      </c>
      <c r="BO44" s="47">
        <f>-IF($E44=BO$3,$G44,0)+IF($H44=BO$3,$J44,0)</f>
        <v/>
      </c>
      <c r="BP44" s="47">
        <f>-IF($E44=BP$3,$G44,0)+IF($H44=BP$3,$J44,0)</f>
        <v/>
      </c>
      <c r="BQ44" s="47">
        <f>-IF($E44=BQ$3,$G44,0)+IF($H44=BQ$3,$J44,0)</f>
        <v/>
      </c>
      <c r="BR44" s="47">
        <f>-IF($E44=BR$3,$G44,0)+IF($H44=BR$3,$J44,0)</f>
        <v/>
      </c>
      <c r="BS44" s="47">
        <f>-IF($E44=BS$3,$G44,0)+IF($H44=BS$3,$J44,0)</f>
        <v/>
      </c>
      <c r="BT44" s="47">
        <f>-IF($E44=BT$3,$G44,0)+IF($H44=BT$3,$J44,0)</f>
        <v/>
      </c>
      <c r="BU44" s="46">
        <f>+G44-J44</f>
        <v/>
      </c>
      <c r="BV44" s="48">
        <f>-IF($E44=BV$3,$G44,0)+IF($H44=BV$3,$J44,0)</f>
        <v/>
      </c>
      <c r="BW44" s="3" t="n"/>
    </row>
    <row r="45" ht="15.75" customHeight="1" s="214">
      <c r="A45" s="7" t="n"/>
      <c r="B45" s="8" t="n">
        <v>1</v>
      </c>
      <c r="C45" s="9" t="n">
        <v>31</v>
      </c>
      <c r="D45" s="10" t="inlineStr">
        <is>
          <t>売上 ユーユー</t>
        </is>
      </c>
      <c r="E45" s="247" t="n">
        <v>107</v>
      </c>
      <c r="F45" s="11">
        <f>IF(E45="","",IF(ISNA(VLOOKUP(E45,科目コード表!$C$4:$D$67,2,FALSE)),"該当科目なし",VLOOKUP(E45,科目コード表!$C$4:$D$67,2,FALSE)))</f>
        <v/>
      </c>
      <c r="G45" s="38" t="n">
        <v>100000</v>
      </c>
      <c r="H45" s="248" t="n">
        <v>401</v>
      </c>
      <c r="I45" s="11">
        <f>IF(H45="","",IF(ISNA(VLOOKUP(H45,科目コード表!$C$4:$D$67,2,FALSE)),"該当科目なし",VLOOKUP(H45,科目コード表!$C$4:$D$67,2,FALSE)))</f>
        <v/>
      </c>
      <c r="J45" s="40" t="n">
        <v>100000</v>
      </c>
      <c r="L45" s="46">
        <f>IF($E45=L$3,$G45,0)-IF($H45=L$3,$J45,0)</f>
        <v/>
      </c>
      <c r="M45" s="47">
        <f>IF($E45=M$3,$G45,0)-IF($H45=M$3,$J45,0)</f>
        <v/>
      </c>
      <c r="N45" s="47">
        <f>IF($E45=N$3,$G45,0)-IF($H45=N$3,$J45,0)</f>
        <v/>
      </c>
      <c r="O45" s="47">
        <f>IF($E45=O$3,$G45,0)-IF($H45=O$3,$J45,0)</f>
        <v/>
      </c>
      <c r="P45" s="47">
        <f>IF($E45=P$3,$G45,0)-IF($H45=P$3,$J45,0)</f>
        <v/>
      </c>
      <c r="Q45" s="47">
        <f>IF($E45=Q$3,$G45,0)-IF($H45=Q$3,$J45,0)</f>
        <v/>
      </c>
      <c r="R45" s="47">
        <f>IF($E45=R$3,$G45,0)-IF($H45=R$3,$J45,0)</f>
        <v/>
      </c>
      <c r="S45" s="47">
        <f>IF($E45=S$3,$G45,0)-IF($H45=S$3,$J45,0)</f>
        <v/>
      </c>
      <c r="T45" s="47">
        <f>IF($E45=T$3,$G45,0)-IF($H45=T$3,$J45,0)</f>
        <v/>
      </c>
      <c r="U45" s="47">
        <f>IF($E45=U$3,$G45,0)-IF($H45=U$3,$J45,0)</f>
        <v/>
      </c>
      <c r="V45" s="47">
        <f>IF($E45=V$3,$G45,0)-IF($H45=V$3,$J45,0)</f>
        <v/>
      </c>
      <c r="W45" s="47">
        <f>IF($E45=W$3,$G45,0)-IF($H45=W$3,$J45,0)</f>
        <v/>
      </c>
      <c r="X45" s="47">
        <f>IF($E45=X$3,$G45,0)-IF($H45=X$3,$J45,0)</f>
        <v/>
      </c>
      <c r="Y45" s="47">
        <f>IF($E45=Y$3,$G45,0)-IF($H45=Y$3,$J45,0)</f>
        <v/>
      </c>
      <c r="Z45" s="47">
        <f>IF($E45=Z$3,$G45,0)-IF($H45=Z$3,$J45,0)</f>
        <v/>
      </c>
      <c r="AA45" s="47">
        <f>IF($E45=AA$3,$G45,0)-IF($H45=AA$3,$J45,0)</f>
        <v/>
      </c>
      <c r="AB45" s="47">
        <f>IF($E45=AB$3,$G45,0)-IF($H45=AB$3,$J45,0)</f>
        <v/>
      </c>
      <c r="AC45" s="47">
        <f>IF($E45=AC$3,$G45,0)-IF($H45=AC$3,$J45,0)</f>
        <v/>
      </c>
      <c r="AD45" s="47">
        <f>IF($E45=AD$3,$G45,0)-IF($H45=AD$3,$J45,0)</f>
        <v/>
      </c>
      <c r="AE45" s="47">
        <f>IF($E45=AE$3,$G45,0)-IF($H45=AE$3,$J45,0)</f>
        <v/>
      </c>
      <c r="AF45" s="47">
        <f>IF($E45=AF$3,$G45,0)-IF($H45=AF$3,$J45,0)</f>
        <v/>
      </c>
      <c r="AG45" s="47">
        <f>IF($E45=AG$3,$G45,0)-IF($H45=AG$3,$J45,0)</f>
        <v/>
      </c>
      <c r="AH45" s="47">
        <f>IF($E45=AH$3,$G45,0)-IF($H45=AH$3,$J45,0)</f>
        <v/>
      </c>
      <c r="AI45" s="47">
        <f>IF($E45=AI$3,$G45,0)-IF($H45=AI$3,$J45,0)</f>
        <v/>
      </c>
      <c r="AJ45" s="47">
        <f>IF($E45=AJ$3,$G45,0)-IF($H45=AJ$3,$J45,0)</f>
        <v/>
      </c>
      <c r="AK45" s="47">
        <f>IF($E45=AK$3,$G45,0)-IF($H45=AK$3,$J45,0)</f>
        <v/>
      </c>
      <c r="AL45" s="48">
        <f>IF($E45=AL$3,$G45,0)-IF($H45=AL$3,$J45,0)</f>
        <v/>
      </c>
      <c r="AM45" s="46">
        <f>-IF($E45=AM$3,$G45,0)+IF($H45=AM$3,$J45,0)</f>
        <v/>
      </c>
      <c r="AN45" s="47">
        <f>-IF($E45=AN$3,$G45,0)+IF($H45=AN$3,$J45,0)</f>
        <v/>
      </c>
      <c r="AO45" s="48">
        <f>-IF($E45=AO$3,$G45,0)+IF($H45=AO$3,$J45,0)</f>
        <v/>
      </c>
      <c r="AP45" s="46">
        <f>IF($E45=AP$3,$G45,0)-IF($H45=AP$3,$J45,0)</f>
        <v/>
      </c>
      <c r="AQ45" s="47">
        <f>IF($E45=AQ$3,$G45,0)-IF($H45=AQ$3,$J45,0)</f>
        <v/>
      </c>
      <c r="AR45" s="47">
        <f>IF($E45=AR$3,$G45,0)-IF($H45=AR$3,$J45,0)</f>
        <v/>
      </c>
      <c r="AS45" s="47">
        <f>IF($E45=AS$3,$G45,0)-IF($H45=AS$3,$J45,0)</f>
        <v/>
      </c>
      <c r="AT45" s="47">
        <f>IF($E45=AT$3,$G45,0)-IF($H45=AT$3,$J45,0)</f>
        <v/>
      </c>
      <c r="AU45" s="47">
        <f>IF($E45=AU$3,$G45,0)-IF($H45=AU$3,$J45,0)</f>
        <v/>
      </c>
      <c r="AV45" s="47">
        <f>IF($E45=AV$3,$G45,0)-IF($H45=AV$3,$J45,0)</f>
        <v/>
      </c>
      <c r="AW45" s="47">
        <f>IF($E45=AW$3,$G45,0)-IF($H45=AW$3,$J45,0)</f>
        <v/>
      </c>
      <c r="AX45" s="47">
        <f>IF($E45=AX$3,$G45,0)-IF($H45=AX$3,$J45,0)</f>
        <v/>
      </c>
      <c r="AY45" s="47">
        <f>IF($E45=AY$3,$G45,0)-IF($H45=AY$3,$J45,0)</f>
        <v/>
      </c>
      <c r="AZ45" s="47">
        <f>IF($E45=AZ$3,$G45,0)-IF($H45=AZ$3,$J45,0)</f>
        <v/>
      </c>
      <c r="BA45" s="47">
        <f>IF($E45=BA$3,$G45,0)-IF($H45=BA$3,$J45,0)</f>
        <v/>
      </c>
      <c r="BB45" s="47">
        <f>IF($E45=BB$3,$G45,0)-IF($H45=BB$3,$J45,0)</f>
        <v/>
      </c>
      <c r="BC45" s="47">
        <f>IF($E45=BC$3,$G45,0)-IF($H45=BC$3,$J45,0)</f>
        <v/>
      </c>
      <c r="BD45" s="47">
        <f>IF($E45=BD$3,$G45,0)-IF($H45=BD$3,$J45,0)</f>
        <v/>
      </c>
      <c r="BE45" s="47">
        <f>IF($E45=BE$3,$G45,0)-IF($H45=BE$3,$J45,0)</f>
        <v/>
      </c>
      <c r="BF45" s="47">
        <f>IF($E45=BF$3,$G45,0)-IF($H45=BF$3,$J45,0)</f>
        <v/>
      </c>
      <c r="BG45" s="47">
        <f>IF($E45=BG$3,$G45,0)-IF($H45=BG$3,$J45,0)</f>
        <v/>
      </c>
      <c r="BH45" s="47">
        <f>IF($E45=BH$3,$G45,0)-IF($H45=BH$3,$J45,0)</f>
        <v/>
      </c>
      <c r="BI45" s="47">
        <f>IF($E45=BI$3,$G45,0)-IF($H45=BI$3,$J45,0)</f>
        <v/>
      </c>
      <c r="BJ45" s="47">
        <f>IF($E45=BJ$3,$G45,0)-IF($H45=BJ$3,$J45,0)</f>
        <v/>
      </c>
      <c r="BK45" s="47">
        <f>IF($E45=BK$3,$G45,0)-IF($H45=BK$3,$J45,0)</f>
        <v/>
      </c>
      <c r="BL45" s="46">
        <f>-IF($E45=BL$3,$G45,0)+IF($H45=BL$3,$J45,0)</f>
        <v/>
      </c>
      <c r="BM45" s="47">
        <f>-IF($E45=BM$3,$G45,0)+IF($H45=BM$3,$J45,0)</f>
        <v/>
      </c>
      <c r="BN45" s="47">
        <f>-IF($E45=BN$3,$G45,0)+IF($H45=BN$3,$J45,0)</f>
        <v/>
      </c>
      <c r="BO45" s="47">
        <f>-IF($E45=BO$3,$G45,0)+IF($H45=BO$3,$J45,0)</f>
        <v/>
      </c>
      <c r="BP45" s="47">
        <f>-IF($E45=BP$3,$G45,0)+IF($H45=BP$3,$J45,0)</f>
        <v/>
      </c>
      <c r="BQ45" s="47">
        <f>-IF($E45=BQ$3,$G45,0)+IF($H45=BQ$3,$J45,0)</f>
        <v/>
      </c>
      <c r="BR45" s="47">
        <f>-IF($E45=BR$3,$G45,0)+IF($H45=BR$3,$J45,0)</f>
        <v/>
      </c>
      <c r="BS45" s="47">
        <f>-IF($E45=BS$3,$G45,0)+IF($H45=BS$3,$J45,0)</f>
        <v/>
      </c>
      <c r="BT45" s="47">
        <f>-IF($E45=BT$3,$G45,0)+IF($H45=BT$3,$J45,0)</f>
        <v/>
      </c>
      <c r="BU45" s="46">
        <f>+G45-J45</f>
        <v/>
      </c>
      <c r="BV45" s="48">
        <f>-IF($E45=BV$3,$G45,0)+IF($H45=BV$3,$J45,0)</f>
        <v/>
      </c>
      <c r="BW45" s="3" t="n"/>
    </row>
    <row r="46" ht="15.75" customHeight="1" s="214">
      <c r="A46" s="7" t="n"/>
      <c r="B46" s="8" t="n">
        <v>2</v>
      </c>
      <c r="C46" s="9" t="n">
        <v>2</v>
      </c>
      <c r="D46" s="10" t="inlineStr">
        <is>
          <t>中尾洋一へ地代振込</t>
        </is>
      </c>
      <c r="E46" s="247" t="n">
        <v>520</v>
      </c>
      <c r="F46" s="11">
        <f>IF(E46="","",IF(ISNA(VLOOKUP(E46,科目コード表!$C$4:$D$67,2,FALSE)),"該当科目なし",VLOOKUP(E46,科目コード表!$C$4:$D$67,2,FALSE)))</f>
        <v/>
      </c>
      <c r="G46" s="38" t="n">
        <v>20000</v>
      </c>
      <c r="H46" s="248" t="n"/>
      <c r="I46" s="11">
        <f>IF(H46="","",IF(ISNA(VLOOKUP(H46,科目コード表!$C$4:$D$67,2,FALSE)),"該当科目なし",VLOOKUP(H46,科目コード表!$C$4:$D$67,2,FALSE)))</f>
        <v/>
      </c>
      <c r="J46" s="40" t="n"/>
      <c r="L46" s="46">
        <f>IF($E46=L$3,$G46,0)-IF($H46=L$3,$J46,0)</f>
        <v/>
      </c>
      <c r="M46" s="47">
        <f>IF($E46=M$3,$G46,0)-IF($H46=M$3,$J46,0)</f>
        <v/>
      </c>
      <c r="N46" s="47">
        <f>IF($E46=N$3,$G46,0)-IF($H46=N$3,$J46,0)</f>
        <v/>
      </c>
      <c r="O46" s="47">
        <f>IF($E46=O$3,$G46,0)-IF($H46=O$3,$J46,0)</f>
        <v/>
      </c>
      <c r="P46" s="47">
        <f>IF($E46=P$3,$G46,0)-IF($H46=P$3,$J46,0)</f>
        <v/>
      </c>
      <c r="Q46" s="47">
        <f>IF($E46=Q$3,$G46,0)-IF($H46=Q$3,$J46,0)</f>
        <v/>
      </c>
      <c r="R46" s="47">
        <f>IF($E46=R$3,$G46,0)-IF($H46=R$3,$J46,0)</f>
        <v/>
      </c>
      <c r="S46" s="47">
        <f>IF($E46=S$3,$G46,0)-IF($H46=S$3,$J46,0)</f>
        <v/>
      </c>
      <c r="T46" s="47">
        <f>IF($E46=T$3,$G46,0)-IF($H46=T$3,$J46,0)</f>
        <v/>
      </c>
      <c r="U46" s="47">
        <f>IF($E46=U$3,$G46,0)-IF($H46=U$3,$J46,0)</f>
        <v/>
      </c>
      <c r="V46" s="47">
        <f>IF($E46=V$3,$G46,0)-IF($H46=V$3,$J46,0)</f>
        <v/>
      </c>
      <c r="W46" s="47">
        <f>IF($E46=W$3,$G46,0)-IF($H46=W$3,$J46,0)</f>
        <v/>
      </c>
      <c r="X46" s="47">
        <f>IF($E46=X$3,$G46,0)-IF($H46=X$3,$J46,0)</f>
        <v/>
      </c>
      <c r="Y46" s="47">
        <f>IF($E46=Y$3,$G46,0)-IF($H46=Y$3,$J46,0)</f>
        <v/>
      </c>
      <c r="Z46" s="47">
        <f>IF($E46=Z$3,$G46,0)-IF($H46=Z$3,$J46,0)</f>
        <v/>
      </c>
      <c r="AA46" s="47">
        <f>IF($E46=AA$3,$G46,0)-IF($H46=AA$3,$J46,0)</f>
        <v/>
      </c>
      <c r="AB46" s="47">
        <f>IF($E46=AB$3,$G46,0)-IF($H46=AB$3,$J46,0)</f>
        <v/>
      </c>
      <c r="AC46" s="47">
        <f>IF($E46=AC$3,$G46,0)-IF($H46=AC$3,$J46,0)</f>
        <v/>
      </c>
      <c r="AD46" s="47">
        <f>IF($E46=AD$3,$G46,0)-IF($H46=AD$3,$J46,0)</f>
        <v/>
      </c>
      <c r="AE46" s="47">
        <f>IF($E46=AE$3,$G46,0)-IF($H46=AE$3,$J46,0)</f>
        <v/>
      </c>
      <c r="AF46" s="47">
        <f>IF($E46=AF$3,$G46,0)-IF($H46=AF$3,$J46,0)</f>
        <v/>
      </c>
      <c r="AG46" s="47">
        <f>IF($E46=AG$3,$G46,0)-IF($H46=AG$3,$J46,0)</f>
        <v/>
      </c>
      <c r="AH46" s="47">
        <f>IF($E46=AH$3,$G46,0)-IF($H46=AH$3,$J46,0)</f>
        <v/>
      </c>
      <c r="AI46" s="47">
        <f>IF($E46=AI$3,$G46,0)-IF($H46=AI$3,$J46,0)</f>
        <v/>
      </c>
      <c r="AJ46" s="47">
        <f>IF($E46=AJ$3,$G46,0)-IF($H46=AJ$3,$J46,0)</f>
        <v/>
      </c>
      <c r="AK46" s="47">
        <f>IF($E46=AK$3,$G46,0)-IF($H46=AK$3,$J46,0)</f>
        <v/>
      </c>
      <c r="AL46" s="48">
        <f>IF($E46=AL$3,$G46,0)-IF($H46=AL$3,$J46,0)</f>
        <v/>
      </c>
      <c r="AM46" s="46">
        <f>-IF($E46=AM$3,$G46,0)+IF($H46=AM$3,$J46,0)</f>
        <v/>
      </c>
      <c r="AN46" s="47">
        <f>-IF($E46=AN$3,$G46,0)+IF($H46=AN$3,$J46,0)</f>
        <v/>
      </c>
      <c r="AO46" s="48">
        <f>-IF($E46=AO$3,$G46,0)+IF($H46=AO$3,$J46,0)</f>
        <v/>
      </c>
      <c r="AP46" s="46">
        <f>IF($E46=AP$3,$G46,0)-IF($H46=AP$3,$J46,0)</f>
        <v/>
      </c>
      <c r="AQ46" s="47">
        <f>IF($E46=AQ$3,$G46,0)-IF($H46=AQ$3,$J46,0)</f>
        <v/>
      </c>
      <c r="AR46" s="47">
        <f>IF($E46=AR$3,$G46,0)-IF($H46=AR$3,$J46,0)</f>
        <v/>
      </c>
      <c r="AS46" s="47">
        <f>IF($E46=AS$3,$G46,0)-IF($H46=AS$3,$J46,0)</f>
        <v/>
      </c>
      <c r="AT46" s="47">
        <f>IF($E46=AT$3,$G46,0)-IF($H46=AT$3,$J46,0)</f>
        <v/>
      </c>
      <c r="AU46" s="47">
        <f>IF($E46=AU$3,$G46,0)-IF($H46=AU$3,$J46,0)</f>
        <v/>
      </c>
      <c r="AV46" s="47">
        <f>IF($E46=AV$3,$G46,0)-IF($H46=AV$3,$J46,0)</f>
        <v/>
      </c>
      <c r="AW46" s="47">
        <f>IF($E46=AW$3,$G46,0)-IF($H46=AW$3,$J46,0)</f>
        <v/>
      </c>
      <c r="AX46" s="47">
        <f>IF($E46=AX$3,$G46,0)-IF($H46=AX$3,$J46,0)</f>
        <v/>
      </c>
      <c r="AY46" s="47">
        <f>IF($E46=AY$3,$G46,0)-IF($H46=AY$3,$J46,0)</f>
        <v/>
      </c>
      <c r="AZ46" s="47">
        <f>IF($E46=AZ$3,$G46,0)-IF($H46=AZ$3,$J46,0)</f>
        <v/>
      </c>
      <c r="BA46" s="47">
        <f>IF($E46=BA$3,$G46,0)-IF($H46=BA$3,$J46,0)</f>
        <v/>
      </c>
      <c r="BB46" s="47">
        <f>IF($E46=BB$3,$G46,0)-IF($H46=BB$3,$J46,0)</f>
        <v/>
      </c>
      <c r="BC46" s="47">
        <f>IF($E46=BC$3,$G46,0)-IF($H46=BC$3,$J46,0)</f>
        <v/>
      </c>
      <c r="BD46" s="47">
        <f>IF($E46=BD$3,$G46,0)-IF($H46=BD$3,$J46,0)</f>
        <v/>
      </c>
      <c r="BE46" s="47">
        <f>IF($E46=BE$3,$G46,0)-IF($H46=BE$3,$J46,0)</f>
        <v/>
      </c>
      <c r="BF46" s="47">
        <f>IF($E46=BF$3,$G46,0)-IF($H46=BF$3,$J46,0)</f>
        <v/>
      </c>
      <c r="BG46" s="47">
        <f>IF($E46=BG$3,$G46,0)-IF($H46=BG$3,$J46,0)</f>
        <v/>
      </c>
      <c r="BH46" s="47">
        <f>IF($E46=BH$3,$G46,0)-IF($H46=BH$3,$J46,0)</f>
        <v/>
      </c>
      <c r="BI46" s="47">
        <f>IF($E46=BI$3,$G46,0)-IF($H46=BI$3,$J46,0)</f>
        <v/>
      </c>
      <c r="BJ46" s="47">
        <f>IF($E46=BJ$3,$G46,0)-IF($H46=BJ$3,$J46,0)</f>
        <v/>
      </c>
      <c r="BK46" s="47">
        <f>IF($E46=BK$3,$G46,0)-IF($H46=BK$3,$J46,0)</f>
        <v/>
      </c>
      <c r="BL46" s="46">
        <f>-IF($E46=BL$3,$G46,0)+IF($H46=BL$3,$J46,0)</f>
        <v/>
      </c>
      <c r="BM46" s="47">
        <f>-IF($E46=BM$3,$G46,0)+IF($H46=BM$3,$J46,0)</f>
        <v/>
      </c>
      <c r="BN46" s="47">
        <f>-IF($E46=BN$3,$G46,0)+IF($H46=BN$3,$J46,0)</f>
        <v/>
      </c>
      <c r="BO46" s="47">
        <f>-IF($E46=BO$3,$G46,0)+IF($H46=BO$3,$J46,0)</f>
        <v/>
      </c>
      <c r="BP46" s="47">
        <f>-IF($E46=BP$3,$G46,0)+IF($H46=BP$3,$J46,0)</f>
        <v/>
      </c>
      <c r="BQ46" s="47">
        <f>-IF($E46=BQ$3,$G46,0)+IF($H46=BQ$3,$J46,0)</f>
        <v/>
      </c>
      <c r="BR46" s="47">
        <f>-IF($E46=BR$3,$G46,0)+IF($H46=BR$3,$J46,0)</f>
        <v/>
      </c>
      <c r="BS46" s="47">
        <f>-IF($E46=BS$3,$G46,0)+IF($H46=BS$3,$J46,0)</f>
        <v/>
      </c>
      <c r="BT46" s="47">
        <f>-IF($E46=BT$3,$G46,0)+IF($H46=BT$3,$J46,0)</f>
        <v/>
      </c>
      <c r="BU46" s="46">
        <f>+G46-J46</f>
        <v/>
      </c>
      <c r="BV46" s="48">
        <f>-IF($E46=BV$3,$G46,0)+IF($H46=BV$3,$J46,0)</f>
        <v/>
      </c>
      <c r="BW46" s="3" t="n"/>
    </row>
    <row r="47" ht="15.75" customHeight="1" s="214">
      <c r="A47" s="7" t="n"/>
      <c r="B47" s="8" t="n">
        <v>2</v>
      </c>
      <c r="C47" s="9" t="n">
        <v>3</v>
      </c>
      <c r="D47" s="10" t="inlineStr">
        <is>
          <t>エポス 水道料金</t>
        </is>
      </c>
      <c r="E47" s="247" t="n">
        <v>507</v>
      </c>
      <c r="F47" s="11">
        <f>IF(E47="","",IF(ISNA(VLOOKUP(E47,科目コード表!$C$4:$D$67,2,FALSE)),"該当科目なし",VLOOKUP(E47,科目コード表!$C$4:$D$67,2,FALSE)))</f>
        <v/>
      </c>
      <c r="G47" s="38" t="n">
        <v>2618</v>
      </c>
      <c r="H47" s="248" t="n"/>
      <c r="I47" s="11">
        <f>IF(H47="","",IF(ISNA(VLOOKUP(H47,科目コード表!$C$4:$D$67,2,FALSE)),"該当科目なし",VLOOKUP(H47,科目コード表!$C$4:$D$67,2,FALSE)))</f>
        <v/>
      </c>
      <c r="J47" s="40" t="n"/>
      <c r="L47" s="46">
        <f>IF($E47=L$3,$G47,0)-IF($H47=L$3,$J47,0)</f>
        <v/>
      </c>
      <c r="M47" s="47">
        <f>IF($E47=M$3,$G47,0)-IF($H47=M$3,$J47,0)</f>
        <v/>
      </c>
      <c r="N47" s="47">
        <f>IF($E47=N$3,$G47,0)-IF($H47=N$3,$J47,0)</f>
        <v/>
      </c>
      <c r="O47" s="47">
        <f>IF($E47=O$3,$G47,0)-IF($H47=O$3,$J47,0)</f>
        <v/>
      </c>
      <c r="P47" s="47">
        <f>IF($E47=P$3,$G47,0)-IF($H47=P$3,$J47,0)</f>
        <v/>
      </c>
      <c r="Q47" s="47">
        <f>IF($E47=Q$3,$G47,0)-IF($H47=Q$3,$J47,0)</f>
        <v/>
      </c>
      <c r="R47" s="47">
        <f>IF($E47=R$3,$G47,0)-IF($H47=R$3,$J47,0)</f>
        <v/>
      </c>
      <c r="S47" s="47">
        <f>IF($E47=S$3,$G47,0)-IF($H47=S$3,$J47,0)</f>
        <v/>
      </c>
      <c r="T47" s="47">
        <f>IF($E47=T$3,$G47,0)-IF($H47=T$3,$J47,0)</f>
        <v/>
      </c>
      <c r="U47" s="47">
        <f>IF($E47=U$3,$G47,0)-IF($H47=U$3,$J47,0)</f>
        <v/>
      </c>
      <c r="V47" s="47">
        <f>IF($E47=V$3,$G47,0)-IF($H47=V$3,$J47,0)</f>
        <v/>
      </c>
      <c r="W47" s="47">
        <f>IF($E47=W$3,$G47,0)-IF($H47=W$3,$J47,0)</f>
        <v/>
      </c>
      <c r="X47" s="47">
        <f>IF($E47=X$3,$G47,0)-IF($H47=X$3,$J47,0)</f>
        <v/>
      </c>
      <c r="Y47" s="47">
        <f>IF($E47=Y$3,$G47,0)-IF($H47=Y$3,$J47,0)</f>
        <v/>
      </c>
      <c r="Z47" s="47">
        <f>IF($E47=Z$3,$G47,0)-IF($H47=Z$3,$J47,0)</f>
        <v/>
      </c>
      <c r="AA47" s="47">
        <f>IF($E47=AA$3,$G47,0)-IF($H47=AA$3,$J47,0)</f>
        <v/>
      </c>
      <c r="AB47" s="47">
        <f>IF($E47=AB$3,$G47,0)-IF($H47=AB$3,$J47,0)</f>
        <v/>
      </c>
      <c r="AC47" s="47">
        <f>IF($E47=AC$3,$G47,0)-IF($H47=AC$3,$J47,0)</f>
        <v/>
      </c>
      <c r="AD47" s="47">
        <f>IF($E47=AD$3,$G47,0)-IF($H47=AD$3,$J47,0)</f>
        <v/>
      </c>
      <c r="AE47" s="47">
        <f>IF($E47=AE$3,$G47,0)-IF($H47=AE$3,$J47,0)</f>
        <v/>
      </c>
      <c r="AF47" s="47">
        <f>IF($E47=AF$3,$G47,0)-IF($H47=AF$3,$J47,0)</f>
        <v/>
      </c>
      <c r="AG47" s="47">
        <f>IF($E47=AG$3,$G47,0)-IF($H47=AG$3,$J47,0)</f>
        <v/>
      </c>
      <c r="AH47" s="47">
        <f>IF($E47=AH$3,$G47,0)-IF($H47=AH$3,$J47,0)</f>
        <v/>
      </c>
      <c r="AI47" s="47">
        <f>IF($E47=AI$3,$G47,0)-IF($H47=AI$3,$J47,0)</f>
        <v/>
      </c>
      <c r="AJ47" s="47">
        <f>IF($E47=AJ$3,$G47,0)-IF($H47=AJ$3,$J47,0)</f>
        <v/>
      </c>
      <c r="AK47" s="47">
        <f>IF($E47=AK$3,$G47,0)-IF($H47=AK$3,$J47,0)</f>
        <v/>
      </c>
      <c r="AL47" s="48">
        <f>IF($E47=AL$3,$G47,0)-IF($H47=AL$3,$J47,0)</f>
        <v/>
      </c>
      <c r="AM47" s="46">
        <f>-IF($E47=AM$3,$G47,0)+IF($H47=AM$3,$J47,0)</f>
        <v/>
      </c>
      <c r="AN47" s="47">
        <f>-IF($E47=AN$3,$G47,0)+IF($H47=AN$3,$J47,0)</f>
        <v/>
      </c>
      <c r="AO47" s="48">
        <f>-IF($E47=AO$3,$G47,0)+IF($H47=AO$3,$J47,0)</f>
        <v/>
      </c>
      <c r="AP47" s="46">
        <f>IF($E47=AP$3,$G47,0)-IF($H47=AP$3,$J47,0)</f>
        <v/>
      </c>
      <c r="AQ47" s="47">
        <f>IF($E47=AQ$3,$G47,0)-IF($H47=AQ$3,$J47,0)</f>
        <v/>
      </c>
      <c r="AR47" s="47">
        <f>IF($E47=AR$3,$G47,0)-IF($H47=AR$3,$J47,0)</f>
        <v/>
      </c>
      <c r="AS47" s="47">
        <f>IF($E47=AS$3,$G47,0)-IF($H47=AS$3,$J47,0)</f>
        <v/>
      </c>
      <c r="AT47" s="47">
        <f>IF($E47=AT$3,$G47,0)-IF($H47=AT$3,$J47,0)</f>
        <v/>
      </c>
      <c r="AU47" s="47">
        <f>IF($E47=AU$3,$G47,0)-IF($H47=AU$3,$J47,0)</f>
        <v/>
      </c>
      <c r="AV47" s="47">
        <f>IF($E47=AV$3,$G47,0)-IF($H47=AV$3,$J47,0)</f>
        <v/>
      </c>
      <c r="AW47" s="47">
        <f>IF($E47=AW$3,$G47,0)-IF($H47=AW$3,$J47,0)</f>
        <v/>
      </c>
      <c r="AX47" s="47">
        <f>IF($E47=AX$3,$G47,0)-IF($H47=AX$3,$J47,0)</f>
        <v/>
      </c>
      <c r="AY47" s="47">
        <f>IF($E47=AY$3,$G47,0)-IF($H47=AY$3,$J47,0)</f>
        <v/>
      </c>
      <c r="AZ47" s="47">
        <f>IF($E47=AZ$3,$G47,0)-IF($H47=AZ$3,$J47,0)</f>
        <v/>
      </c>
      <c r="BA47" s="47">
        <f>IF($E47=BA$3,$G47,0)-IF($H47=BA$3,$J47,0)</f>
        <v/>
      </c>
      <c r="BB47" s="47">
        <f>IF($E47=BB$3,$G47,0)-IF($H47=BB$3,$J47,0)</f>
        <v/>
      </c>
      <c r="BC47" s="47">
        <f>IF($E47=BC$3,$G47,0)-IF($H47=BC$3,$J47,0)</f>
        <v/>
      </c>
      <c r="BD47" s="47">
        <f>IF($E47=BD$3,$G47,0)-IF($H47=BD$3,$J47,0)</f>
        <v/>
      </c>
      <c r="BE47" s="47">
        <f>IF($E47=BE$3,$G47,0)-IF($H47=BE$3,$J47,0)</f>
        <v/>
      </c>
      <c r="BF47" s="47">
        <f>IF($E47=BF$3,$G47,0)-IF($H47=BF$3,$J47,0)</f>
        <v/>
      </c>
      <c r="BG47" s="47">
        <f>IF($E47=BG$3,$G47,0)-IF($H47=BG$3,$J47,0)</f>
        <v/>
      </c>
      <c r="BH47" s="47">
        <f>IF($E47=BH$3,$G47,0)-IF($H47=BH$3,$J47,0)</f>
        <v/>
      </c>
      <c r="BI47" s="47">
        <f>IF($E47=BI$3,$G47,0)-IF($H47=BI$3,$J47,0)</f>
        <v/>
      </c>
      <c r="BJ47" s="47">
        <f>IF($E47=BJ$3,$G47,0)-IF($H47=BJ$3,$J47,0)</f>
        <v/>
      </c>
      <c r="BK47" s="47">
        <f>IF($E47=BK$3,$G47,0)-IF($H47=BK$3,$J47,0)</f>
        <v/>
      </c>
      <c r="BL47" s="46">
        <f>-IF($E47=BL$3,$G47,0)+IF($H47=BL$3,$J47,0)</f>
        <v/>
      </c>
      <c r="BM47" s="47">
        <f>-IF($E47=BM$3,$G47,0)+IF($H47=BM$3,$J47,0)</f>
        <v/>
      </c>
      <c r="BN47" s="47">
        <f>-IF($E47=BN$3,$G47,0)+IF($H47=BN$3,$J47,0)</f>
        <v/>
      </c>
      <c r="BO47" s="47">
        <f>-IF($E47=BO$3,$G47,0)+IF($H47=BO$3,$J47,0)</f>
        <v/>
      </c>
      <c r="BP47" s="47">
        <f>-IF($E47=BP$3,$G47,0)+IF($H47=BP$3,$J47,0)</f>
        <v/>
      </c>
      <c r="BQ47" s="47">
        <f>-IF($E47=BQ$3,$G47,0)+IF($H47=BQ$3,$J47,0)</f>
        <v/>
      </c>
      <c r="BR47" s="47">
        <f>-IF($E47=BR$3,$G47,0)+IF($H47=BR$3,$J47,0)</f>
        <v/>
      </c>
      <c r="BS47" s="47">
        <f>-IF($E47=BS$3,$G47,0)+IF($H47=BS$3,$J47,0)</f>
        <v/>
      </c>
      <c r="BT47" s="47">
        <f>-IF($E47=BT$3,$G47,0)+IF($H47=BT$3,$J47,0)</f>
        <v/>
      </c>
      <c r="BU47" s="46">
        <f>+G47-J47</f>
        <v/>
      </c>
      <c r="BV47" s="48">
        <f>-IF($E47=BV$3,$G47,0)+IF($H47=BV$3,$J47,0)</f>
        <v/>
      </c>
      <c r="BW47" s="3" t="n"/>
    </row>
    <row r="48" ht="15.75" customHeight="1" s="214">
      <c r="A48" s="7" t="n"/>
      <c r="B48" s="8" t="n">
        <v>2</v>
      </c>
      <c r="C48" s="9" t="n">
        <v>6</v>
      </c>
      <c r="D48" s="10" t="inlineStr">
        <is>
          <t>年金生活者・定年退職者のための確定申告</t>
        </is>
      </c>
      <c r="E48" s="247" t="n">
        <v>524</v>
      </c>
      <c r="F48" s="11">
        <f>IF(E48="","",IF(ISNA(VLOOKUP(E48,科目コード表!$C$4:$D$67,2,FALSE)),"該当科目なし",VLOOKUP(E48,科目コード表!$C$4:$D$67,2,FALSE)))</f>
        <v/>
      </c>
      <c r="G48" s="38" t="n">
        <v>1650</v>
      </c>
      <c r="H48" s="248" t="n"/>
      <c r="I48" s="11">
        <f>IF(H48="","",IF(ISNA(VLOOKUP(H48,科目コード表!$C$4:$D$67,2,FALSE)),"該当科目なし",VLOOKUP(H48,科目コード表!$C$4:$D$67,2,FALSE)))</f>
        <v/>
      </c>
      <c r="J48" s="40" t="n"/>
      <c r="L48" s="46">
        <f>IF($E48=L$3,$G48,0)-IF($H48=L$3,$J48,0)</f>
        <v/>
      </c>
      <c r="M48" s="47">
        <f>IF($E48=M$3,$G48,0)-IF($H48=M$3,$J48,0)</f>
        <v/>
      </c>
      <c r="N48" s="47">
        <f>IF($E48=N$3,$G48,0)-IF($H48=N$3,$J48,0)</f>
        <v/>
      </c>
      <c r="O48" s="47">
        <f>IF($E48=O$3,$G48,0)-IF($H48=O$3,$J48,0)</f>
        <v/>
      </c>
      <c r="P48" s="47">
        <f>IF($E48=P$3,$G48,0)-IF($H48=P$3,$J48,0)</f>
        <v/>
      </c>
      <c r="Q48" s="47">
        <f>IF($E48=Q$3,$G48,0)-IF($H48=Q$3,$J48,0)</f>
        <v/>
      </c>
      <c r="R48" s="47">
        <f>IF($E48=R$3,$G48,0)-IF($H48=R$3,$J48,0)</f>
        <v/>
      </c>
      <c r="S48" s="47">
        <f>IF($E48=S$3,$G48,0)-IF($H48=S$3,$J48,0)</f>
        <v/>
      </c>
      <c r="T48" s="47">
        <f>IF($E48=T$3,$G48,0)-IF($H48=T$3,$J48,0)</f>
        <v/>
      </c>
      <c r="U48" s="47">
        <f>IF($E48=U$3,$G48,0)-IF($H48=U$3,$J48,0)</f>
        <v/>
      </c>
      <c r="V48" s="47">
        <f>IF($E48=V$3,$G48,0)-IF($H48=V$3,$J48,0)</f>
        <v/>
      </c>
      <c r="W48" s="47">
        <f>IF($E48=W$3,$G48,0)-IF($H48=W$3,$J48,0)</f>
        <v/>
      </c>
      <c r="X48" s="47">
        <f>IF($E48=X$3,$G48,0)-IF($H48=X$3,$J48,0)</f>
        <v/>
      </c>
      <c r="Y48" s="47">
        <f>IF($E48=Y$3,$G48,0)-IF($H48=Y$3,$J48,0)</f>
        <v/>
      </c>
      <c r="Z48" s="47">
        <f>IF($E48=Z$3,$G48,0)-IF($H48=Z$3,$J48,0)</f>
        <v/>
      </c>
      <c r="AA48" s="47">
        <f>IF($E48=AA$3,$G48,0)-IF($H48=AA$3,$J48,0)</f>
        <v/>
      </c>
      <c r="AB48" s="47">
        <f>IF($E48=AB$3,$G48,0)-IF($H48=AB$3,$J48,0)</f>
        <v/>
      </c>
      <c r="AC48" s="47">
        <f>IF($E48=AC$3,$G48,0)-IF($H48=AC$3,$J48,0)</f>
        <v/>
      </c>
      <c r="AD48" s="47">
        <f>IF($E48=AD$3,$G48,0)-IF($H48=AD$3,$J48,0)</f>
        <v/>
      </c>
      <c r="AE48" s="47">
        <f>IF($E48=AE$3,$G48,0)-IF($H48=AE$3,$J48,0)</f>
        <v/>
      </c>
      <c r="AF48" s="47">
        <f>IF($E48=AF$3,$G48,0)-IF($H48=AF$3,$J48,0)</f>
        <v/>
      </c>
      <c r="AG48" s="47">
        <f>IF($E48=AG$3,$G48,0)-IF($H48=AG$3,$J48,0)</f>
        <v/>
      </c>
      <c r="AH48" s="47">
        <f>IF($E48=AH$3,$G48,0)-IF($H48=AH$3,$J48,0)</f>
        <v/>
      </c>
      <c r="AI48" s="47">
        <f>IF($E48=AI$3,$G48,0)-IF($H48=AI$3,$J48,0)</f>
        <v/>
      </c>
      <c r="AJ48" s="47">
        <f>IF($E48=AJ$3,$G48,0)-IF($H48=AJ$3,$J48,0)</f>
        <v/>
      </c>
      <c r="AK48" s="47">
        <f>IF($E48=AK$3,$G48,0)-IF($H48=AK$3,$J48,0)</f>
        <v/>
      </c>
      <c r="AL48" s="48">
        <f>IF($E48=AL$3,$G48,0)-IF($H48=AL$3,$J48,0)</f>
        <v/>
      </c>
      <c r="AM48" s="46">
        <f>-IF($E48=AM$3,$G48,0)+IF($H48=AM$3,$J48,0)</f>
        <v/>
      </c>
      <c r="AN48" s="47">
        <f>-IF($E48=AN$3,$G48,0)+IF($H48=AN$3,$J48,0)</f>
        <v/>
      </c>
      <c r="AO48" s="48">
        <f>-IF($E48=AO$3,$G48,0)+IF($H48=AO$3,$J48,0)</f>
        <v/>
      </c>
      <c r="AP48" s="46">
        <f>IF($E48=AP$3,$G48,0)-IF($H48=AP$3,$J48,0)</f>
        <v/>
      </c>
      <c r="AQ48" s="47">
        <f>IF($E48=AQ$3,$G48,0)-IF($H48=AQ$3,$J48,0)</f>
        <v/>
      </c>
      <c r="AR48" s="47">
        <f>IF($E48=AR$3,$G48,0)-IF($H48=AR$3,$J48,0)</f>
        <v/>
      </c>
      <c r="AS48" s="47">
        <f>IF($E48=AS$3,$G48,0)-IF($H48=AS$3,$J48,0)</f>
        <v/>
      </c>
      <c r="AT48" s="47">
        <f>IF($E48=AT$3,$G48,0)-IF($H48=AT$3,$J48,0)</f>
        <v/>
      </c>
      <c r="AU48" s="47">
        <f>IF($E48=AU$3,$G48,0)-IF($H48=AU$3,$J48,0)</f>
        <v/>
      </c>
      <c r="AV48" s="47">
        <f>IF($E48=AV$3,$G48,0)-IF($H48=AV$3,$J48,0)</f>
        <v/>
      </c>
      <c r="AW48" s="47">
        <f>IF($E48=AW$3,$G48,0)-IF($H48=AW$3,$J48,0)</f>
        <v/>
      </c>
      <c r="AX48" s="47">
        <f>IF($E48=AX$3,$G48,0)-IF($H48=AX$3,$J48,0)</f>
        <v/>
      </c>
      <c r="AY48" s="47">
        <f>IF($E48=AY$3,$G48,0)-IF($H48=AY$3,$J48,0)</f>
        <v/>
      </c>
      <c r="AZ48" s="47">
        <f>IF($E48=AZ$3,$G48,0)-IF($H48=AZ$3,$J48,0)</f>
        <v/>
      </c>
      <c r="BA48" s="47">
        <f>IF($E48=BA$3,$G48,0)-IF($H48=BA$3,$J48,0)</f>
        <v/>
      </c>
      <c r="BB48" s="47">
        <f>IF($E48=BB$3,$G48,0)-IF($H48=BB$3,$J48,0)</f>
        <v/>
      </c>
      <c r="BC48" s="47">
        <f>IF($E48=BC$3,$G48,0)-IF($H48=BC$3,$J48,0)</f>
        <v/>
      </c>
      <c r="BD48" s="47">
        <f>IF($E48=BD$3,$G48,0)-IF($H48=BD$3,$J48,0)</f>
        <v/>
      </c>
      <c r="BE48" s="47">
        <f>IF($E48=BE$3,$G48,0)-IF($H48=BE$3,$J48,0)</f>
        <v/>
      </c>
      <c r="BF48" s="47">
        <f>IF($E48=BF$3,$G48,0)-IF($H48=BF$3,$J48,0)</f>
        <v/>
      </c>
      <c r="BG48" s="47">
        <f>IF($E48=BG$3,$G48,0)-IF($H48=BG$3,$J48,0)</f>
        <v/>
      </c>
      <c r="BH48" s="47">
        <f>IF($E48=BH$3,$G48,0)-IF($H48=BH$3,$J48,0)</f>
        <v/>
      </c>
      <c r="BI48" s="47">
        <f>IF($E48=BI$3,$G48,0)-IF($H48=BI$3,$J48,0)</f>
        <v/>
      </c>
      <c r="BJ48" s="47">
        <f>IF($E48=BJ$3,$G48,0)-IF($H48=BJ$3,$J48,0)</f>
        <v/>
      </c>
      <c r="BK48" s="47">
        <f>IF($E48=BK$3,$G48,0)-IF($H48=BK$3,$J48,0)</f>
        <v/>
      </c>
      <c r="BL48" s="46">
        <f>-IF($E48=BL$3,$G48,0)+IF($H48=BL$3,$J48,0)</f>
        <v/>
      </c>
      <c r="BM48" s="47">
        <f>-IF($E48=BM$3,$G48,0)+IF($H48=BM$3,$J48,0)</f>
        <v/>
      </c>
      <c r="BN48" s="47">
        <f>-IF($E48=BN$3,$G48,0)+IF($H48=BN$3,$J48,0)</f>
        <v/>
      </c>
      <c r="BO48" s="47">
        <f>-IF($E48=BO$3,$G48,0)+IF($H48=BO$3,$J48,0)</f>
        <v/>
      </c>
      <c r="BP48" s="47">
        <f>-IF($E48=BP$3,$G48,0)+IF($H48=BP$3,$J48,0)</f>
        <v/>
      </c>
      <c r="BQ48" s="47">
        <f>-IF($E48=BQ$3,$G48,0)+IF($H48=BQ$3,$J48,0)</f>
        <v/>
      </c>
      <c r="BR48" s="47">
        <f>-IF($E48=BR$3,$G48,0)+IF($H48=BR$3,$J48,0)</f>
        <v/>
      </c>
      <c r="BS48" s="47">
        <f>-IF($E48=BS$3,$G48,0)+IF($H48=BS$3,$J48,0)</f>
        <v/>
      </c>
      <c r="BT48" s="47">
        <f>-IF($E48=BT$3,$G48,0)+IF($H48=BT$3,$J48,0)</f>
        <v/>
      </c>
      <c r="BU48" s="46">
        <f>+G48-J48</f>
        <v/>
      </c>
      <c r="BV48" s="48">
        <f>-IF($E48=BV$3,$G48,0)+IF($H48=BV$3,$J48,0)</f>
        <v/>
      </c>
      <c r="BW48" s="3" t="n"/>
    </row>
    <row r="49" ht="15.75" customHeight="1" s="214">
      <c r="A49" s="7" t="n"/>
      <c r="B49" s="8" t="n">
        <v>2</v>
      </c>
      <c r="C49" s="9" t="n">
        <v>10</v>
      </c>
      <c r="D49" s="10" t="inlineStr">
        <is>
          <t xml:space="preserve"> 水切りワイパー</t>
        </is>
      </c>
      <c r="E49" s="247" t="n">
        <v>523</v>
      </c>
      <c r="F49" s="11">
        <f>IF(E49="","",IF(ISNA(VLOOKUP(E49,科目コード表!$C$4:$D$67,2,FALSE)),"該当科目なし",VLOOKUP(E49,科目コード表!$C$4:$D$67,2,FALSE)))</f>
        <v/>
      </c>
      <c r="G49" s="38" t="n">
        <v>729</v>
      </c>
      <c r="H49" s="248" t="n"/>
      <c r="I49" s="11">
        <f>IF(H49="","",IF(ISNA(VLOOKUP(H49,科目コード表!$C$4:$D$67,2,FALSE)),"該当科目なし",VLOOKUP(H49,科目コード表!$C$4:$D$67,2,FALSE)))</f>
        <v/>
      </c>
      <c r="J49" s="40" t="n"/>
      <c r="L49" s="46">
        <f>IF($E49=L$3,$G49,0)-IF($H49=L$3,$J49,0)</f>
        <v/>
      </c>
      <c r="M49" s="47">
        <f>IF($E49=M$3,$G49,0)-IF($H49=M$3,$J49,0)</f>
        <v/>
      </c>
      <c r="N49" s="47">
        <f>IF($E49=N$3,$G49,0)-IF($H49=N$3,$J49,0)</f>
        <v/>
      </c>
      <c r="O49" s="47">
        <f>IF($E49=O$3,$G49,0)-IF($H49=O$3,$J49,0)</f>
        <v/>
      </c>
      <c r="P49" s="47">
        <f>IF($E49=P$3,$G49,0)-IF($H49=P$3,$J49,0)</f>
        <v/>
      </c>
      <c r="Q49" s="47">
        <f>IF($E49=Q$3,$G49,0)-IF($H49=Q$3,$J49,0)</f>
        <v/>
      </c>
      <c r="R49" s="47">
        <f>IF($E49=R$3,$G49,0)-IF($H49=R$3,$J49,0)</f>
        <v/>
      </c>
      <c r="S49" s="47">
        <f>IF($E49=S$3,$G49,0)-IF($H49=S$3,$J49,0)</f>
        <v/>
      </c>
      <c r="T49" s="47">
        <f>IF($E49=T$3,$G49,0)-IF($H49=T$3,$J49,0)</f>
        <v/>
      </c>
      <c r="U49" s="47">
        <f>IF($E49=U$3,$G49,0)-IF($H49=U$3,$J49,0)</f>
        <v/>
      </c>
      <c r="V49" s="47">
        <f>IF($E49=V$3,$G49,0)-IF($H49=V$3,$J49,0)</f>
        <v/>
      </c>
      <c r="W49" s="47">
        <f>IF($E49=W$3,$G49,0)-IF($H49=W$3,$J49,0)</f>
        <v/>
      </c>
      <c r="X49" s="47">
        <f>IF($E49=X$3,$G49,0)-IF($H49=X$3,$J49,0)</f>
        <v/>
      </c>
      <c r="Y49" s="47">
        <f>IF($E49=Y$3,$G49,0)-IF($H49=Y$3,$J49,0)</f>
        <v/>
      </c>
      <c r="Z49" s="47">
        <f>IF($E49=Z$3,$G49,0)-IF($H49=Z$3,$J49,0)</f>
        <v/>
      </c>
      <c r="AA49" s="47">
        <f>IF($E49=AA$3,$G49,0)-IF($H49=AA$3,$J49,0)</f>
        <v/>
      </c>
      <c r="AB49" s="47">
        <f>IF($E49=AB$3,$G49,0)-IF($H49=AB$3,$J49,0)</f>
        <v/>
      </c>
      <c r="AC49" s="47">
        <f>IF($E49=AC$3,$G49,0)-IF($H49=AC$3,$J49,0)</f>
        <v/>
      </c>
      <c r="AD49" s="47">
        <f>IF($E49=AD$3,$G49,0)-IF($H49=AD$3,$J49,0)</f>
        <v/>
      </c>
      <c r="AE49" s="47">
        <f>IF($E49=AE$3,$G49,0)-IF($H49=AE$3,$J49,0)</f>
        <v/>
      </c>
      <c r="AF49" s="47">
        <f>IF($E49=AF$3,$G49,0)-IF($H49=AF$3,$J49,0)</f>
        <v/>
      </c>
      <c r="AG49" s="47">
        <f>IF($E49=AG$3,$G49,0)-IF($H49=AG$3,$J49,0)</f>
        <v/>
      </c>
      <c r="AH49" s="47">
        <f>IF($E49=AH$3,$G49,0)-IF($H49=AH$3,$J49,0)</f>
        <v/>
      </c>
      <c r="AI49" s="47">
        <f>IF($E49=AI$3,$G49,0)-IF($H49=AI$3,$J49,0)</f>
        <v/>
      </c>
      <c r="AJ49" s="47">
        <f>IF($E49=AJ$3,$G49,0)-IF($H49=AJ$3,$J49,0)</f>
        <v/>
      </c>
      <c r="AK49" s="47">
        <f>IF($E49=AK$3,$G49,0)-IF($H49=AK$3,$J49,0)</f>
        <v/>
      </c>
      <c r="AL49" s="48">
        <f>IF($E49=AL$3,$G49,0)-IF($H49=AL$3,$J49,0)</f>
        <v/>
      </c>
      <c r="AM49" s="46">
        <f>-IF($E49=AM$3,$G49,0)+IF($H49=AM$3,$J49,0)</f>
        <v/>
      </c>
      <c r="AN49" s="47">
        <f>-IF($E49=AN$3,$G49,0)+IF($H49=AN$3,$J49,0)</f>
        <v/>
      </c>
      <c r="AO49" s="48">
        <f>-IF($E49=AO$3,$G49,0)+IF($H49=AO$3,$J49,0)</f>
        <v/>
      </c>
      <c r="AP49" s="46">
        <f>IF($E49=AP$3,$G49,0)-IF($H49=AP$3,$J49,0)</f>
        <v/>
      </c>
      <c r="AQ49" s="47">
        <f>IF($E49=AQ$3,$G49,0)-IF($H49=AQ$3,$J49,0)</f>
        <v/>
      </c>
      <c r="AR49" s="47">
        <f>IF($E49=AR$3,$G49,0)-IF($H49=AR$3,$J49,0)</f>
        <v/>
      </c>
      <c r="AS49" s="47">
        <f>IF($E49=AS$3,$G49,0)-IF($H49=AS$3,$J49,0)</f>
        <v/>
      </c>
      <c r="AT49" s="47">
        <f>IF($E49=AT$3,$G49,0)-IF($H49=AT$3,$J49,0)</f>
        <v/>
      </c>
      <c r="AU49" s="47">
        <f>IF($E49=AU$3,$G49,0)-IF($H49=AU$3,$J49,0)</f>
        <v/>
      </c>
      <c r="AV49" s="47">
        <f>IF($E49=AV$3,$G49,0)-IF($H49=AV$3,$J49,0)</f>
        <v/>
      </c>
      <c r="AW49" s="47">
        <f>IF($E49=AW$3,$G49,0)-IF($H49=AW$3,$J49,0)</f>
        <v/>
      </c>
      <c r="AX49" s="47">
        <f>IF($E49=AX$3,$G49,0)-IF($H49=AX$3,$J49,0)</f>
        <v/>
      </c>
      <c r="AY49" s="47">
        <f>IF($E49=AY$3,$G49,0)-IF($H49=AY$3,$J49,0)</f>
        <v/>
      </c>
      <c r="AZ49" s="47">
        <f>IF($E49=AZ$3,$G49,0)-IF($H49=AZ$3,$J49,0)</f>
        <v/>
      </c>
      <c r="BA49" s="47">
        <f>IF($E49=BA$3,$G49,0)-IF($H49=BA$3,$J49,0)</f>
        <v/>
      </c>
      <c r="BB49" s="47">
        <f>IF($E49=BB$3,$G49,0)-IF($H49=BB$3,$J49,0)</f>
        <v/>
      </c>
      <c r="BC49" s="47">
        <f>IF($E49=BC$3,$G49,0)-IF($H49=BC$3,$J49,0)</f>
        <v/>
      </c>
      <c r="BD49" s="47">
        <f>IF($E49=BD$3,$G49,0)-IF($H49=BD$3,$J49,0)</f>
        <v/>
      </c>
      <c r="BE49" s="47">
        <f>IF($E49=BE$3,$G49,0)-IF($H49=BE$3,$J49,0)</f>
        <v/>
      </c>
      <c r="BF49" s="47">
        <f>IF($E49=BF$3,$G49,0)-IF($H49=BF$3,$J49,0)</f>
        <v/>
      </c>
      <c r="BG49" s="47">
        <f>IF($E49=BG$3,$G49,0)-IF($H49=BG$3,$J49,0)</f>
        <v/>
      </c>
      <c r="BH49" s="47">
        <f>IF($E49=BH$3,$G49,0)-IF($H49=BH$3,$J49,0)</f>
        <v/>
      </c>
      <c r="BI49" s="47">
        <f>IF($E49=BI$3,$G49,0)-IF($H49=BI$3,$J49,0)</f>
        <v/>
      </c>
      <c r="BJ49" s="47">
        <f>IF($E49=BJ$3,$G49,0)-IF($H49=BJ$3,$J49,0)</f>
        <v/>
      </c>
      <c r="BK49" s="47">
        <f>IF($E49=BK$3,$G49,0)-IF($H49=BK$3,$J49,0)</f>
        <v/>
      </c>
      <c r="BL49" s="46">
        <f>-IF($E49=BL$3,$G49,0)+IF($H49=BL$3,$J49,0)</f>
        <v/>
      </c>
      <c r="BM49" s="47">
        <f>-IF($E49=BM$3,$G49,0)+IF($H49=BM$3,$J49,0)</f>
        <v/>
      </c>
      <c r="BN49" s="47">
        <f>-IF($E49=BN$3,$G49,0)+IF($H49=BN$3,$J49,0)</f>
        <v/>
      </c>
      <c r="BO49" s="47">
        <f>-IF($E49=BO$3,$G49,0)+IF($H49=BO$3,$J49,0)</f>
        <v/>
      </c>
      <c r="BP49" s="47">
        <f>-IF($E49=BP$3,$G49,0)+IF($H49=BP$3,$J49,0)</f>
        <v/>
      </c>
      <c r="BQ49" s="47">
        <f>-IF($E49=BQ$3,$G49,0)+IF($H49=BQ$3,$J49,0)</f>
        <v/>
      </c>
      <c r="BR49" s="47">
        <f>-IF($E49=BR$3,$G49,0)+IF($H49=BR$3,$J49,0)</f>
        <v/>
      </c>
      <c r="BS49" s="47">
        <f>-IF($E49=BS$3,$G49,0)+IF($H49=BS$3,$J49,0)</f>
        <v/>
      </c>
      <c r="BT49" s="47">
        <f>-IF($E49=BT$3,$G49,0)+IF($H49=BT$3,$J49,0)</f>
        <v/>
      </c>
      <c r="BU49" s="46">
        <f>+G49-J49</f>
        <v/>
      </c>
      <c r="BV49" s="48">
        <f>-IF($E49=BV$3,$G49,0)+IF($H49=BV$3,$J49,0)</f>
        <v/>
      </c>
      <c r="BW49" s="3" t="n"/>
    </row>
    <row r="50" ht="15.75" customHeight="1" s="214">
      <c r="A50" s="7" t="n"/>
      <c r="B50" s="8" t="n">
        <v>2</v>
      </c>
      <c r="C50" s="9" t="n">
        <v>13</v>
      </c>
      <c r="D50" s="10" t="inlineStr">
        <is>
          <t>セレサ川崎 ユーユー入金</t>
        </is>
      </c>
      <c r="E50" s="247" t="n"/>
      <c r="F50" s="11">
        <f>IF(E50="","",IF(ISNA(VLOOKUP(E50,科目コード表!$C$4:$D$67,2,FALSE)),"該当科目なし",VLOOKUP(E50,科目コード表!$C$4:$D$67,2,FALSE)))</f>
        <v/>
      </c>
      <c r="G50" s="38" t="n"/>
      <c r="H50" s="248" t="n">
        <v>107</v>
      </c>
      <c r="I50" s="11">
        <f>IF(H50="","",IF(ISNA(VLOOKUP(H50,科目コード表!$C$4:$D$67,2,FALSE)),"該当科目なし",VLOOKUP(H50,科目コード表!$C$4:$D$67,2,FALSE)))</f>
        <v/>
      </c>
      <c r="J50" s="40" t="n">
        <v>100000</v>
      </c>
      <c r="L50" s="46">
        <f>IF($E50=L$3,$G50,0)-IF($H50=L$3,$J50,0)</f>
        <v/>
      </c>
      <c r="M50" s="47">
        <f>IF($E50=M$3,$G50,0)-IF($H50=M$3,$J50,0)</f>
        <v/>
      </c>
      <c r="N50" s="47">
        <f>IF($E50=N$3,$G50,0)-IF($H50=N$3,$J50,0)</f>
        <v/>
      </c>
      <c r="O50" s="47">
        <f>IF($E50=O$3,$G50,0)-IF($H50=O$3,$J50,0)</f>
        <v/>
      </c>
      <c r="P50" s="47">
        <f>IF($E50=P$3,$G50,0)-IF($H50=P$3,$J50,0)</f>
        <v/>
      </c>
      <c r="Q50" s="47">
        <f>IF($E50=Q$3,$G50,0)-IF($H50=Q$3,$J50,0)</f>
        <v/>
      </c>
      <c r="R50" s="47">
        <f>IF($E50=R$3,$G50,0)-IF($H50=R$3,$J50,0)</f>
        <v/>
      </c>
      <c r="S50" s="47">
        <f>IF($E50=S$3,$G50,0)-IF($H50=S$3,$J50,0)</f>
        <v/>
      </c>
      <c r="T50" s="47">
        <f>IF($E50=T$3,$G50,0)-IF($H50=T$3,$J50,0)</f>
        <v/>
      </c>
      <c r="U50" s="47">
        <f>IF($E50=U$3,$G50,0)-IF($H50=U$3,$J50,0)</f>
        <v/>
      </c>
      <c r="V50" s="47">
        <f>IF($E50=V$3,$G50,0)-IF($H50=V$3,$J50,0)</f>
        <v/>
      </c>
      <c r="W50" s="47">
        <f>IF($E50=W$3,$G50,0)-IF($H50=W$3,$J50,0)</f>
        <v/>
      </c>
      <c r="X50" s="47">
        <f>IF($E50=X$3,$G50,0)-IF($H50=X$3,$J50,0)</f>
        <v/>
      </c>
      <c r="Y50" s="47">
        <f>IF($E50=Y$3,$G50,0)-IF($H50=Y$3,$J50,0)</f>
        <v/>
      </c>
      <c r="Z50" s="47">
        <f>IF($E50=Z$3,$G50,0)-IF($H50=Z$3,$J50,0)</f>
        <v/>
      </c>
      <c r="AA50" s="47">
        <f>IF($E50=AA$3,$G50,0)-IF($H50=AA$3,$J50,0)</f>
        <v/>
      </c>
      <c r="AB50" s="47">
        <f>IF($E50=AB$3,$G50,0)-IF($H50=AB$3,$J50,0)</f>
        <v/>
      </c>
      <c r="AC50" s="47">
        <f>IF($E50=AC$3,$G50,0)-IF($H50=AC$3,$J50,0)</f>
        <v/>
      </c>
      <c r="AD50" s="47">
        <f>IF($E50=AD$3,$G50,0)-IF($H50=AD$3,$J50,0)</f>
        <v/>
      </c>
      <c r="AE50" s="47">
        <f>IF($E50=AE$3,$G50,0)-IF($H50=AE$3,$J50,0)</f>
        <v/>
      </c>
      <c r="AF50" s="47">
        <f>IF($E50=AF$3,$G50,0)-IF($H50=AF$3,$J50,0)</f>
        <v/>
      </c>
      <c r="AG50" s="47">
        <f>IF($E50=AG$3,$G50,0)-IF($H50=AG$3,$J50,0)</f>
        <v/>
      </c>
      <c r="AH50" s="47">
        <f>IF($E50=AH$3,$G50,0)-IF($H50=AH$3,$J50,0)</f>
        <v/>
      </c>
      <c r="AI50" s="47">
        <f>IF($E50=AI$3,$G50,0)-IF($H50=AI$3,$J50,0)</f>
        <v/>
      </c>
      <c r="AJ50" s="47">
        <f>IF($E50=AJ$3,$G50,0)-IF($H50=AJ$3,$J50,0)</f>
        <v/>
      </c>
      <c r="AK50" s="47">
        <f>IF($E50=AK$3,$G50,0)-IF($H50=AK$3,$J50,0)</f>
        <v/>
      </c>
      <c r="AL50" s="48">
        <f>IF($E50=AL$3,$G50,0)-IF($H50=AL$3,$J50,0)</f>
        <v/>
      </c>
      <c r="AM50" s="46">
        <f>-IF($E50=AM$3,$G50,0)+IF($H50=AM$3,$J50,0)</f>
        <v/>
      </c>
      <c r="AN50" s="47">
        <f>-IF($E50=AN$3,$G50,0)+IF($H50=AN$3,$J50,0)</f>
        <v/>
      </c>
      <c r="AO50" s="48">
        <f>-IF($E50=AO$3,$G50,0)+IF($H50=AO$3,$J50,0)</f>
        <v/>
      </c>
      <c r="AP50" s="46">
        <f>IF($E50=AP$3,$G50,0)-IF($H50=AP$3,$J50,0)</f>
        <v/>
      </c>
      <c r="AQ50" s="47">
        <f>IF($E50=AQ$3,$G50,0)-IF($H50=AQ$3,$J50,0)</f>
        <v/>
      </c>
      <c r="AR50" s="47">
        <f>IF($E50=AR$3,$G50,0)-IF($H50=AR$3,$J50,0)</f>
        <v/>
      </c>
      <c r="AS50" s="47">
        <f>IF($E50=AS$3,$G50,0)-IF($H50=AS$3,$J50,0)</f>
        <v/>
      </c>
      <c r="AT50" s="47">
        <f>IF($E50=AT$3,$G50,0)-IF($H50=AT$3,$J50,0)</f>
        <v/>
      </c>
      <c r="AU50" s="47">
        <f>IF($E50=AU$3,$G50,0)-IF($H50=AU$3,$J50,0)</f>
        <v/>
      </c>
      <c r="AV50" s="47">
        <f>IF($E50=AV$3,$G50,0)-IF($H50=AV$3,$J50,0)</f>
        <v/>
      </c>
      <c r="AW50" s="47">
        <f>IF($E50=AW$3,$G50,0)-IF($H50=AW$3,$J50,0)</f>
        <v/>
      </c>
      <c r="AX50" s="47">
        <f>IF($E50=AX$3,$G50,0)-IF($H50=AX$3,$J50,0)</f>
        <v/>
      </c>
      <c r="AY50" s="47">
        <f>IF($E50=AY$3,$G50,0)-IF($H50=AY$3,$J50,0)</f>
        <v/>
      </c>
      <c r="AZ50" s="47">
        <f>IF($E50=AZ$3,$G50,0)-IF($H50=AZ$3,$J50,0)</f>
        <v/>
      </c>
      <c r="BA50" s="47">
        <f>IF($E50=BA$3,$G50,0)-IF($H50=BA$3,$J50,0)</f>
        <v/>
      </c>
      <c r="BB50" s="47">
        <f>IF($E50=BB$3,$G50,0)-IF($H50=BB$3,$J50,0)</f>
        <v/>
      </c>
      <c r="BC50" s="47">
        <f>IF($E50=BC$3,$G50,0)-IF($H50=BC$3,$J50,0)</f>
        <v/>
      </c>
      <c r="BD50" s="47">
        <f>IF($E50=BD$3,$G50,0)-IF($H50=BD$3,$J50,0)</f>
        <v/>
      </c>
      <c r="BE50" s="47">
        <f>IF($E50=BE$3,$G50,0)-IF($H50=BE$3,$J50,0)</f>
        <v/>
      </c>
      <c r="BF50" s="47">
        <f>IF($E50=BF$3,$G50,0)-IF($H50=BF$3,$J50,0)</f>
        <v/>
      </c>
      <c r="BG50" s="47">
        <f>IF($E50=BG$3,$G50,0)-IF($H50=BG$3,$J50,0)</f>
        <v/>
      </c>
      <c r="BH50" s="47">
        <f>IF($E50=BH$3,$G50,0)-IF($H50=BH$3,$J50,0)</f>
        <v/>
      </c>
      <c r="BI50" s="47">
        <f>IF($E50=BI$3,$G50,0)-IF($H50=BI$3,$J50,0)</f>
        <v/>
      </c>
      <c r="BJ50" s="47">
        <f>IF($E50=BJ$3,$G50,0)-IF($H50=BJ$3,$J50,0)</f>
        <v/>
      </c>
      <c r="BK50" s="47">
        <f>IF($E50=BK$3,$G50,0)-IF($H50=BK$3,$J50,0)</f>
        <v/>
      </c>
      <c r="BL50" s="46">
        <f>-IF($E50=BL$3,$G50,0)+IF($H50=BL$3,$J50,0)</f>
        <v/>
      </c>
      <c r="BM50" s="47">
        <f>-IF($E50=BM$3,$G50,0)+IF($H50=BM$3,$J50,0)</f>
        <v/>
      </c>
      <c r="BN50" s="47">
        <f>-IF($E50=BN$3,$G50,0)+IF($H50=BN$3,$J50,0)</f>
        <v/>
      </c>
      <c r="BO50" s="47">
        <f>-IF($E50=BO$3,$G50,0)+IF($H50=BO$3,$J50,0)</f>
        <v/>
      </c>
      <c r="BP50" s="47">
        <f>-IF($E50=BP$3,$G50,0)+IF($H50=BP$3,$J50,0)</f>
        <v/>
      </c>
      <c r="BQ50" s="47">
        <f>-IF($E50=BQ$3,$G50,0)+IF($H50=BQ$3,$J50,0)</f>
        <v/>
      </c>
      <c r="BR50" s="47">
        <f>-IF($E50=BR$3,$G50,0)+IF($H50=BR$3,$J50,0)</f>
        <v/>
      </c>
      <c r="BS50" s="47">
        <f>-IF($E50=BS$3,$G50,0)+IF($H50=BS$3,$J50,0)</f>
        <v/>
      </c>
      <c r="BT50" s="47">
        <f>-IF($E50=BT$3,$G50,0)+IF($H50=BT$3,$J50,0)</f>
        <v/>
      </c>
      <c r="BU50" s="46">
        <f>+G50-J50</f>
        <v/>
      </c>
      <c r="BV50" s="48">
        <f>-IF($E50=BV$3,$G50,0)+IF($H50=BV$3,$J50,0)</f>
        <v/>
      </c>
      <c r="BW50" s="3" t="n"/>
    </row>
    <row r="51" ht="15.75" customHeight="1" s="214">
      <c r="A51" s="7" t="n"/>
      <c r="B51" s="8" t="n">
        <v>2</v>
      </c>
      <c r="C51" s="9" t="n">
        <v>14</v>
      </c>
      <c r="D51" s="10" t="inlineStr">
        <is>
          <t>ニャーベトナム交際費</t>
        </is>
      </c>
      <c r="E51" s="247" t="n">
        <v>511</v>
      </c>
      <c r="F51" s="11">
        <f>IF(E51="","",IF(ISNA(VLOOKUP(E51,科目コード表!$C$4:$D$67,2,FALSE)),"該当科目なし",VLOOKUP(E51,科目コード表!$C$4:$D$67,2,FALSE)))</f>
        <v/>
      </c>
      <c r="G51" s="38" t="n">
        <v>8500</v>
      </c>
      <c r="H51" s="248" t="n"/>
      <c r="I51" s="11">
        <f>IF(H51="","",IF(ISNA(VLOOKUP(H51,科目コード表!$C$4:$D$67,2,FALSE)),"該当科目なし",VLOOKUP(H51,科目コード表!$C$4:$D$67,2,FALSE)))</f>
        <v/>
      </c>
      <c r="J51" s="40" t="n"/>
      <c r="L51" s="46">
        <f>IF($E51=L$3,$G51,0)-IF($H51=L$3,$J51,0)</f>
        <v/>
      </c>
      <c r="M51" s="47">
        <f>IF($E51=M$3,$G51,0)-IF($H51=M$3,$J51,0)</f>
        <v/>
      </c>
      <c r="N51" s="47">
        <f>IF($E51=N$3,$G51,0)-IF($H51=N$3,$J51,0)</f>
        <v/>
      </c>
      <c r="O51" s="47">
        <f>IF($E51=O$3,$G51,0)-IF($H51=O$3,$J51,0)</f>
        <v/>
      </c>
      <c r="P51" s="47">
        <f>IF($E51=P$3,$G51,0)-IF($H51=P$3,$J51,0)</f>
        <v/>
      </c>
      <c r="Q51" s="47">
        <f>IF($E51=Q$3,$G51,0)-IF($H51=Q$3,$J51,0)</f>
        <v/>
      </c>
      <c r="R51" s="47">
        <f>IF($E51=R$3,$G51,0)-IF($H51=R$3,$J51,0)</f>
        <v/>
      </c>
      <c r="S51" s="47">
        <f>IF($E51=S$3,$G51,0)-IF($H51=S$3,$J51,0)</f>
        <v/>
      </c>
      <c r="T51" s="47">
        <f>IF($E51=T$3,$G51,0)-IF($H51=T$3,$J51,0)</f>
        <v/>
      </c>
      <c r="U51" s="47">
        <f>IF($E51=U$3,$G51,0)-IF($H51=U$3,$J51,0)</f>
        <v/>
      </c>
      <c r="V51" s="47">
        <f>IF($E51=V$3,$G51,0)-IF($H51=V$3,$J51,0)</f>
        <v/>
      </c>
      <c r="W51" s="47">
        <f>IF($E51=W$3,$G51,0)-IF($H51=W$3,$J51,0)</f>
        <v/>
      </c>
      <c r="X51" s="47">
        <f>IF($E51=X$3,$G51,0)-IF($H51=X$3,$J51,0)</f>
        <v/>
      </c>
      <c r="Y51" s="47">
        <f>IF($E51=Y$3,$G51,0)-IF($H51=Y$3,$J51,0)</f>
        <v/>
      </c>
      <c r="Z51" s="47">
        <f>IF($E51=Z$3,$G51,0)-IF($H51=Z$3,$J51,0)</f>
        <v/>
      </c>
      <c r="AA51" s="47">
        <f>IF($E51=AA$3,$G51,0)-IF($H51=AA$3,$J51,0)</f>
        <v/>
      </c>
      <c r="AB51" s="47">
        <f>IF($E51=AB$3,$G51,0)-IF($H51=AB$3,$J51,0)</f>
        <v/>
      </c>
      <c r="AC51" s="47">
        <f>IF($E51=AC$3,$G51,0)-IF($H51=AC$3,$J51,0)</f>
        <v/>
      </c>
      <c r="AD51" s="47">
        <f>IF($E51=AD$3,$G51,0)-IF($H51=AD$3,$J51,0)</f>
        <v/>
      </c>
      <c r="AE51" s="47">
        <f>IF($E51=AE$3,$G51,0)-IF($H51=AE$3,$J51,0)</f>
        <v/>
      </c>
      <c r="AF51" s="47">
        <f>IF($E51=AF$3,$G51,0)-IF($H51=AF$3,$J51,0)</f>
        <v/>
      </c>
      <c r="AG51" s="47">
        <f>IF($E51=AG$3,$G51,0)-IF($H51=AG$3,$J51,0)</f>
        <v/>
      </c>
      <c r="AH51" s="47">
        <f>IF($E51=AH$3,$G51,0)-IF($H51=AH$3,$J51,0)</f>
        <v/>
      </c>
      <c r="AI51" s="47">
        <f>IF($E51=AI$3,$G51,0)-IF($H51=AI$3,$J51,0)</f>
        <v/>
      </c>
      <c r="AJ51" s="47">
        <f>IF($E51=AJ$3,$G51,0)-IF($H51=AJ$3,$J51,0)</f>
        <v/>
      </c>
      <c r="AK51" s="47">
        <f>IF($E51=AK$3,$G51,0)-IF($H51=AK$3,$J51,0)</f>
        <v/>
      </c>
      <c r="AL51" s="48">
        <f>IF($E51=AL$3,$G51,0)-IF($H51=AL$3,$J51,0)</f>
        <v/>
      </c>
      <c r="AM51" s="46">
        <f>-IF($E51=AM$3,$G51,0)+IF($H51=AM$3,$J51,0)</f>
        <v/>
      </c>
      <c r="AN51" s="47">
        <f>-IF($E51=AN$3,$G51,0)+IF($H51=AN$3,$J51,0)</f>
        <v/>
      </c>
      <c r="AO51" s="48">
        <f>-IF($E51=AO$3,$G51,0)+IF($H51=AO$3,$J51,0)</f>
        <v/>
      </c>
      <c r="AP51" s="46">
        <f>IF($E51=AP$3,$G51,0)-IF($H51=AP$3,$J51,0)</f>
        <v/>
      </c>
      <c r="AQ51" s="47">
        <f>IF($E51=AQ$3,$G51,0)-IF($H51=AQ$3,$J51,0)</f>
        <v/>
      </c>
      <c r="AR51" s="47">
        <f>IF($E51=AR$3,$G51,0)-IF($H51=AR$3,$J51,0)</f>
        <v/>
      </c>
      <c r="AS51" s="47">
        <f>IF($E51=AS$3,$G51,0)-IF($H51=AS$3,$J51,0)</f>
        <v/>
      </c>
      <c r="AT51" s="47">
        <f>IF($E51=AT$3,$G51,0)-IF($H51=AT$3,$J51,0)</f>
        <v/>
      </c>
      <c r="AU51" s="47">
        <f>IF($E51=AU$3,$G51,0)-IF($H51=AU$3,$J51,0)</f>
        <v/>
      </c>
      <c r="AV51" s="47">
        <f>IF($E51=AV$3,$G51,0)-IF($H51=AV$3,$J51,0)</f>
        <v/>
      </c>
      <c r="AW51" s="47">
        <f>IF($E51=AW$3,$G51,0)-IF($H51=AW$3,$J51,0)</f>
        <v/>
      </c>
      <c r="AX51" s="47">
        <f>IF($E51=AX$3,$G51,0)-IF($H51=AX$3,$J51,0)</f>
        <v/>
      </c>
      <c r="AY51" s="47">
        <f>IF($E51=AY$3,$G51,0)-IF($H51=AY$3,$J51,0)</f>
        <v/>
      </c>
      <c r="AZ51" s="47">
        <f>IF($E51=AZ$3,$G51,0)-IF($H51=AZ$3,$J51,0)</f>
        <v/>
      </c>
      <c r="BA51" s="47">
        <f>IF($E51=BA$3,$G51,0)-IF($H51=BA$3,$J51,0)</f>
        <v/>
      </c>
      <c r="BB51" s="47">
        <f>IF($E51=BB$3,$G51,0)-IF($H51=BB$3,$J51,0)</f>
        <v/>
      </c>
      <c r="BC51" s="47">
        <f>IF($E51=BC$3,$G51,0)-IF($H51=BC$3,$J51,0)</f>
        <v/>
      </c>
      <c r="BD51" s="47">
        <f>IF($E51=BD$3,$G51,0)-IF($H51=BD$3,$J51,0)</f>
        <v/>
      </c>
      <c r="BE51" s="47">
        <f>IF($E51=BE$3,$G51,0)-IF($H51=BE$3,$J51,0)</f>
        <v/>
      </c>
      <c r="BF51" s="47">
        <f>IF($E51=BF$3,$G51,0)-IF($H51=BF$3,$J51,0)</f>
        <v/>
      </c>
      <c r="BG51" s="47">
        <f>IF($E51=BG$3,$G51,0)-IF($H51=BG$3,$J51,0)</f>
        <v/>
      </c>
      <c r="BH51" s="47">
        <f>IF($E51=BH$3,$G51,0)-IF($H51=BH$3,$J51,0)</f>
        <v/>
      </c>
      <c r="BI51" s="47">
        <f>IF($E51=BI$3,$G51,0)-IF($H51=BI$3,$J51,0)</f>
        <v/>
      </c>
      <c r="BJ51" s="47">
        <f>IF($E51=BJ$3,$G51,0)-IF($H51=BJ$3,$J51,0)</f>
        <v/>
      </c>
      <c r="BK51" s="47">
        <f>IF($E51=BK$3,$G51,0)-IF($H51=BK$3,$J51,0)</f>
        <v/>
      </c>
      <c r="BL51" s="46">
        <f>-IF($E51=BL$3,$G51,0)+IF($H51=BL$3,$J51,0)</f>
        <v/>
      </c>
      <c r="BM51" s="47">
        <f>-IF($E51=BM$3,$G51,0)+IF($H51=BM$3,$J51,0)</f>
        <v/>
      </c>
      <c r="BN51" s="47">
        <f>-IF($E51=BN$3,$G51,0)+IF($H51=BN$3,$J51,0)</f>
        <v/>
      </c>
      <c r="BO51" s="47">
        <f>-IF($E51=BO$3,$G51,0)+IF($H51=BO$3,$J51,0)</f>
        <v/>
      </c>
      <c r="BP51" s="47">
        <f>-IF($E51=BP$3,$G51,0)+IF($H51=BP$3,$J51,0)</f>
        <v/>
      </c>
      <c r="BQ51" s="47">
        <f>-IF($E51=BQ$3,$G51,0)+IF($H51=BQ$3,$J51,0)</f>
        <v/>
      </c>
      <c r="BR51" s="47">
        <f>-IF($E51=BR$3,$G51,0)+IF($H51=BR$3,$J51,0)</f>
        <v/>
      </c>
      <c r="BS51" s="47">
        <f>-IF($E51=BS$3,$G51,0)+IF($H51=BS$3,$J51,0)</f>
        <v/>
      </c>
      <c r="BT51" s="47">
        <f>-IF($E51=BT$3,$G51,0)+IF($H51=BT$3,$J51,0)</f>
        <v/>
      </c>
      <c r="BU51" s="46">
        <f>+G51-J51</f>
        <v/>
      </c>
      <c r="BV51" s="48">
        <f>-IF($E51=BV$3,$G51,0)+IF($H51=BV$3,$J51,0)</f>
        <v/>
      </c>
      <c r="BW51" s="3" t="n"/>
    </row>
    <row r="52" ht="15.75" customHeight="1" s="214">
      <c r="A52" s="7" t="n"/>
      <c r="B52" s="8" t="n">
        <v>2</v>
      </c>
      <c r="C52" s="9" t="n">
        <v>16</v>
      </c>
      <c r="D52" s="10" t="inlineStr">
        <is>
          <t>駐車場代</t>
        </is>
      </c>
      <c r="E52" s="247" t="n">
        <v>523</v>
      </c>
      <c r="F52" s="11">
        <f>IF(E52="","",IF(ISNA(VLOOKUP(E52,科目コード表!$C$4:$D$67,2,FALSE)),"該当科目なし",VLOOKUP(E52,科目コード表!$C$4:$D$67,2,FALSE)))</f>
        <v/>
      </c>
      <c r="G52" s="38" t="n">
        <v>200</v>
      </c>
      <c r="H52" s="248" t="n"/>
      <c r="I52" s="11">
        <f>IF(H52="","",IF(ISNA(VLOOKUP(H52,科目コード表!$C$4:$D$67,2,FALSE)),"該当科目なし",VLOOKUP(H52,科目コード表!$C$4:$D$67,2,FALSE)))</f>
        <v/>
      </c>
      <c r="J52" s="40" t="n"/>
      <c r="L52" s="46">
        <f>IF($E52=L$3,$G52,0)-IF($H52=L$3,$J52,0)</f>
        <v/>
      </c>
      <c r="M52" s="47">
        <f>IF($E52=M$3,$G52,0)-IF($H52=M$3,$J52,0)</f>
        <v/>
      </c>
      <c r="N52" s="47">
        <f>IF($E52=N$3,$G52,0)-IF($H52=N$3,$J52,0)</f>
        <v/>
      </c>
      <c r="O52" s="47">
        <f>IF($E52=O$3,$G52,0)-IF($H52=O$3,$J52,0)</f>
        <v/>
      </c>
      <c r="P52" s="47">
        <f>IF($E52=P$3,$G52,0)-IF($H52=P$3,$J52,0)</f>
        <v/>
      </c>
      <c r="Q52" s="47">
        <f>IF($E52=Q$3,$G52,0)-IF($H52=Q$3,$J52,0)</f>
        <v/>
      </c>
      <c r="R52" s="47">
        <f>IF($E52=R$3,$G52,0)-IF($H52=R$3,$J52,0)</f>
        <v/>
      </c>
      <c r="S52" s="47">
        <f>IF($E52=S$3,$G52,0)-IF($H52=S$3,$J52,0)</f>
        <v/>
      </c>
      <c r="T52" s="47">
        <f>IF($E52=T$3,$G52,0)-IF($H52=T$3,$J52,0)</f>
        <v/>
      </c>
      <c r="U52" s="47">
        <f>IF($E52=U$3,$G52,0)-IF($H52=U$3,$J52,0)</f>
        <v/>
      </c>
      <c r="V52" s="47">
        <f>IF($E52=V$3,$G52,0)-IF($H52=V$3,$J52,0)</f>
        <v/>
      </c>
      <c r="W52" s="47">
        <f>IF($E52=W$3,$G52,0)-IF($H52=W$3,$J52,0)</f>
        <v/>
      </c>
      <c r="X52" s="47">
        <f>IF($E52=X$3,$G52,0)-IF($H52=X$3,$J52,0)</f>
        <v/>
      </c>
      <c r="Y52" s="47">
        <f>IF($E52=Y$3,$G52,0)-IF($H52=Y$3,$J52,0)</f>
        <v/>
      </c>
      <c r="Z52" s="47">
        <f>IF($E52=Z$3,$G52,0)-IF($H52=Z$3,$J52,0)</f>
        <v/>
      </c>
      <c r="AA52" s="47">
        <f>IF($E52=AA$3,$G52,0)-IF($H52=AA$3,$J52,0)</f>
        <v/>
      </c>
      <c r="AB52" s="47">
        <f>IF($E52=AB$3,$G52,0)-IF($H52=AB$3,$J52,0)</f>
        <v/>
      </c>
      <c r="AC52" s="47">
        <f>IF($E52=AC$3,$G52,0)-IF($H52=AC$3,$J52,0)</f>
        <v/>
      </c>
      <c r="AD52" s="47">
        <f>IF($E52=AD$3,$G52,0)-IF($H52=AD$3,$J52,0)</f>
        <v/>
      </c>
      <c r="AE52" s="47">
        <f>IF($E52=AE$3,$G52,0)-IF($H52=AE$3,$J52,0)</f>
        <v/>
      </c>
      <c r="AF52" s="47">
        <f>IF($E52=AF$3,$G52,0)-IF($H52=AF$3,$J52,0)</f>
        <v/>
      </c>
      <c r="AG52" s="47">
        <f>IF($E52=AG$3,$G52,0)-IF($H52=AG$3,$J52,0)</f>
        <v/>
      </c>
      <c r="AH52" s="47">
        <f>IF($E52=AH$3,$G52,0)-IF($H52=AH$3,$J52,0)</f>
        <v/>
      </c>
      <c r="AI52" s="47">
        <f>IF($E52=AI$3,$G52,0)-IF($H52=AI$3,$J52,0)</f>
        <v/>
      </c>
      <c r="AJ52" s="47">
        <f>IF($E52=AJ$3,$G52,0)-IF($H52=AJ$3,$J52,0)</f>
        <v/>
      </c>
      <c r="AK52" s="47">
        <f>IF($E52=AK$3,$G52,0)-IF($H52=AK$3,$J52,0)</f>
        <v/>
      </c>
      <c r="AL52" s="48">
        <f>IF($E52=AL$3,$G52,0)-IF($H52=AL$3,$J52,0)</f>
        <v/>
      </c>
      <c r="AM52" s="46">
        <f>-IF($E52=AM$3,$G52,0)+IF($H52=AM$3,$J52,0)</f>
        <v/>
      </c>
      <c r="AN52" s="47">
        <f>-IF($E52=AN$3,$G52,0)+IF($H52=AN$3,$J52,0)</f>
        <v/>
      </c>
      <c r="AO52" s="48">
        <f>-IF($E52=AO$3,$G52,0)+IF($H52=AO$3,$J52,0)</f>
        <v/>
      </c>
      <c r="AP52" s="46">
        <f>IF($E52=AP$3,$G52,0)-IF($H52=AP$3,$J52,0)</f>
        <v/>
      </c>
      <c r="AQ52" s="47">
        <f>IF($E52=AQ$3,$G52,0)-IF($H52=AQ$3,$J52,0)</f>
        <v/>
      </c>
      <c r="AR52" s="47">
        <f>IF($E52=AR$3,$G52,0)-IF($H52=AR$3,$J52,0)</f>
        <v/>
      </c>
      <c r="AS52" s="47">
        <f>IF($E52=AS$3,$G52,0)-IF($H52=AS$3,$J52,0)</f>
        <v/>
      </c>
      <c r="AT52" s="47">
        <f>IF($E52=AT$3,$G52,0)-IF($H52=AT$3,$J52,0)</f>
        <v/>
      </c>
      <c r="AU52" s="47">
        <f>IF($E52=AU$3,$G52,0)-IF($H52=AU$3,$J52,0)</f>
        <v/>
      </c>
      <c r="AV52" s="47">
        <f>IF($E52=AV$3,$G52,0)-IF($H52=AV$3,$J52,0)</f>
        <v/>
      </c>
      <c r="AW52" s="47">
        <f>IF($E52=AW$3,$G52,0)-IF($H52=AW$3,$J52,0)</f>
        <v/>
      </c>
      <c r="AX52" s="47">
        <f>IF($E52=AX$3,$G52,0)-IF($H52=AX$3,$J52,0)</f>
        <v/>
      </c>
      <c r="AY52" s="47">
        <f>IF($E52=AY$3,$G52,0)-IF($H52=AY$3,$J52,0)</f>
        <v/>
      </c>
      <c r="AZ52" s="47">
        <f>IF($E52=AZ$3,$G52,0)-IF($H52=AZ$3,$J52,0)</f>
        <v/>
      </c>
      <c r="BA52" s="47">
        <f>IF($E52=BA$3,$G52,0)-IF($H52=BA$3,$J52,0)</f>
        <v/>
      </c>
      <c r="BB52" s="47">
        <f>IF($E52=BB$3,$G52,0)-IF($H52=BB$3,$J52,0)</f>
        <v/>
      </c>
      <c r="BC52" s="47">
        <f>IF($E52=BC$3,$G52,0)-IF($H52=BC$3,$J52,0)</f>
        <v/>
      </c>
      <c r="BD52" s="47">
        <f>IF($E52=BD$3,$G52,0)-IF($H52=BD$3,$J52,0)</f>
        <v/>
      </c>
      <c r="BE52" s="47">
        <f>IF($E52=BE$3,$G52,0)-IF($H52=BE$3,$J52,0)</f>
        <v/>
      </c>
      <c r="BF52" s="47">
        <f>IF($E52=BF$3,$G52,0)-IF($H52=BF$3,$J52,0)</f>
        <v/>
      </c>
      <c r="BG52" s="47">
        <f>IF($E52=BG$3,$G52,0)-IF($H52=BG$3,$J52,0)</f>
        <v/>
      </c>
      <c r="BH52" s="47">
        <f>IF($E52=BH$3,$G52,0)-IF($H52=BH$3,$J52,0)</f>
        <v/>
      </c>
      <c r="BI52" s="47">
        <f>IF($E52=BI$3,$G52,0)-IF($H52=BI$3,$J52,0)</f>
        <v/>
      </c>
      <c r="BJ52" s="47">
        <f>IF($E52=BJ$3,$G52,0)-IF($H52=BJ$3,$J52,0)</f>
        <v/>
      </c>
      <c r="BK52" s="47">
        <f>IF($E52=BK$3,$G52,0)-IF($H52=BK$3,$J52,0)</f>
        <v/>
      </c>
      <c r="BL52" s="46">
        <f>-IF($E52=BL$3,$G52,0)+IF($H52=BL$3,$J52,0)</f>
        <v/>
      </c>
      <c r="BM52" s="47">
        <f>-IF($E52=BM$3,$G52,0)+IF($H52=BM$3,$J52,0)</f>
        <v/>
      </c>
      <c r="BN52" s="47">
        <f>-IF($E52=BN$3,$G52,0)+IF($H52=BN$3,$J52,0)</f>
        <v/>
      </c>
      <c r="BO52" s="47">
        <f>-IF($E52=BO$3,$G52,0)+IF($H52=BO$3,$J52,0)</f>
        <v/>
      </c>
      <c r="BP52" s="47">
        <f>-IF($E52=BP$3,$G52,0)+IF($H52=BP$3,$J52,0)</f>
        <v/>
      </c>
      <c r="BQ52" s="47">
        <f>-IF($E52=BQ$3,$G52,0)+IF($H52=BQ$3,$J52,0)</f>
        <v/>
      </c>
      <c r="BR52" s="47">
        <f>-IF($E52=BR$3,$G52,0)+IF($H52=BR$3,$J52,0)</f>
        <v/>
      </c>
      <c r="BS52" s="47">
        <f>-IF($E52=BS$3,$G52,0)+IF($H52=BS$3,$J52,0)</f>
        <v/>
      </c>
      <c r="BT52" s="47">
        <f>-IF($E52=BT$3,$G52,0)+IF($H52=BT$3,$J52,0)</f>
        <v/>
      </c>
      <c r="BU52" s="46">
        <f>+G52-J52</f>
        <v/>
      </c>
      <c r="BV52" s="48">
        <f>-IF($E52=BV$3,$G52,0)+IF($H52=BV$3,$J52,0)</f>
        <v/>
      </c>
      <c r="BW52" s="3" t="n"/>
    </row>
    <row r="53" ht="15.75" customHeight="1" s="214">
      <c r="A53" s="7" t="n"/>
      <c r="B53" s="8" t="n">
        <v>2</v>
      </c>
      <c r="C53" s="9" t="n">
        <v>16</v>
      </c>
      <c r="D53" s="10" t="inlineStr">
        <is>
          <t>Kindle Unlimited会費</t>
        </is>
      </c>
      <c r="E53" s="247" t="n">
        <v>524</v>
      </c>
      <c r="F53" s="11">
        <f>IF(E53="","",IF(ISNA(VLOOKUP(E53,科目コード表!$C$4:$D$67,2,FALSE)),"該当科目なし",VLOOKUP(E53,科目コード表!$C$4:$D$67,2,FALSE)))</f>
        <v/>
      </c>
      <c r="G53" s="38" t="n">
        <v>980</v>
      </c>
      <c r="H53" s="248" t="n"/>
      <c r="I53" s="11">
        <f>IF(H53="","",IF(ISNA(VLOOKUP(H53,科目コード表!$C$4:$D$67,2,FALSE)),"該当科目なし",VLOOKUP(H53,科目コード表!$C$4:$D$67,2,FALSE)))</f>
        <v/>
      </c>
      <c r="J53" s="40" t="n"/>
      <c r="L53" s="46">
        <f>IF($E53=L$3,$G53,0)-IF($H53=L$3,$J53,0)</f>
        <v/>
      </c>
      <c r="M53" s="47">
        <f>IF($E53=M$3,$G53,0)-IF($H53=M$3,$J53,0)</f>
        <v/>
      </c>
      <c r="N53" s="47">
        <f>IF($E53=N$3,$G53,0)-IF($H53=N$3,$J53,0)</f>
        <v/>
      </c>
      <c r="O53" s="47">
        <f>IF($E53=O$3,$G53,0)-IF($H53=O$3,$J53,0)</f>
        <v/>
      </c>
      <c r="P53" s="47">
        <f>IF($E53=P$3,$G53,0)-IF($H53=P$3,$J53,0)</f>
        <v/>
      </c>
      <c r="Q53" s="47">
        <f>IF($E53=Q$3,$G53,0)-IF($H53=Q$3,$J53,0)</f>
        <v/>
      </c>
      <c r="R53" s="47">
        <f>IF($E53=R$3,$G53,0)-IF($H53=R$3,$J53,0)</f>
        <v/>
      </c>
      <c r="S53" s="47">
        <f>IF($E53=S$3,$G53,0)-IF($H53=S$3,$J53,0)</f>
        <v/>
      </c>
      <c r="T53" s="47">
        <f>IF($E53=T$3,$G53,0)-IF($H53=T$3,$J53,0)</f>
        <v/>
      </c>
      <c r="U53" s="47">
        <f>IF($E53=U$3,$G53,0)-IF($H53=U$3,$J53,0)</f>
        <v/>
      </c>
      <c r="V53" s="47">
        <f>IF($E53=V$3,$G53,0)-IF($H53=V$3,$J53,0)</f>
        <v/>
      </c>
      <c r="W53" s="47">
        <f>IF($E53=W$3,$G53,0)-IF($H53=W$3,$J53,0)</f>
        <v/>
      </c>
      <c r="X53" s="47">
        <f>IF($E53=X$3,$G53,0)-IF($H53=X$3,$J53,0)</f>
        <v/>
      </c>
      <c r="Y53" s="47">
        <f>IF($E53=Y$3,$G53,0)-IF($H53=Y$3,$J53,0)</f>
        <v/>
      </c>
      <c r="Z53" s="47">
        <f>IF($E53=Z$3,$G53,0)-IF($H53=Z$3,$J53,0)</f>
        <v/>
      </c>
      <c r="AA53" s="47">
        <f>IF($E53=AA$3,$G53,0)-IF($H53=AA$3,$J53,0)</f>
        <v/>
      </c>
      <c r="AB53" s="47">
        <f>IF($E53=AB$3,$G53,0)-IF($H53=AB$3,$J53,0)</f>
        <v/>
      </c>
      <c r="AC53" s="47">
        <f>IF($E53=AC$3,$G53,0)-IF($H53=AC$3,$J53,0)</f>
        <v/>
      </c>
      <c r="AD53" s="47">
        <f>IF($E53=AD$3,$G53,0)-IF($H53=AD$3,$J53,0)</f>
        <v/>
      </c>
      <c r="AE53" s="47">
        <f>IF($E53=AE$3,$G53,0)-IF($H53=AE$3,$J53,0)</f>
        <v/>
      </c>
      <c r="AF53" s="47">
        <f>IF($E53=AF$3,$G53,0)-IF($H53=AF$3,$J53,0)</f>
        <v/>
      </c>
      <c r="AG53" s="47">
        <f>IF($E53=AG$3,$G53,0)-IF($H53=AG$3,$J53,0)</f>
        <v/>
      </c>
      <c r="AH53" s="47">
        <f>IF($E53=AH$3,$G53,0)-IF($H53=AH$3,$J53,0)</f>
        <v/>
      </c>
      <c r="AI53" s="47">
        <f>IF($E53=AI$3,$G53,0)-IF($H53=AI$3,$J53,0)</f>
        <v/>
      </c>
      <c r="AJ53" s="47">
        <f>IF($E53=AJ$3,$G53,0)-IF($H53=AJ$3,$J53,0)</f>
        <v/>
      </c>
      <c r="AK53" s="47">
        <f>IF($E53=AK$3,$G53,0)-IF($H53=AK$3,$J53,0)</f>
        <v/>
      </c>
      <c r="AL53" s="48">
        <f>IF($E53=AL$3,$G53,0)-IF($H53=AL$3,$J53,0)</f>
        <v/>
      </c>
      <c r="AM53" s="46">
        <f>-IF($E53=AM$3,$G53,0)+IF($H53=AM$3,$J53,0)</f>
        <v/>
      </c>
      <c r="AN53" s="47">
        <f>-IF($E53=AN$3,$G53,0)+IF($H53=AN$3,$J53,0)</f>
        <v/>
      </c>
      <c r="AO53" s="48">
        <f>-IF($E53=AO$3,$G53,0)+IF($H53=AO$3,$J53,0)</f>
        <v/>
      </c>
      <c r="AP53" s="46">
        <f>IF($E53=AP$3,$G53,0)-IF($H53=AP$3,$J53,0)</f>
        <v/>
      </c>
      <c r="AQ53" s="47">
        <f>IF($E53=AQ$3,$G53,0)-IF($H53=AQ$3,$J53,0)</f>
        <v/>
      </c>
      <c r="AR53" s="47">
        <f>IF($E53=AR$3,$G53,0)-IF($H53=AR$3,$J53,0)</f>
        <v/>
      </c>
      <c r="AS53" s="47">
        <f>IF($E53=AS$3,$G53,0)-IF($H53=AS$3,$J53,0)</f>
        <v/>
      </c>
      <c r="AT53" s="47">
        <f>IF($E53=AT$3,$G53,0)-IF($H53=AT$3,$J53,0)</f>
        <v/>
      </c>
      <c r="AU53" s="47">
        <f>IF($E53=AU$3,$G53,0)-IF($H53=AU$3,$J53,0)</f>
        <v/>
      </c>
      <c r="AV53" s="47">
        <f>IF($E53=AV$3,$G53,0)-IF($H53=AV$3,$J53,0)</f>
        <v/>
      </c>
      <c r="AW53" s="47">
        <f>IF($E53=AW$3,$G53,0)-IF($H53=AW$3,$J53,0)</f>
        <v/>
      </c>
      <c r="AX53" s="47">
        <f>IF($E53=AX$3,$G53,0)-IF($H53=AX$3,$J53,0)</f>
        <v/>
      </c>
      <c r="AY53" s="47">
        <f>IF($E53=AY$3,$G53,0)-IF($H53=AY$3,$J53,0)</f>
        <v/>
      </c>
      <c r="AZ53" s="47">
        <f>IF($E53=AZ$3,$G53,0)-IF($H53=AZ$3,$J53,0)</f>
        <v/>
      </c>
      <c r="BA53" s="47">
        <f>IF($E53=BA$3,$G53,0)-IF($H53=BA$3,$J53,0)</f>
        <v/>
      </c>
      <c r="BB53" s="47">
        <f>IF($E53=BB$3,$G53,0)-IF($H53=BB$3,$J53,0)</f>
        <v/>
      </c>
      <c r="BC53" s="47">
        <f>IF($E53=BC$3,$G53,0)-IF($H53=BC$3,$J53,0)</f>
        <v/>
      </c>
      <c r="BD53" s="47">
        <f>IF($E53=BD$3,$G53,0)-IF($H53=BD$3,$J53,0)</f>
        <v/>
      </c>
      <c r="BE53" s="47">
        <f>IF($E53=BE$3,$G53,0)-IF($H53=BE$3,$J53,0)</f>
        <v/>
      </c>
      <c r="BF53" s="47">
        <f>IF($E53=BF$3,$G53,0)-IF($H53=BF$3,$J53,0)</f>
        <v/>
      </c>
      <c r="BG53" s="47">
        <f>IF($E53=BG$3,$G53,0)-IF($H53=BG$3,$J53,0)</f>
        <v/>
      </c>
      <c r="BH53" s="47">
        <f>IF($E53=BH$3,$G53,0)-IF($H53=BH$3,$J53,0)</f>
        <v/>
      </c>
      <c r="BI53" s="47">
        <f>IF($E53=BI$3,$G53,0)-IF($H53=BI$3,$J53,0)</f>
        <v/>
      </c>
      <c r="BJ53" s="47">
        <f>IF($E53=BJ$3,$G53,0)-IF($H53=BJ$3,$J53,0)</f>
        <v/>
      </c>
      <c r="BK53" s="47">
        <f>IF($E53=BK$3,$G53,0)-IF($H53=BK$3,$J53,0)</f>
        <v/>
      </c>
      <c r="BL53" s="46">
        <f>-IF($E53=BL$3,$G53,0)+IF($H53=BL$3,$J53,0)</f>
        <v/>
      </c>
      <c r="BM53" s="47">
        <f>-IF($E53=BM$3,$G53,0)+IF($H53=BM$3,$J53,0)</f>
        <v/>
      </c>
      <c r="BN53" s="47">
        <f>-IF($E53=BN$3,$G53,0)+IF($H53=BN$3,$J53,0)</f>
        <v/>
      </c>
      <c r="BO53" s="47">
        <f>-IF($E53=BO$3,$G53,0)+IF($H53=BO$3,$J53,0)</f>
        <v/>
      </c>
      <c r="BP53" s="47">
        <f>-IF($E53=BP$3,$G53,0)+IF($H53=BP$3,$J53,0)</f>
        <v/>
      </c>
      <c r="BQ53" s="47">
        <f>-IF($E53=BQ$3,$G53,0)+IF($H53=BQ$3,$J53,0)</f>
        <v/>
      </c>
      <c r="BR53" s="47">
        <f>-IF($E53=BR$3,$G53,0)+IF($H53=BR$3,$J53,0)</f>
        <v/>
      </c>
      <c r="BS53" s="47">
        <f>-IF($E53=BS$3,$G53,0)+IF($H53=BS$3,$J53,0)</f>
        <v/>
      </c>
      <c r="BT53" s="47">
        <f>-IF($E53=BT$3,$G53,0)+IF($H53=BT$3,$J53,0)</f>
        <v/>
      </c>
      <c r="BU53" s="46">
        <f>+G53-J53</f>
        <v/>
      </c>
      <c r="BV53" s="48">
        <f>-IF($E53=BV$3,$G53,0)+IF($H53=BV$3,$J53,0)</f>
        <v/>
      </c>
      <c r="BW53" s="3" t="n"/>
    </row>
    <row r="54" ht="15.75" customHeight="1" s="214">
      <c r="A54" s="7" t="n"/>
      <c r="B54" s="8" t="n">
        <v>2</v>
      </c>
      <c r="C54" s="9" t="n">
        <v>18</v>
      </c>
      <c r="D54" s="10" t="inlineStr">
        <is>
          <t>M.2 NVMe SSD 外付けケース</t>
        </is>
      </c>
      <c r="E54" s="247" t="n">
        <v>514</v>
      </c>
      <c r="F54" s="11">
        <f>IF(E54="","",IF(ISNA(VLOOKUP(E54,科目コード表!$C$4:$D$67,2,FALSE)),"該当科目なし",VLOOKUP(E54,科目コード表!$C$4:$D$67,2,FALSE)))</f>
        <v/>
      </c>
      <c r="G54" s="38" t="n">
        <v>1602</v>
      </c>
      <c r="H54" s="248" t="n"/>
      <c r="I54" s="11">
        <f>IF(H54="","",IF(ISNA(VLOOKUP(H54,科目コード表!$C$4:$D$67,2,FALSE)),"該当科目なし",VLOOKUP(H54,科目コード表!$C$4:$D$67,2,FALSE)))</f>
        <v/>
      </c>
      <c r="J54" s="40" t="n"/>
      <c r="L54" s="46">
        <f>IF($E54=L$3,$G54,0)-IF($H54=L$3,$J54,0)</f>
        <v/>
      </c>
      <c r="M54" s="47">
        <f>IF($E54=M$3,$G54,0)-IF($H54=M$3,$J54,0)</f>
        <v/>
      </c>
      <c r="N54" s="47">
        <f>IF($E54=N$3,$G54,0)-IF($H54=N$3,$J54,0)</f>
        <v/>
      </c>
      <c r="O54" s="47">
        <f>IF($E54=O$3,$G54,0)-IF($H54=O$3,$J54,0)</f>
        <v/>
      </c>
      <c r="P54" s="47">
        <f>IF($E54=P$3,$G54,0)-IF($H54=P$3,$J54,0)</f>
        <v/>
      </c>
      <c r="Q54" s="47">
        <f>IF($E54=Q$3,$G54,0)-IF($H54=Q$3,$J54,0)</f>
        <v/>
      </c>
      <c r="R54" s="47">
        <f>IF($E54=R$3,$G54,0)-IF($H54=R$3,$J54,0)</f>
        <v/>
      </c>
      <c r="S54" s="47">
        <f>IF($E54=S$3,$G54,0)-IF($H54=S$3,$J54,0)</f>
        <v/>
      </c>
      <c r="T54" s="47">
        <f>IF($E54=T$3,$G54,0)-IF($H54=T$3,$J54,0)</f>
        <v/>
      </c>
      <c r="U54" s="47">
        <f>IF($E54=U$3,$G54,0)-IF($H54=U$3,$J54,0)</f>
        <v/>
      </c>
      <c r="V54" s="47">
        <f>IF($E54=V$3,$G54,0)-IF($H54=V$3,$J54,0)</f>
        <v/>
      </c>
      <c r="W54" s="47">
        <f>IF($E54=W$3,$G54,0)-IF($H54=W$3,$J54,0)</f>
        <v/>
      </c>
      <c r="X54" s="47">
        <f>IF($E54=X$3,$G54,0)-IF($H54=X$3,$J54,0)</f>
        <v/>
      </c>
      <c r="Y54" s="47">
        <f>IF($E54=Y$3,$G54,0)-IF($H54=Y$3,$J54,0)</f>
        <v/>
      </c>
      <c r="Z54" s="47">
        <f>IF($E54=Z$3,$G54,0)-IF($H54=Z$3,$J54,0)</f>
        <v/>
      </c>
      <c r="AA54" s="47">
        <f>IF($E54=AA$3,$G54,0)-IF($H54=AA$3,$J54,0)</f>
        <v/>
      </c>
      <c r="AB54" s="47">
        <f>IF($E54=AB$3,$G54,0)-IF($H54=AB$3,$J54,0)</f>
        <v/>
      </c>
      <c r="AC54" s="47">
        <f>IF($E54=AC$3,$G54,0)-IF($H54=AC$3,$J54,0)</f>
        <v/>
      </c>
      <c r="AD54" s="47">
        <f>IF($E54=AD$3,$G54,0)-IF($H54=AD$3,$J54,0)</f>
        <v/>
      </c>
      <c r="AE54" s="47">
        <f>IF($E54=AE$3,$G54,0)-IF($H54=AE$3,$J54,0)</f>
        <v/>
      </c>
      <c r="AF54" s="47">
        <f>IF($E54=AF$3,$G54,0)-IF($H54=AF$3,$J54,0)</f>
        <v/>
      </c>
      <c r="AG54" s="47">
        <f>IF($E54=AG$3,$G54,0)-IF($H54=AG$3,$J54,0)</f>
        <v/>
      </c>
      <c r="AH54" s="47">
        <f>IF($E54=AH$3,$G54,0)-IF($H54=AH$3,$J54,0)</f>
        <v/>
      </c>
      <c r="AI54" s="47">
        <f>IF($E54=AI$3,$G54,0)-IF($H54=AI$3,$J54,0)</f>
        <v/>
      </c>
      <c r="AJ54" s="47">
        <f>IF($E54=AJ$3,$G54,0)-IF($H54=AJ$3,$J54,0)</f>
        <v/>
      </c>
      <c r="AK54" s="47">
        <f>IF($E54=AK$3,$G54,0)-IF($H54=AK$3,$J54,0)</f>
        <v/>
      </c>
      <c r="AL54" s="48">
        <f>IF($E54=AL$3,$G54,0)-IF($H54=AL$3,$J54,0)</f>
        <v/>
      </c>
      <c r="AM54" s="46">
        <f>-IF($E54=AM$3,$G54,0)+IF($H54=AM$3,$J54,0)</f>
        <v/>
      </c>
      <c r="AN54" s="47">
        <f>-IF($E54=AN$3,$G54,0)+IF($H54=AN$3,$J54,0)</f>
        <v/>
      </c>
      <c r="AO54" s="48">
        <f>-IF($E54=AO$3,$G54,0)+IF($H54=AO$3,$J54,0)</f>
        <v/>
      </c>
      <c r="AP54" s="46">
        <f>IF($E54=AP$3,$G54,0)-IF($H54=AP$3,$J54,0)</f>
        <v/>
      </c>
      <c r="AQ54" s="47">
        <f>IF($E54=AQ$3,$G54,0)-IF($H54=AQ$3,$J54,0)</f>
        <v/>
      </c>
      <c r="AR54" s="47">
        <f>IF($E54=AR$3,$G54,0)-IF($H54=AR$3,$J54,0)</f>
        <v/>
      </c>
      <c r="AS54" s="47">
        <f>IF($E54=AS$3,$G54,0)-IF($H54=AS$3,$J54,0)</f>
        <v/>
      </c>
      <c r="AT54" s="47">
        <f>IF($E54=AT$3,$G54,0)-IF($H54=AT$3,$J54,0)</f>
        <v/>
      </c>
      <c r="AU54" s="47">
        <f>IF($E54=AU$3,$G54,0)-IF($H54=AU$3,$J54,0)</f>
        <v/>
      </c>
      <c r="AV54" s="47">
        <f>IF($E54=AV$3,$G54,0)-IF($H54=AV$3,$J54,0)</f>
        <v/>
      </c>
      <c r="AW54" s="47">
        <f>IF($E54=AW$3,$G54,0)-IF($H54=AW$3,$J54,0)</f>
        <v/>
      </c>
      <c r="AX54" s="47">
        <f>IF($E54=AX$3,$G54,0)-IF($H54=AX$3,$J54,0)</f>
        <v/>
      </c>
      <c r="AY54" s="47">
        <f>IF($E54=AY$3,$G54,0)-IF($H54=AY$3,$J54,0)</f>
        <v/>
      </c>
      <c r="AZ54" s="47">
        <f>IF($E54=AZ$3,$G54,0)-IF($H54=AZ$3,$J54,0)</f>
        <v/>
      </c>
      <c r="BA54" s="47">
        <f>IF($E54=BA$3,$G54,0)-IF($H54=BA$3,$J54,0)</f>
        <v/>
      </c>
      <c r="BB54" s="47">
        <f>IF($E54=BB$3,$G54,0)-IF($H54=BB$3,$J54,0)</f>
        <v/>
      </c>
      <c r="BC54" s="47">
        <f>IF($E54=BC$3,$G54,0)-IF($H54=BC$3,$J54,0)</f>
        <v/>
      </c>
      <c r="BD54" s="47">
        <f>IF($E54=BD$3,$G54,0)-IF($H54=BD$3,$J54,0)</f>
        <v/>
      </c>
      <c r="BE54" s="47">
        <f>IF($E54=BE$3,$G54,0)-IF($H54=BE$3,$J54,0)</f>
        <v/>
      </c>
      <c r="BF54" s="47">
        <f>IF($E54=BF$3,$G54,0)-IF($H54=BF$3,$J54,0)</f>
        <v/>
      </c>
      <c r="BG54" s="47">
        <f>IF($E54=BG$3,$G54,0)-IF($H54=BG$3,$J54,0)</f>
        <v/>
      </c>
      <c r="BH54" s="47">
        <f>IF($E54=BH$3,$G54,0)-IF($H54=BH$3,$J54,0)</f>
        <v/>
      </c>
      <c r="BI54" s="47">
        <f>IF($E54=BI$3,$G54,0)-IF($H54=BI$3,$J54,0)</f>
        <v/>
      </c>
      <c r="BJ54" s="47">
        <f>IF($E54=BJ$3,$G54,0)-IF($H54=BJ$3,$J54,0)</f>
        <v/>
      </c>
      <c r="BK54" s="47">
        <f>IF($E54=BK$3,$G54,0)-IF($H54=BK$3,$J54,0)</f>
        <v/>
      </c>
      <c r="BL54" s="46">
        <f>-IF($E54=BL$3,$G54,0)+IF($H54=BL$3,$J54,0)</f>
        <v/>
      </c>
      <c r="BM54" s="47">
        <f>-IF($E54=BM$3,$G54,0)+IF($H54=BM$3,$J54,0)</f>
        <v/>
      </c>
      <c r="BN54" s="47">
        <f>-IF($E54=BN$3,$G54,0)+IF($H54=BN$3,$J54,0)</f>
        <v/>
      </c>
      <c r="BO54" s="47">
        <f>-IF($E54=BO$3,$G54,0)+IF($H54=BO$3,$J54,0)</f>
        <v/>
      </c>
      <c r="BP54" s="47">
        <f>-IF($E54=BP$3,$G54,0)+IF($H54=BP$3,$J54,0)</f>
        <v/>
      </c>
      <c r="BQ54" s="47">
        <f>-IF($E54=BQ$3,$G54,0)+IF($H54=BQ$3,$J54,0)</f>
        <v/>
      </c>
      <c r="BR54" s="47">
        <f>-IF($E54=BR$3,$G54,0)+IF($H54=BR$3,$J54,0)</f>
        <v/>
      </c>
      <c r="BS54" s="47">
        <f>-IF($E54=BS$3,$G54,0)+IF($H54=BS$3,$J54,0)</f>
        <v/>
      </c>
      <c r="BT54" s="47">
        <f>-IF($E54=BT$3,$G54,0)+IF($H54=BT$3,$J54,0)</f>
        <v/>
      </c>
      <c r="BU54" s="46">
        <f>+G54-J54</f>
        <v/>
      </c>
      <c r="BV54" s="48">
        <f>-IF($E54=BV$3,$G54,0)+IF($H54=BV$3,$J54,0)</f>
        <v/>
      </c>
      <c r="BW54" s="3" t="n"/>
    </row>
    <row r="55" ht="15.75" customHeight="1" s="214">
      <c r="A55" s="7" t="n"/>
      <c r="B55" s="8" t="n">
        <v>2</v>
      </c>
      <c r="C55" s="9" t="n">
        <v>18</v>
      </c>
      <c r="D55" s="10" t="inlineStr">
        <is>
          <t>エポス Github</t>
        </is>
      </c>
      <c r="E55" s="247" t="n">
        <v>525</v>
      </c>
      <c r="F55" s="11">
        <f>IF(E55="","",IF(ISNA(VLOOKUP(E55,科目コード表!$C$4:$D$67,2,FALSE)),"該当科目なし",VLOOKUP(E55,科目コード表!$C$4:$D$67,2,FALSE)))</f>
        <v/>
      </c>
      <c r="G55" s="38" t="n">
        <v>1758</v>
      </c>
      <c r="H55" s="248" t="n"/>
      <c r="I55" s="11">
        <f>IF(H55="","",IF(ISNA(VLOOKUP(H55,科目コード表!$C$4:$D$67,2,FALSE)),"該当科目なし",VLOOKUP(H55,科目コード表!$C$4:$D$67,2,FALSE)))</f>
        <v/>
      </c>
      <c r="J55" s="40" t="n"/>
      <c r="L55" s="46">
        <f>IF($E55=L$3,$G55,0)-IF($H55=L$3,$J55,0)</f>
        <v/>
      </c>
      <c r="M55" s="47">
        <f>IF($E55=M$3,$G55,0)-IF($H55=M$3,$J55,0)</f>
        <v/>
      </c>
      <c r="N55" s="47">
        <f>IF($E55=N$3,$G55,0)-IF($H55=N$3,$J55,0)</f>
        <v/>
      </c>
      <c r="O55" s="47">
        <f>IF($E55=O$3,$G55,0)-IF($H55=O$3,$J55,0)</f>
        <v/>
      </c>
      <c r="P55" s="47">
        <f>IF($E55=P$3,$G55,0)-IF($H55=P$3,$J55,0)</f>
        <v/>
      </c>
      <c r="Q55" s="47">
        <f>IF($E55=Q$3,$G55,0)-IF($H55=Q$3,$J55,0)</f>
        <v/>
      </c>
      <c r="R55" s="47">
        <f>IF($E55=R$3,$G55,0)-IF($H55=R$3,$J55,0)</f>
        <v/>
      </c>
      <c r="S55" s="47">
        <f>IF($E55=S$3,$G55,0)-IF($H55=S$3,$J55,0)</f>
        <v/>
      </c>
      <c r="T55" s="47">
        <f>IF($E55=T$3,$G55,0)-IF($H55=T$3,$J55,0)</f>
        <v/>
      </c>
      <c r="U55" s="47">
        <f>IF($E55=U$3,$G55,0)-IF($H55=U$3,$J55,0)</f>
        <v/>
      </c>
      <c r="V55" s="47">
        <f>IF($E55=V$3,$G55,0)-IF($H55=V$3,$J55,0)</f>
        <v/>
      </c>
      <c r="W55" s="47">
        <f>IF($E55=W$3,$G55,0)-IF($H55=W$3,$J55,0)</f>
        <v/>
      </c>
      <c r="X55" s="47">
        <f>IF($E55=X$3,$G55,0)-IF($H55=X$3,$J55,0)</f>
        <v/>
      </c>
      <c r="Y55" s="47">
        <f>IF($E55=Y$3,$G55,0)-IF($H55=Y$3,$J55,0)</f>
        <v/>
      </c>
      <c r="Z55" s="47">
        <f>IF($E55=Z$3,$G55,0)-IF($H55=Z$3,$J55,0)</f>
        <v/>
      </c>
      <c r="AA55" s="47">
        <f>IF($E55=AA$3,$G55,0)-IF($H55=AA$3,$J55,0)</f>
        <v/>
      </c>
      <c r="AB55" s="47">
        <f>IF($E55=AB$3,$G55,0)-IF($H55=AB$3,$J55,0)</f>
        <v/>
      </c>
      <c r="AC55" s="47">
        <f>IF($E55=AC$3,$G55,0)-IF($H55=AC$3,$J55,0)</f>
        <v/>
      </c>
      <c r="AD55" s="47">
        <f>IF($E55=AD$3,$G55,0)-IF($H55=AD$3,$J55,0)</f>
        <v/>
      </c>
      <c r="AE55" s="47">
        <f>IF($E55=AE$3,$G55,0)-IF($H55=AE$3,$J55,0)</f>
        <v/>
      </c>
      <c r="AF55" s="47">
        <f>IF($E55=AF$3,$G55,0)-IF($H55=AF$3,$J55,0)</f>
        <v/>
      </c>
      <c r="AG55" s="47">
        <f>IF($E55=AG$3,$G55,0)-IF($H55=AG$3,$J55,0)</f>
        <v/>
      </c>
      <c r="AH55" s="47">
        <f>IF($E55=AH$3,$G55,0)-IF($H55=AH$3,$J55,0)</f>
        <v/>
      </c>
      <c r="AI55" s="47">
        <f>IF($E55=AI$3,$G55,0)-IF($H55=AI$3,$J55,0)</f>
        <v/>
      </c>
      <c r="AJ55" s="47">
        <f>IF($E55=AJ$3,$G55,0)-IF($H55=AJ$3,$J55,0)</f>
        <v/>
      </c>
      <c r="AK55" s="47">
        <f>IF($E55=AK$3,$G55,0)-IF($H55=AK$3,$J55,0)</f>
        <v/>
      </c>
      <c r="AL55" s="48">
        <f>IF($E55=AL$3,$G55,0)-IF($H55=AL$3,$J55,0)</f>
        <v/>
      </c>
      <c r="AM55" s="46">
        <f>-IF($E55=AM$3,$G55,0)+IF($H55=AM$3,$J55,0)</f>
        <v/>
      </c>
      <c r="AN55" s="47">
        <f>-IF($E55=AN$3,$G55,0)+IF($H55=AN$3,$J55,0)</f>
        <v/>
      </c>
      <c r="AO55" s="48">
        <f>-IF($E55=AO$3,$G55,0)+IF($H55=AO$3,$J55,0)</f>
        <v/>
      </c>
      <c r="AP55" s="46">
        <f>IF($E55=AP$3,$G55,0)-IF($H55=AP$3,$J55,0)</f>
        <v/>
      </c>
      <c r="AQ55" s="47">
        <f>IF($E55=AQ$3,$G55,0)-IF($H55=AQ$3,$J55,0)</f>
        <v/>
      </c>
      <c r="AR55" s="47">
        <f>IF($E55=AR$3,$G55,0)-IF($H55=AR$3,$J55,0)</f>
        <v/>
      </c>
      <c r="AS55" s="47">
        <f>IF($E55=AS$3,$G55,0)-IF($H55=AS$3,$J55,0)</f>
        <v/>
      </c>
      <c r="AT55" s="47">
        <f>IF($E55=AT$3,$G55,0)-IF($H55=AT$3,$J55,0)</f>
        <v/>
      </c>
      <c r="AU55" s="47">
        <f>IF($E55=AU$3,$G55,0)-IF($H55=AU$3,$J55,0)</f>
        <v/>
      </c>
      <c r="AV55" s="47">
        <f>IF($E55=AV$3,$G55,0)-IF($H55=AV$3,$J55,0)</f>
        <v/>
      </c>
      <c r="AW55" s="47">
        <f>IF($E55=AW$3,$G55,0)-IF($H55=AW$3,$J55,0)</f>
        <v/>
      </c>
      <c r="AX55" s="47">
        <f>IF($E55=AX$3,$G55,0)-IF($H55=AX$3,$J55,0)</f>
        <v/>
      </c>
      <c r="AY55" s="47">
        <f>IF($E55=AY$3,$G55,0)-IF($H55=AY$3,$J55,0)</f>
        <v/>
      </c>
      <c r="AZ55" s="47">
        <f>IF($E55=AZ$3,$G55,0)-IF($H55=AZ$3,$J55,0)</f>
        <v/>
      </c>
      <c r="BA55" s="47">
        <f>IF($E55=BA$3,$G55,0)-IF($H55=BA$3,$J55,0)</f>
        <v/>
      </c>
      <c r="BB55" s="47">
        <f>IF($E55=BB$3,$G55,0)-IF($H55=BB$3,$J55,0)</f>
        <v/>
      </c>
      <c r="BC55" s="47">
        <f>IF($E55=BC$3,$G55,0)-IF($H55=BC$3,$J55,0)</f>
        <v/>
      </c>
      <c r="BD55" s="47">
        <f>IF($E55=BD$3,$G55,0)-IF($H55=BD$3,$J55,0)</f>
        <v/>
      </c>
      <c r="BE55" s="47">
        <f>IF($E55=BE$3,$G55,0)-IF($H55=BE$3,$J55,0)</f>
        <v/>
      </c>
      <c r="BF55" s="47">
        <f>IF($E55=BF$3,$G55,0)-IF($H55=BF$3,$J55,0)</f>
        <v/>
      </c>
      <c r="BG55" s="47">
        <f>IF($E55=BG$3,$G55,0)-IF($H55=BG$3,$J55,0)</f>
        <v/>
      </c>
      <c r="BH55" s="47">
        <f>IF($E55=BH$3,$G55,0)-IF($H55=BH$3,$J55,0)</f>
        <v/>
      </c>
      <c r="BI55" s="47">
        <f>IF($E55=BI$3,$G55,0)-IF($H55=BI$3,$J55,0)</f>
        <v/>
      </c>
      <c r="BJ55" s="47">
        <f>IF($E55=BJ$3,$G55,0)-IF($H55=BJ$3,$J55,0)</f>
        <v/>
      </c>
      <c r="BK55" s="47">
        <f>IF($E55=BK$3,$G55,0)-IF($H55=BK$3,$J55,0)</f>
        <v/>
      </c>
      <c r="BL55" s="46">
        <f>-IF($E55=BL$3,$G55,0)+IF($H55=BL$3,$J55,0)</f>
        <v/>
      </c>
      <c r="BM55" s="47">
        <f>-IF($E55=BM$3,$G55,0)+IF($H55=BM$3,$J55,0)</f>
        <v/>
      </c>
      <c r="BN55" s="47">
        <f>-IF($E55=BN$3,$G55,0)+IF($H55=BN$3,$J55,0)</f>
        <v/>
      </c>
      <c r="BO55" s="47">
        <f>-IF($E55=BO$3,$G55,0)+IF($H55=BO$3,$J55,0)</f>
        <v/>
      </c>
      <c r="BP55" s="47">
        <f>-IF($E55=BP$3,$G55,0)+IF($H55=BP$3,$J55,0)</f>
        <v/>
      </c>
      <c r="BQ55" s="47">
        <f>-IF($E55=BQ$3,$G55,0)+IF($H55=BQ$3,$J55,0)</f>
        <v/>
      </c>
      <c r="BR55" s="47">
        <f>-IF($E55=BR$3,$G55,0)+IF($H55=BR$3,$J55,0)</f>
        <v/>
      </c>
      <c r="BS55" s="47">
        <f>-IF($E55=BS$3,$G55,0)+IF($H55=BS$3,$J55,0)</f>
        <v/>
      </c>
      <c r="BT55" s="47">
        <f>-IF($E55=BT$3,$G55,0)+IF($H55=BT$3,$J55,0)</f>
        <v/>
      </c>
      <c r="BU55" s="46">
        <f>+G55-J55</f>
        <v/>
      </c>
      <c r="BV55" s="48">
        <f>-IF($E55=BV$3,$G55,0)+IF($H55=BV$3,$J55,0)</f>
        <v/>
      </c>
      <c r="BW55" s="3" t="n"/>
    </row>
    <row r="56" ht="15.75" customHeight="1" s="214">
      <c r="A56" s="7" t="n"/>
      <c r="B56" s="8" t="n">
        <v>2</v>
      </c>
      <c r="C56" s="9" t="n">
        <v>20</v>
      </c>
      <c r="D56" s="10" t="inlineStr">
        <is>
          <t>エポス Microsoft</t>
        </is>
      </c>
      <c r="E56" s="247" t="n">
        <v>525</v>
      </c>
      <c r="F56" s="11">
        <f>IF(E56="","",IF(ISNA(VLOOKUP(E56,科目コード表!$C$4:$D$67,2,FALSE)),"該当科目なし",VLOOKUP(E56,科目コード表!$C$4:$D$67,2,FALSE)))</f>
        <v/>
      </c>
      <c r="G56" s="38" t="n">
        <v>2856</v>
      </c>
      <c r="H56" s="248" t="n"/>
      <c r="I56" s="11">
        <f>IF(H56="","",IF(ISNA(VLOOKUP(H56,科目コード表!$C$4:$D$67,2,FALSE)),"該当科目なし",VLOOKUP(H56,科目コード表!$C$4:$D$67,2,FALSE)))</f>
        <v/>
      </c>
      <c r="J56" s="40" t="n"/>
      <c r="L56" s="46">
        <f>IF($E56=L$3,$G56,0)-IF($H56=L$3,$J56,0)</f>
        <v/>
      </c>
      <c r="M56" s="47">
        <f>IF($E56=M$3,$G56,0)-IF($H56=M$3,$J56,0)</f>
        <v/>
      </c>
      <c r="N56" s="47">
        <f>IF($E56=N$3,$G56,0)-IF($H56=N$3,$J56,0)</f>
        <v/>
      </c>
      <c r="O56" s="47">
        <f>IF($E56=O$3,$G56,0)-IF($H56=O$3,$J56,0)</f>
        <v/>
      </c>
      <c r="P56" s="47">
        <f>IF($E56=P$3,$G56,0)-IF($H56=P$3,$J56,0)</f>
        <v/>
      </c>
      <c r="Q56" s="47">
        <f>IF($E56=Q$3,$G56,0)-IF($H56=Q$3,$J56,0)</f>
        <v/>
      </c>
      <c r="R56" s="47">
        <f>IF($E56=R$3,$G56,0)-IF($H56=R$3,$J56,0)</f>
        <v/>
      </c>
      <c r="S56" s="47">
        <f>IF($E56=S$3,$G56,0)-IF($H56=S$3,$J56,0)</f>
        <v/>
      </c>
      <c r="T56" s="47">
        <f>IF($E56=T$3,$G56,0)-IF($H56=T$3,$J56,0)</f>
        <v/>
      </c>
      <c r="U56" s="47">
        <f>IF($E56=U$3,$G56,0)-IF($H56=U$3,$J56,0)</f>
        <v/>
      </c>
      <c r="V56" s="47">
        <f>IF($E56=V$3,$G56,0)-IF($H56=V$3,$J56,0)</f>
        <v/>
      </c>
      <c r="W56" s="47">
        <f>IF($E56=W$3,$G56,0)-IF($H56=W$3,$J56,0)</f>
        <v/>
      </c>
      <c r="X56" s="47">
        <f>IF($E56=X$3,$G56,0)-IF($H56=X$3,$J56,0)</f>
        <v/>
      </c>
      <c r="Y56" s="47">
        <f>IF($E56=Y$3,$G56,0)-IF($H56=Y$3,$J56,0)</f>
        <v/>
      </c>
      <c r="Z56" s="47">
        <f>IF($E56=Z$3,$G56,0)-IF($H56=Z$3,$J56,0)</f>
        <v/>
      </c>
      <c r="AA56" s="47">
        <f>IF($E56=AA$3,$G56,0)-IF($H56=AA$3,$J56,0)</f>
        <v/>
      </c>
      <c r="AB56" s="47">
        <f>IF($E56=AB$3,$G56,0)-IF($H56=AB$3,$J56,0)</f>
        <v/>
      </c>
      <c r="AC56" s="47">
        <f>IF($E56=AC$3,$G56,0)-IF($H56=AC$3,$J56,0)</f>
        <v/>
      </c>
      <c r="AD56" s="47">
        <f>IF($E56=AD$3,$G56,0)-IF($H56=AD$3,$J56,0)</f>
        <v/>
      </c>
      <c r="AE56" s="47">
        <f>IF($E56=AE$3,$G56,0)-IF($H56=AE$3,$J56,0)</f>
        <v/>
      </c>
      <c r="AF56" s="47">
        <f>IF($E56=AF$3,$G56,0)-IF($H56=AF$3,$J56,0)</f>
        <v/>
      </c>
      <c r="AG56" s="47">
        <f>IF($E56=AG$3,$G56,0)-IF($H56=AG$3,$J56,0)</f>
        <v/>
      </c>
      <c r="AH56" s="47">
        <f>IF($E56=AH$3,$G56,0)-IF($H56=AH$3,$J56,0)</f>
        <v/>
      </c>
      <c r="AI56" s="47">
        <f>IF($E56=AI$3,$G56,0)-IF($H56=AI$3,$J56,0)</f>
        <v/>
      </c>
      <c r="AJ56" s="47">
        <f>IF($E56=AJ$3,$G56,0)-IF($H56=AJ$3,$J56,0)</f>
        <v/>
      </c>
      <c r="AK56" s="47">
        <f>IF($E56=AK$3,$G56,0)-IF($H56=AK$3,$J56,0)</f>
        <v/>
      </c>
      <c r="AL56" s="48">
        <f>IF($E56=AL$3,$G56,0)-IF($H56=AL$3,$J56,0)</f>
        <v/>
      </c>
      <c r="AM56" s="46">
        <f>-IF($E56=AM$3,$G56,0)+IF($H56=AM$3,$J56,0)</f>
        <v/>
      </c>
      <c r="AN56" s="47">
        <f>-IF($E56=AN$3,$G56,0)+IF($H56=AN$3,$J56,0)</f>
        <v/>
      </c>
      <c r="AO56" s="48">
        <f>-IF($E56=AO$3,$G56,0)+IF($H56=AO$3,$J56,0)</f>
        <v/>
      </c>
      <c r="AP56" s="46">
        <f>IF($E56=AP$3,$G56,0)-IF($H56=AP$3,$J56,0)</f>
        <v/>
      </c>
      <c r="AQ56" s="47">
        <f>IF($E56=AQ$3,$G56,0)-IF($H56=AQ$3,$J56,0)</f>
        <v/>
      </c>
      <c r="AR56" s="47">
        <f>IF($E56=AR$3,$G56,0)-IF($H56=AR$3,$J56,0)</f>
        <v/>
      </c>
      <c r="AS56" s="47">
        <f>IF($E56=AS$3,$G56,0)-IF($H56=AS$3,$J56,0)</f>
        <v/>
      </c>
      <c r="AT56" s="47">
        <f>IF($E56=AT$3,$G56,0)-IF($H56=AT$3,$J56,0)</f>
        <v/>
      </c>
      <c r="AU56" s="47">
        <f>IF($E56=AU$3,$G56,0)-IF($H56=AU$3,$J56,0)</f>
        <v/>
      </c>
      <c r="AV56" s="47">
        <f>IF($E56=AV$3,$G56,0)-IF($H56=AV$3,$J56,0)</f>
        <v/>
      </c>
      <c r="AW56" s="47">
        <f>IF($E56=AW$3,$G56,0)-IF($H56=AW$3,$J56,0)</f>
        <v/>
      </c>
      <c r="AX56" s="47">
        <f>IF($E56=AX$3,$G56,0)-IF($H56=AX$3,$J56,0)</f>
        <v/>
      </c>
      <c r="AY56" s="47">
        <f>IF($E56=AY$3,$G56,0)-IF($H56=AY$3,$J56,0)</f>
        <v/>
      </c>
      <c r="AZ56" s="47">
        <f>IF($E56=AZ$3,$G56,0)-IF($H56=AZ$3,$J56,0)</f>
        <v/>
      </c>
      <c r="BA56" s="47">
        <f>IF($E56=BA$3,$G56,0)-IF($H56=BA$3,$J56,0)</f>
        <v/>
      </c>
      <c r="BB56" s="47">
        <f>IF($E56=BB$3,$G56,0)-IF($H56=BB$3,$J56,0)</f>
        <v/>
      </c>
      <c r="BC56" s="47">
        <f>IF($E56=BC$3,$G56,0)-IF($H56=BC$3,$J56,0)</f>
        <v/>
      </c>
      <c r="BD56" s="47">
        <f>IF($E56=BD$3,$G56,0)-IF($H56=BD$3,$J56,0)</f>
        <v/>
      </c>
      <c r="BE56" s="47">
        <f>IF($E56=BE$3,$G56,0)-IF($H56=BE$3,$J56,0)</f>
        <v/>
      </c>
      <c r="BF56" s="47">
        <f>IF($E56=BF$3,$G56,0)-IF($H56=BF$3,$J56,0)</f>
        <v/>
      </c>
      <c r="BG56" s="47">
        <f>IF($E56=BG$3,$G56,0)-IF($H56=BG$3,$J56,0)</f>
        <v/>
      </c>
      <c r="BH56" s="47">
        <f>IF($E56=BH$3,$G56,0)-IF($H56=BH$3,$J56,0)</f>
        <v/>
      </c>
      <c r="BI56" s="47">
        <f>IF($E56=BI$3,$G56,0)-IF($H56=BI$3,$J56,0)</f>
        <v/>
      </c>
      <c r="BJ56" s="47">
        <f>IF($E56=BJ$3,$G56,0)-IF($H56=BJ$3,$J56,0)</f>
        <v/>
      </c>
      <c r="BK56" s="47">
        <f>IF($E56=BK$3,$G56,0)-IF($H56=BK$3,$J56,0)</f>
        <v/>
      </c>
      <c r="BL56" s="46">
        <f>-IF($E56=BL$3,$G56,0)+IF($H56=BL$3,$J56,0)</f>
        <v/>
      </c>
      <c r="BM56" s="47">
        <f>-IF($E56=BM$3,$G56,0)+IF($H56=BM$3,$J56,0)</f>
        <v/>
      </c>
      <c r="BN56" s="47">
        <f>-IF($E56=BN$3,$G56,0)+IF($H56=BN$3,$J56,0)</f>
        <v/>
      </c>
      <c r="BO56" s="47">
        <f>-IF($E56=BO$3,$G56,0)+IF($H56=BO$3,$J56,0)</f>
        <v/>
      </c>
      <c r="BP56" s="47">
        <f>-IF($E56=BP$3,$G56,0)+IF($H56=BP$3,$J56,0)</f>
        <v/>
      </c>
      <c r="BQ56" s="47">
        <f>-IF($E56=BQ$3,$G56,0)+IF($H56=BQ$3,$J56,0)</f>
        <v/>
      </c>
      <c r="BR56" s="47">
        <f>-IF($E56=BR$3,$G56,0)+IF($H56=BR$3,$J56,0)</f>
        <v/>
      </c>
      <c r="BS56" s="47">
        <f>-IF($E56=BS$3,$G56,0)+IF($H56=BS$3,$J56,0)</f>
        <v/>
      </c>
      <c r="BT56" s="47">
        <f>-IF($E56=BT$3,$G56,0)+IF($H56=BT$3,$J56,0)</f>
        <v/>
      </c>
      <c r="BU56" s="46">
        <f>+G56-J56</f>
        <v/>
      </c>
      <c r="BV56" s="48">
        <f>-IF($E56=BV$3,$G56,0)+IF($H56=BV$3,$J56,0)</f>
        <v/>
      </c>
      <c r="BW56" s="3" t="n"/>
    </row>
    <row r="57" ht="15.75" customHeight="1" s="214">
      <c r="A57" s="7" t="n"/>
      <c r="B57" s="8" t="n">
        <v>2</v>
      </c>
      <c r="C57" s="9" t="n">
        <v>22</v>
      </c>
      <c r="D57" s="10" t="inlineStr">
        <is>
          <t>BigBoy交際費</t>
        </is>
      </c>
      <c r="E57" s="247" t="n">
        <v>511</v>
      </c>
      <c r="F57" s="11">
        <f>IF(E57="","",IF(ISNA(VLOOKUP(E57,科目コード表!$C$4:$D$67,2,FALSE)),"該当科目なし",VLOOKUP(E57,科目コード表!$C$4:$D$67,2,FALSE)))</f>
        <v/>
      </c>
      <c r="G57" s="38" t="n">
        <v>7854</v>
      </c>
      <c r="H57" s="248" t="n"/>
      <c r="I57" s="11">
        <f>IF(H57="","",IF(ISNA(VLOOKUP(H57,科目コード表!$C$4:$D$67,2,FALSE)),"該当科目なし",VLOOKUP(H57,科目コード表!$C$4:$D$67,2,FALSE)))</f>
        <v/>
      </c>
      <c r="J57" s="40" t="n"/>
      <c r="L57" s="46">
        <f>IF($E57=L$3,$G57,0)-IF($H57=L$3,$J57,0)</f>
        <v/>
      </c>
      <c r="M57" s="47">
        <f>IF($E57=M$3,$G57,0)-IF($H57=M$3,$J57,0)</f>
        <v/>
      </c>
      <c r="N57" s="47">
        <f>IF($E57=N$3,$G57,0)-IF($H57=N$3,$J57,0)</f>
        <v/>
      </c>
      <c r="O57" s="47">
        <f>IF($E57=O$3,$G57,0)-IF($H57=O$3,$J57,0)</f>
        <v/>
      </c>
      <c r="P57" s="47">
        <f>IF($E57=P$3,$G57,0)-IF($H57=P$3,$J57,0)</f>
        <v/>
      </c>
      <c r="Q57" s="47">
        <f>IF($E57=Q$3,$G57,0)-IF($H57=Q$3,$J57,0)</f>
        <v/>
      </c>
      <c r="R57" s="47">
        <f>IF($E57=R$3,$G57,0)-IF($H57=R$3,$J57,0)</f>
        <v/>
      </c>
      <c r="S57" s="47">
        <f>IF($E57=S$3,$G57,0)-IF($H57=S$3,$J57,0)</f>
        <v/>
      </c>
      <c r="T57" s="47">
        <f>IF($E57=T$3,$G57,0)-IF($H57=T$3,$J57,0)</f>
        <v/>
      </c>
      <c r="U57" s="47">
        <f>IF($E57=U$3,$G57,0)-IF($H57=U$3,$J57,0)</f>
        <v/>
      </c>
      <c r="V57" s="47">
        <f>IF($E57=V$3,$G57,0)-IF($H57=V$3,$J57,0)</f>
        <v/>
      </c>
      <c r="W57" s="47">
        <f>IF($E57=W$3,$G57,0)-IF($H57=W$3,$J57,0)</f>
        <v/>
      </c>
      <c r="X57" s="47">
        <f>IF($E57=X$3,$G57,0)-IF($H57=X$3,$J57,0)</f>
        <v/>
      </c>
      <c r="Y57" s="47">
        <f>IF($E57=Y$3,$G57,0)-IF($H57=Y$3,$J57,0)</f>
        <v/>
      </c>
      <c r="Z57" s="47">
        <f>IF($E57=Z$3,$G57,0)-IF($H57=Z$3,$J57,0)</f>
        <v/>
      </c>
      <c r="AA57" s="47">
        <f>IF($E57=AA$3,$G57,0)-IF($H57=AA$3,$J57,0)</f>
        <v/>
      </c>
      <c r="AB57" s="47">
        <f>IF($E57=AB$3,$G57,0)-IF($H57=AB$3,$J57,0)</f>
        <v/>
      </c>
      <c r="AC57" s="47">
        <f>IF($E57=AC$3,$G57,0)-IF($H57=AC$3,$J57,0)</f>
        <v/>
      </c>
      <c r="AD57" s="47">
        <f>IF($E57=AD$3,$G57,0)-IF($H57=AD$3,$J57,0)</f>
        <v/>
      </c>
      <c r="AE57" s="47">
        <f>IF($E57=AE$3,$G57,0)-IF($H57=AE$3,$J57,0)</f>
        <v/>
      </c>
      <c r="AF57" s="47">
        <f>IF($E57=AF$3,$G57,0)-IF($H57=AF$3,$J57,0)</f>
        <v/>
      </c>
      <c r="AG57" s="47">
        <f>IF($E57=AG$3,$G57,0)-IF($H57=AG$3,$J57,0)</f>
        <v/>
      </c>
      <c r="AH57" s="47">
        <f>IF($E57=AH$3,$G57,0)-IF($H57=AH$3,$J57,0)</f>
        <v/>
      </c>
      <c r="AI57" s="47">
        <f>IF($E57=AI$3,$G57,0)-IF($H57=AI$3,$J57,0)</f>
        <v/>
      </c>
      <c r="AJ57" s="47">
        <f>IF($E57=AJ$3,$G57,0)-IF($H57=AJ$3,$J57,0)</f>
        <v/>
      </c>
      <c r="AK57" s="47">
        <f>IF($E57=AK$3,$G57,0)-IF($H57=AK$3,$J57,0)</f>
        <v/>
      </c>
      <c r="AL57" s="48">
        <f>IF($E57=AL$3,$G57,0)-IF($H57=AL$3,$J57,0)</f>
        <v/>
      </c>
      <c r="AM57" s="46">
        <f>-IF($E57=AM$3,$G57,0)+IF($H57=AM$3,$J57,0)</f>
        <v/>
      </c>
      <c r="AN57" s="47">
        <f>-IF($E57=AN$3,$G57,0)+IF($H57=AN$3,$J57,0)</f>
        <v/>
      </c>
      <c r="AO57" s="48">
        <f>-IF($E57=AO$3,$G57,0)+IF($H57=AO$3,$J57,0)</f>
        <v/>
      </c>
      <c r="AP57" s="46">
        <f>IF($E57=AP$3,$G57,0)-IF($H57=AP$3,$J57,0)</f>
        <v/>
      </c>
      <c r="AQ57" s="47">
        <f>IF($E57=AQ$3,$G57,0)-IF($H57=AQ$3,$J57,0)</f>
        <v/>
      </c>
      <c r="AR57" s="47">
        <f>IF($E57=AR$3,$G57,0)-IF($H57=AR$3,$J57,0)</f>
        <v/>
      </c>
      <c r="AS57" s="47">
        <f>IF($E57=AS$3,$G57,0)-IF($H57=AS$3,$J57,0)</f>
        <v/>
      </c>
      <c r="AT57" s="47">
        <f>IF($E57=AT$3,$G57,0)-IF($H57=AT$3,$J57,0)</f>
        <v/>
      </c>
      <c r="AU57" s="47">
        <f>IF($E57=AU$3,$G57,0)-IF($H57=AU$3,$J57,0)</f>
        <v/>
      </c>
      <c r="AV57" s="47">
        <f>IF($E57=AV$3,$G57,0)-IF($H57=AV$3,$J57,0)</f>
        <v/>
      </c>
      <c r="AW57" s="47">
        <f>IF($E57=AW$3,$G57,0)-IF($H57=AW$3,$J57,0)</f>
        <v/>
      </c>
      <c r="AX57" s="47">
        <f>IF($E57=AX$3,$G57,0)-IF($H57=AX$3,$J57,0)</f>
        <v/>
      </c>
      <c r="AY57" s="47">
        <f>IF($E57=AY$3,$G57,0)-IF($H57=AY$3,$J57,0)</f>
        <v/>
      </c>
      <c r="AZ57" s="47">
        <f>IF($E57=AZ$3,$G57,0)-IF($H57=AZ$3,$J57,0)</f>
        <v/>
      </c>
      <c r="BA57" s="47">
        <f>IF($E57=BA$3,$G57,0)-IF($H57=BA$3,$J57,0)</f>
        <v/>
      </c>
      <c r="BB57" s="47">
        <f>IF($E57=BB$3,$G57,0)-IF($H57=BB$3,$J57,0)</f>
        <v/>
      </c>
      <c r="BC57" s="47">
        <f>IF($E57=BC$3,$G57,0)-IF($H57=BC$3,$J57,0)</f>
        <v/>
      </c>
      <c r="BD57" s="47">
        <f>IF($E57=BD$3,$G57,0)-IF($H57=BD$3,$J57,0)</f>
        <v/>
      </c>
      <c r="BE57" s="47">
        <f>IF($E57=BE$3,$G57,0)-IF($H57=BE$3,$J57,0)</f>
        <v/>
      </c>
      <c r="BF57" s="47">
        <f>IF($E57=BF$3,$G57,0)-IF($H57=BF$3,$J57,0)</f>
        <v/>
      </c>
      <c r="BG57" s="47">
        <f>IF($E57=BG$3,$G57,0)-IF($H57=BG$3,$J57,0)</f>
        <v/>
      </c>
      <c r="BH57" s="47">
        <f>IF($E57=BH$3,$G57,0)-IF($H57=BH$3,$J57,0)</f>
        <v/>
      </c>
      <c r="BI57" s="47">
        <f>IF($E57=BI$3,$G57,0)-IF($H57=BI$3,$J57,0)</f>
        <v/>
      </c>
      <c r="BJ57" s="47">
        <f>IF($E57=BJ$3,$G57,0)-IF($H57=BJ$3,$J57,0)</f>
        <v/>
      </c>
      <c r="BK57" s="47">
        <f>IF($E57=BK$3,$G57,0)-IF($H57=BK$3,$J57,0)</f>
        <v/>
      </c>
      <c r="BL57" s="46">
        <f>-IF($E57=BL$3,$G57,0)+IF($H57=BL$3,$J57,0)</f>
        <v/>
      </c>
      <c r="BM57" s="47">
        <f>-IF($E57=BM$3,$G57,0)+IF($H57=BM$3,$J57,0)</f>
        <v/>
      </c>
      <c r="BN57" s="47">
        <f>-IF($E57=BN$3,$G57,0)+IF($H57=BN$3,$J57,0)</f>
        <v/>
      </c>
      <c r="BO57" s="47">
        <f>-IF($E57=BO$3,$G57,0)+IF($H57=BO$3,$J57,0)</f>
        <v/>
      </c>
      <c r="BP57" s="47">
        <f>-IF($E57=BP$3,$G57,0)+IF($H57=BP$3,$J57,0)</f>
        <v/>
      </c>
      <c r="BQ57" s="47">
        <f>-IF($E57=BQ$3,$G57,0)+IF($H57=BQ$3,$J57,0)</f>
        <v/>
      </c>
      <c r="BR57" s="47">
        <f>-IF($E57=BR$3,$G57,0)+IF($H57=BR$3,$J57,0)</f>
        <v/>
      </c>
      <c r="BS57" s="47">
        <f>-IF($E57=BS$3,$G57,0)+IF($H57=BS$3,$J57,0)</f>
        <v/>
      </c>
      <c r="BT57" s="47">
        <f>-IF($E57=BT$3,$G57,0)+IF($H57=BT$3,$J57,0)</f>
        <v/>
      </c>
      <c r="BU57" s="46">
        <f>+G57-J57</f>
        <v/>
      </c>
      <c r="BV57" s="48">
        <f>-IF($E57=BV$3,$G57,0)+IF($H57=BV$3,$J57,0)</f>
        <v/>
      </c>
      <c r="BW57" s="3" t="n"/>
    </row>
    <row r="58" ht="15.75" customHeight="1" s="214">
      <c r="A58" s="7" t="n"/>
      <c r="B58" s="8" t="n">
        <v>2</v>
      </c>
      <c r="C58" s="9" t="n">
        <v>24</v>
      </c>
      <c r="D58" s="10" t="inlineStr">
        <is>
          <t>ScanSnap購入</t>
        </is>
      </c>
      <c r="E58" s="247" t="n">
        <v>514</v>
      </c>
      <c r="F58" s="11">
        <f>IF(E58="","",IF(ISNA(VLOOKUP(E58,科目コード表!$C$4:$D$67,2,FALSE)),"該当科目なし",VLOOKUP(E58,科目コード表!$C$4:$D$67,2,FALSE)))</f>
        <v/>
      </c>
      <c r="G58" s="38" t="n">
        <v>31800</v>
      </c>
      <c r="H58" s="248" t="n"/>
      <c r="I58" s="11">
        <f>IF(H58="","",IF(ISNA(VLOOKUP(H58,科目コード表!$C$4:$D$67,2,FALSE)),"該当科目なし",VLOOKUP(H58,科目コード表!$C$4:$D$67,2,FALSE)))</f>
        <v/>
      </c>
      <c r="J58" s="40" t="n"/>
      <c r="L58" s="46">
        <f>IF($E58=L$3,$G58,0)-IF($H58=L$3,$J58,0)</f>
        <v/>
      </c>
      <c r="M58" s="47">
        <f>IF($E58=M$3,$G58,0)-IF($H58=M$3,$J58,0)</f>
        <v/>
      </c>
      <c r="N58" s="47">
        <f>IF($E58=N$3,$G58,0)-IF($H58=N$3,$J58,0)</f>
        <v/>
      </c>
      <c r="O58" s="47">
        <f>IF($E58=O$3,$G58,0)-IF($H58=O$3,$J58,0)</f>
        <v/>
      </c>
      <c r="P58" s="47">
        <f>IF($E58=P$3,$G58,0)-IF($H58=P$3,$J58,0)</f>
        <v/>
      </c>
      <c r="Q58" s="47">
        <f>IF($E58=Q$3,$G58,0)-IF($H58=Q$3,$J58,0)</f>
        <v/>
      </c>
      <c r="R58" s="47">
        <f>IF($E58=R$3,$G58,0)-IF($H58=R$3,$J58,0)</f>
        <v/>
      </c>
      <c r="S58" s="47">
        <f>IF($E58=S$3,$G58,0)-IF($H58=S$3,$J58,0)</f>
        <v/>
      </c>
      <c r="T58" s="47">
        <f>IF($E58=T$3,$G58,0)-IF($H58=T$3,$J58,0)</f>
        <v/>
      </c>
      <c r="U58" s="47">
        <f>IF($E58=U$3,$G58,0)-IF($H58=U$3,$J58,0)</f>
        <v/>
      </c>
      <c r="V58" s="47">
        <f>IF($E58=V$3,$G58,0)-IF($H58=V$3,$J58,0)</f>
        <v/>
      </c>
      <c r="W58" s="47">
        <f>IF($E58=W$3,$G58,0)-IF($H58=W$3,$J58,0)</f>
        <v/>
      </c>
      <c r="X58" s="47">
        <f>IF($E58=X$3,$G58,0)-IF($H58=X$3,$J58,0)</f>
        <v/>
      </c>
      <c r="Y58" s="47">
        <f>IF($E58=Y$3,$G58,0)-IF($H58=Y$3,$J58,0)</f>
        <v/>
      </c>
      <c r="Z58" s="47">
        <f>IF($E58=Z$3,$G58,0)-IF($H58=Z$3,$J58,0)</f>
        <v/>
      </c>
      <c r="AA58" s="47">
        <f>IF($E58=AA$3,$G58,0)-IF($H58=AA$3,$J58,0)</f>
        <v/>
      </c>
      <c r="AB58" s="47">
        <f>IF($E58=AB$3,$G58,0)-IF($H58=AB$3,$J58,0)</f>
        <v/>
      </c>
      <c r="AC58" s="47">
        <f>IF($E58=AC$3,$G58,0)-IF($H58=AC$3,$J58,0)</f>
        <v/>
      </c>
      <c r="AD58" s="47">
        <f>IF($E58=AD$3,$G58,0)-IF($H58=AD$3,$J58,0)</f>
        <v/>
      </c>
      <c r="AE58" s="47">
        <f>IF($E58=AE$3,$G58,0)-IF($H58=AE$3,$J58,0)</f>
        <v/>
      </c>
      <c r="AF58" s="47">
        <f>IF($E58=AF$3,$G58,0)-IF($H58=AF$3,$J58,0)</f>
        <v/>
      </c>
      <c r="AG58" s="47">
        <f>IF($E58=AG$3,$G58,0)-IF($H58=AG$3,$J58,0)</f>
        <v/>
      </c>
      <c r="AH58" s="47">
        <f>IF($E58=AH$3,$G58,0)-IF($H58=AH$3,$J58,0)</f>
        <v/>
      </c>
      <c r="AI58" s="47">
        <f>IF($E58=AI$3,$G58,0)-IF($H58=AI$3,$J58,0)</f>
        <v/>
      </c>
      <c r="AJ58" s="47">
        <f>IF($E58=AJ$3,$G58,0)-IF($H58=AJ$3,$J58,0)</f>
        <v/>
      </c>
      <c r="AK58" s="47">
        <f>IF($E58=AK$3,$G58,0)-IF($H58=AK$3,$J58,0)</f>
        <v/>
      </c>
      <c r="AL58" s="48">
        <f>IF($E58=AL$3,$G58,0)-IF($H58=AL$3,$J58,0)</f>
        <v/>
      </c>
      <c r="AM58" s="46">
        <f>-IF($E58=AM$3,$G58,0)+IF($H58=AM$3,$J58,0)</f>
        <v/>
      </c>
      <c r="AN58" s="47">
        <f>-IF($E58=AN$3,$G58,0)+IF($H58=AN$3,$J58,0)</f>
        <v/>
      </c>
      <c r="AO58" s="48">
        <f>-IF($E58=AO$3,$G58,0)+IF($H58=AO$3,$J58,0)</f>
        <v/>
      </c>
      <c r="AP58" s="46">
        <f>IF($E58=AP$3,$G58,0)-IF($H58=AP$3,$J58,0)</f>
        <v/>
      </c>
      <c r="AQ58" s="47">
        <f>IF($E58=AQ$3,$G58,0)-IF($H58=AQ$3,$J58,0)</f>
        <v/>
      </c>
      <c r="AR58" s="47">
        <f>IF($E58=AR$3,$G58,0)-IF($H58=AR$3,$J58,0)</f>
        <v/>
      </c>
      <c r="AS58" s="47">
        <f>IF($E58=AS$3,$G58,0)-IF($H58=AS$3,$J58,0)</f>
        <v/>
      </c>
      <c r="AT58" s="47">
        <f>IF($E58=AT$3,$G58,0)-IF($H58=AT$3,$J58,0)</f>
        <v/>
      </c>
      <c r="AU58" s="47">
        <f>IF($E58=AU$3,$G58,0)-IF($H58=AU$3,$J58,0)</f>
        <v/>
      </c>
      <c r="AV58" s="47">
        <f>IF($E58=AV$3,$G58,0)-IF($H58=AV$3,$J58,0)</f>
        <v/>
      </c>
      <c r="AW58" s="47">
        <f>IF($E58=AW$3,$G58,0)-IF($H58=AW$3,$J58,0)</f>
        <v/>
      </c>
      <c r="AX58" s="47">
        <f>IF($E58=AX$3,$G58,0)-IF($H58=AX$3,$J58,0)</f>
        <v/>
      </c>
      <c r="AY58" s="47">
        <f>IF($E58=AY$3,$G58,0)-IF($H58=AY$3,$J58,0)</f>
        <v/>
      </c>
      <c r="AZ58" s="47">
        <f>IF($E58=AZ$3,$G58,0)-IF($H58=AZ$3,$J58,0)</f>
        <v/>
      </c>
      <c r="BA58" s="47">
        <f>IF($E58=BA$3,$G58,0)-IF($H58=BA$3,$J58,0)</f>
        <v/>
      </c>
      <c r="BB58" s="47">
        <f>IF($E58=BB$3,$G58,0)-IF($H58=BB$3,$J58,0)</f>
        <v/>
      </c>
      <c r="BC58" s="47">
        <f>IF($E58=BC$3,$G58,0)-IF($H58=BC$3,$J58,0)</f>
        <v/>
      </c>
      <c r="BD58" s="47">
        <f>IF($E58=BD$3,$G58,0)-IF($H58=BD$3,$J58,0)</f>
        <v/>
      </c>
      <c r="BE58" s="47">
        <f>IF($E58=BE$3,$G58,0)-IF($H58=BE$3,$J58,0)</f>
        <v/>
      </c>
      <c r="BF58" s="47">
        <f>IF($E58=BF$3,$G58,0)-IF($H58=BF$3,$J58,0)</f>
        <v/>
      </c>
      <c r="BG58" s="47">
        <f>IF($E58=BG$3,$G58,0)-IF($H58=BG$3,$J58,0)</f>
        <v/>
      </c>
      <c r="BH58" s="47">
        <f>IF($E58=BH$3,$G58,0)-IF($H58=BH$3,$J58,0)</f>
        <v/>
      </c>
      <c r="BI58" s="47">
        <f>IF($E58=BI$3,$G58,0)-IF($H58=BI$3,$J58,0)</f>
        <v/>
      </c>
      <c r="BJ58" s="47">
        <f>IF($E58=BJ$3,$G58,0)-IF($H58=BJ$3,$J58,0)</f>
        <v/>
      </c>
      <c r="BK58" s="47">
        <f>IF($E58=BK$3,$G58,0)-IF($H58=BK$3,$J58,0)</f>
        <v/>
      </c>
      <c r="BL58" s="46">
        <f>-IF($E58=BL$3,$G58,0)+IF($H58=BL$3,$J58,0)</f>
        <v/>
      </c>
      <c r="BM58" s="47">
        <f>-IF($E58=BM$3,$G58,0)+IF($H58=BM$3,$J58,0)</f>
        <v/>
      </c>
      <c r="BN58" s="47">
        <f>-IF($E58=BN$3,$G58,0)+IF($H58=BN$3,$J58,0)</f>
        <v/>
      </c>
      <c r="BO58" s="47">
        <f>-IF($E58=BO$3,$G58,0)+IF($H58=BO$3,$J58,0)</f>
        <v/>
      </c>
      <c r="BP58" s="47">
        <f>-IF($E58=BP$3,$G58,0)+IF($H58=BP$3,$J58,0)</f>
        <v/>
      </c>
      <c r="BQ58" s="47">
        <f>-IF($E58=BQ$3,$G58,0)+IF($H58=BQ$3,$J58,0)</f>
        <v/>
      </c>
      <c r="BR58" s="47">
        <f>-IF($E58=BR$3,$G58,0)+IF($H58=BR$3,$J58,0)</f>
        <v/>
      </c>
      <c r="BS58" s="47">
        <f>-IF($E58=BS$3,$G58,0)+IF($H58=BS$3,$J58,0)</f>
        <v/>
      </c>
      <c r="BT58" s="47">
        <f>-IF($E58=BT$3,$G58,0)+IF($H58=BT$3,$J58,0)</f>
        <v/>
      </c>
      <c r="BU58" s="46">
        <f>+G58-J58</f>
        <v/>
      </c>
      <c r="BV58" s="48">
        <f>-IF($E58=BV$3,$G58,0)+IF($H58=BV$3,$J58,0)</f>
        <v/>
      </c>
      <c r="BW58" s="3" t="n"/>
    </row>
    <row r="59" ht="15.75" customHeight="1" s="214">
      <c r="A59" s="7" t="n"/>
      <c r="B59" s="8" t="n">
        <v>2</v>
      </c>
      <c r="C59" s="9" t="n">
        <v>25</v>
      </c>
      <c r="D59" s="10" t="inlineStr">
        <is>
          <t>Power Automate for desktop業務自動化最強レシピ RPAツールによる自動化＆効率化ノウハウ</t>
        </is>
      </c>
      <c r="E59" s="247" t="n">
        <v>524</v>
      </c>
      <c r="F59" s="11">
        <f>IF(E59="","",IF(ISNA(VLOOKUP(E59,科目コード表!$C$4:$D$67,2,FALSE)),"該当科目なし",VLOOKUP(E59,科目コード表!$C$4:$D$67,2,FALSE)))</f>
        <v/>
      </c>
      <c r="G59" s="38" t="n">
        <v>3300</v>
      </c>
      <c r="H59" s="248" t="n"/>
      <c r="I59" s="11">
        <f>IF(H59="","",IF(ISNA(VLOOKUP(H59,科目コード表!$C$4:$D$67,2,FALSE)),"該当科目なし",VLOOKUP(H59,科目コード表!$C$4:$D$67,2,FALSE)))</f>
        <v/>
      </c>
      <c r="J59" s="40" t="n"/>
      <c r="L59" s="46">
        <f>IF($E59=L$3,$G59,0)-IF($H59=L$3,$J59,0)</f>
        <v/>
      </c>
      <c r="M59" s="47">
        <f>IF($E59=M$3,$G59,0)-IF($H59=M$3,$J59,0)</f>
        <v/>
      </c>
      <c r="N59" s="47">
        <f>IF($E59=N$3,$G59,0)-IF($H59=N$3,$J59,0)</f>
        <v/>
      </c>
      <c r="O59" s="47">
        <f>IF($E59=O$3,$G59,0)-IF($H59=O$3,$J59,0)</f>
        <v/>
      </c>
      <c r="P59" s="47">
        <f>IF($E59=P$3,$G59,0)-IF($H59=P$3,$J59,0)</f>
        <v/>
      </c>
      <c r="Q59" s="47">
        <f>IF($E59=Q$3,$G59,0)-IF($H59=Q$3,$J59,0)</f>
        <v/>
      </c>
      <c r="R59" s="47">
        <f>IF($E59=R$3,$G59,0)-IF($H59=R$3,$J59,0)</f>
        <v/>
      </c>
      <c r="S59" s="47">
        <f>IF($E59=S$3,$G59,0)-IF($H59=S$3,$J59,0)</f>
        <v/>
      </c>
      <c r="T59" s="47">
        <f>IF($E59=T$3,$G59,0)-IF($H59=T$3,$J59,0)</f>
        <v/>
      </c>
      <c r="U59" s="47">
        <f>IF($E59=U$3,$G59,0)-IF($H59=U$3,$J59,0)</f>
        <v/>
      </c>
      <c r="V59" s="47">
        <f>IF($E59=V$3,$G59,0)-IF($H59=V$3,$J59,0)</f>
        <v/>
      </c>
      <c r="W59" s="47">
        <f>IF($E59=W$3,$G59,0)-IF($H59=W$3,$J59,0)</f>
        <v/>
      </c>
      <c r="X59" s="47">
        <f>IF($E59=X$3,$G59,0)-IF($H59=X$3,$J59,0)</f>
        <v/>
      </c>
      <c r="Y59" s="47">
        <f>IF($E59=Y$3,$G59,0)-IF($H59=Y$3,$J59,0)</f>
        <v/>
      </c>
      <c r="Z59" s="47">
        <f>IF($E59=Z$3,$G59,0)-IF($H59=Z$3,$J59,0)</f>
        <v/>
      </c>
      <c r="AA59" s="47">
        <f>IF($E59=AA$3,$G59,0)-IF($H59=AA$3,$J59,0)</f>
        <v/>
      </c>
      <c r="AB59" s="47">
        <f>IF($E59=AB$3,$G59,0)-IF($H59=AB$3,$J59,0)</f>
        <v/>
      </c>
      <c r="AC59" s="47">
        <f>IF($E59=AC$3,$G59,0)-IF($H59=AC$3,$J59,0)</f>
        <v/>
      </c>
      <c r="AD59" s="47">
        <f>IF($E59=AD$3,$G59,0)-IF($H59=AD$3,$J59,0)</f>
        <v/>
      </c>
      <c r="AE59" s="47">
        <f>IF($E59=AE$3,$G59,0)-IF($H59=AE$3,$J59,0)</f>
        <v/>
      </c>
      <c r="AF59" s="47">
        <f>IF($E59=AF$3,$G59,0)-IF($H59=AF$3,$J59,0)</f>
        <v/>
      </c>
      <c r="AG59" s="47">
        <f>IF($E59=AG$3,$G59,0)-IF($H59=AG$3,$J59,0)</f>
        <v/>
      </c>
      <c r="AH59" s="47">
        <f>IF($E59=AH$3,$G59,0)-IF($H59=AH$3,$J59,0)</f>
        <v/>
      </c>
      <c r="AI59" s="47">
        <f>IF($E59=AI$3,$G59,0)-IF($H59=AI$3,$J59,0)</f>
        <v/>
      </c>
      <c r="AJ59" s="47">
        <f>IF($E59=AJ$3,$G59,0)-IF($H59=AJ$3,$J59,0)</f>
        <v/>
      </c>
      <c r="AK59" s="47">
        <f>IF($E59=AK$3,$G59,0)-IF($H59=AK$3,$J59,0)</f>
        <v/>
      </c>
      <c r="AL59" s="48">
        <f>IF($E59=AL$3,$G59,0)-IF($H59=AL$3,$J59,0)</f>
        <v/>
      </c>
      <c r="AM59" s="46">
        <f>-IF($E59=AM$3,$G59,0)+IF($H59=AM$3,$J59,0)</f>
        <v/>
      </c>
      <c r="AN59" s="47">
        <f>-IF($E59=AN$3,$G59,0)+IF($H59=AN$3,$J59,0)</f>
        <v/>
      </c>
      <c r="AO59" s="48">
        <f>-IF($E59=AO$3,$G59,0)+IF($H59=AO$3,$J59,0)</f>
        <v/>
      </c>
      <c r="AP59" s="46">
        <f>IF($E59=AP$3,$G59,0)-IF($H59=AP$3,$J59,0)</f>
        <v/>
      </c>
      <c r="AQ59" s="47">
        <f>IF($E59=AQ$3,$G59,0)-IF($H59=AQ$3,$J59,0)</f>
        <v/>
      </c>
      <c r="AR59" s="47">
        <f>IF($E59=AR$3,$G59,0)-IF($H59=AR$3,$J59,0)</f>
        <v/>
      </c>
      <c r="AS59" s="47">
        <f>IF($E59=AS$3,$G59,0)-IF($H59=AS$3,$J59,0)</f>
        <v/>
      </c>
      <c r="AT59" s="47">
        <f>IF($E59=AT$3,$G59,0)-IF($H59=AT$3,$J59,0)</f>
        <v/>
      </c>
      <c r="AU59" s="47">
        <f>IF($E59=AU$3,$G59,0)-IF($H59=AU$3,$J59,0)</f>
        <v/>
      </c>
      <c r="AV59" s="47">
        <f>IF($E59=AV$3,$G59,0)-IF($H59=AV$3,$J59,0)</f>
        <v/>
      </c>
      <c r="AW59" s="47">
        <f>IF($E59=AW$3,$G59,0)-IF($H59=AW$3,$J59,0)</f>
        <v/>
      </c>
      <c r="AX59" s="47">
        <f>IF($E59=AX$3,$G59,0)-IF($H59=AX$3,$J59,0)</f>
        <v/>
      </c>
      <c r="AY59" s="47">
        <f>IF($E59=AY$3,$G59,0)-IF($H59=AY$3,$J59,0)</f>
        <v/>
      </c>
      <c r="AZ59" s="47">
        <f>IF($E59=AZ$3,$G59,0)-IF($H59=AZ$3,$J59,0)</f>
        <v/>
      </c>
      <c r="BA59" s="47">
        <f>IF($E59=BA$3,$G59,0)-IF($H59=BA$3,$J59,0)</f>
        <v/>
      </c>
      <c r="BB59" s="47">
        <f>IF($E59=BB$3,$G59,0)-IF($H59=BB$3,$J59,0)</f>
        <v/>
      </c>
      <c r="BC59" s="47">
        <f>IF($E59=BC$3,$G59,0)-IF($H59=BC$3,$J59,0)</f>
        <v/>
      </c>
      <c r="BD59" s="47">
        <f>IF($E59=BD$3,$G59,0)-IF($H59=BD$3,$J59,0)</f>
        <v/>
      </c>
      <c r="BE59" s="47">
        <f>IF($E59=BE$3,$G59,0)-IF($H59=BE$3,$J59,0)</f>
        <v/>
      </c>
      <c r="BF59" s="47">
        <f>IF($E59=BF$3,$G59,0)-IF($H59=BF$3,$J59,0)</f>
        <v/>
      </c>
      <c r="BG59" s="47">
        <f>IF($E59=BG$3,$G59,0)-IF($H59=BG$3,$J59,0)</f>
        <v/>
      </c>
      <c r="BH59" s="47">
        <f>IF($E59=BH$3,$G59,0)-IF($H59=BH$3,$J59,0)</f>
        <v/>
      </c>
      <c r="BI59" s="47">
        <f>IF($E59=BI$3,$G59,0)-IF($H59=BI$3,$J59,0)</f>
        <v/>
      </c>
      <c r="BJ59" s="47">
        <f>IF($E59=BJ$3,$G59,0)-IF($H59=BJ$3,$J59,0)</f>
        <v/>
      </c>
      <c r="BK59" s="47">
        <f>IF($E59=BK$3,$G59,0)-IF($H59=BK$3,$J59,0)</f>
        <v/>
      </c>
      <c r="BL59" s="46">
        <f>-IF($E59=BL$3,$G59,0)+IF($H59=BL$3,$J59,0)</f>
        <v/>
      </c>
      <c r="BM59" s="47">
        <f>-IF($E59=BM$3,$G59,0)+IF($H59=BM$3,$J59,0)</f>
        <v/>
      </c>
      <c r="BN59" s="47">
        <f>-IF($E59=BN$3,$G59,0)+IF($H59=BN$3,$J59,0)</f>
        <v/>
      </c>
      <c r="BO59" s="47">
        <f>-IF($E59=BO$3,$G59,0)+IF($H59=BO$3,$J59,0)</f>
        <v/>
      </c>
      <c r="BP59" s="47">
        <f>-IF($E59=BP$3,$G59,0)+IF($H59=BP$3,$J59,0)</f>
        <v/>
      </c>
      <c r="BQ59" s="47">
        <f>-IF($E59=BQ$3,$G59,0)+IF($H59=BQ$3,$J59,0)</f>
        <v/>
      </c>
      <c r="BR59" s="47">
        <f>-IF($E59=BR$3,$G59,0)+IF($H59=BR$3,$J59,0)</f>
        <v/>
      </c>
      <c r="BS59" s="47">
        <f>-IF($E59=BS$3,$G59,0)+IF($H59=BS$3,$J59,0)</f>
        <v/>
      </c>
      <c r="BT59" s="47">
        <f>-IF($E59=BT$3,$G59,0)+IF($H59=BT$3,$J59,0)</f>
        <v/>
      </c>
      <c r="BU59" s="46">
        <f>+G59-J59</f>
        <v/>
      </c>
      <c r="BV59" s="48">
        <f>-IF($E59=BV$3,$G59,0)+IF($H59=BV$3,$J59,0)</f>
        <v/>
      </c>
      <c r="BW59" s="3" t="n"/>
    </row>
    <row r="60" ht="15.75" customHeight="1" s="214">
      <c r="A60" s="7" t="n"/>
      <c r="B60" s="8" t="n">
        <v>2</v>
      </c>
      <c r="C60" s="9" t="n">
        <v>27</v>
      </c>
      <c r="D60" s="10" t="inlineStr">
        <is>
          <t>杉村太蔵の推し株「骨太」投資術</t>
        </is>
      </c>
      <c r="E60" s="247" t="n">
        <v>524</v>
      </c>
      <c r="F60" s="11">
        <f>IF(E60="","",IF(ISNA(VLOOKUP(E60,科目コード表!$C$4:$D$67,2,FALSE)),"該当科目なし",VLOOKUP(E60,科目コード表!$C$4:$D$67,2,FALSE)))</f>
        <v/>
      </c>
      <c r="G60" s="38" t="n">
        <v>1800</v>
      </c>
      <c r="H60" s="248" t="n"/>
      <c r="I60" s="11">
        <f>IF(H60="","",IF(ISNA(VLOOKUP(H60,科目コード表!$C$4:$D$67,2,FALSE)),"該当科目なし",VLOOKUP(H60,科目コード表!$C$4:$D$67,2,FALSE)))</f>
        <v/>
      </c>
      <c r="J60" s="40" t="n"/>
      <c r="L60" s="46">
        <f>IF($E60=L$3,$G60,0)-IF($H60=L$3,$J60,0)</f>
        <v/>
      </c>
      <c r="M60" s="47">
        <f>IF($E60=M$3,$G60,0)-IF($H60=M$3,$J60,0)</f>
        <v/>
      </c>
      <c r="N60" s="47">
        <f>IF($E60=N$3,$G60,0)-IF($H60=N$3,$J60,0)</f>
        <v/>
      </c>
      <c r="O60" s="47">
        <f>IF($E60=O$3,$G60,0)-IF($H60=O$3,$J60,0)</f>
        <v/>
      </c>
      <c r="P60" s="47">
        <f>IF($E60=P$3,$G60,0)-IF($H60=P$3,$J60,0)</f>
        <v/>
      </c>
      <c r="Q60" s="47">
        <f>IF($E60=Q$3,$G60,0)-IF($H60=Q$3,$J60,0)</f>
        <v/>
      </c>
      <c r="R60" s="47">
        <f>IF($E60=R$3,$G60,0)-IF($H60=R$3,$J60,0)</f>
        <v/>
      </c>
      <c r="S60" s="47">
        <f>IF($E60=S$3,$G60,0)-IF($H60=S$3,$J60,0)</f>
        <v/>
      </c>
      <c r="T60" s="47">
        <f>IF($E60=T$3,$G60,0)-IF($H60=T$3,$J60,0)</f>
        <v/>
      </c>
      <c r="U60" s="47">
        <f>IF($E60=U$3,$G60,0)-IF($H60=U$3,$J60,0)</f>
        <v/>
      </c>
      <c r="V60" s="47">
        <f>IF($E60=V$3,$G60,0)-IF($H60=V$3,$J60,0)</f>
        <v/>
      </c>
      <c r="W60" s="47">
        <f>IF($E60=W$3,$G60,0)-IF($H60=W$3,$J60,0)</f>
        <v/>
      </c>
      <c r="X60" s="47">
        <f>IF($E60=X$3,$G60,0)-IF($H60=X$3,$J60,0)</f>
        <v/>
      </c>
      <c r="Y60" s="47">
        <f>IF($E60=Y$3,$G60,0)-IF($H60=Y$3,$J60,0)</f>
        <v/>
      </c>
      <c r="Z60" s="47">
        <f>IF($E60=Z$3,$G60,0)-IF($H60=Z$3,$J60,0)</f>
        <v/>
      </c>
      <c r="AA60" s="47">
        <f>IF($E60=AA$3,$G60,0)-IF($H60=AA$3,$J60,0)</f>
        <v/>
      </c>
      <c r="AB60" s="47">
        <f>IF($E60=AB$3,$G60,0)-IF($H60=AB$3,$J60,0)</f>
        <v/>
      </c>
      <c r="AC60" s="47">
        <f>IF($E60=AC$3,$G60,0)-IF($H60=AC$3,$J60,0)</f>
        <v/>
      </c>
      <c r="AD60" s="47">
        <f>IF($E60=AD$3,$G60,0)-IF($H60=AD$3,$J60,0)</f>
        <v/>
      </c>
      <c r="AE60" s="47">
        <f>IF($E60=AE$3,$G60,0)-IF($H60=AE$3,$J60,0)</f>
        <v/>
      </c>
      <c r="AF60" s="47">
        <f>IF($E60=AF$3,$G60,0)-IF($H60=AF$3,$J60,0)</f>
        <v/>
      </c>
      <c r="AG60" s="47">
        <f>IF($E60=AG$3,$G60,0)-IF($H60=AG$3,$J60,0)</f>
        <v/>
      </c>
      <c r="AH60" s="47">
        <f>IF($E60=AH$3,$G60,0)-IF($H60=AH$3,$J60,0)</f>
        <v/>
      </c>
      <c r="AI60" s="47">
        <f>IF($E60=AI$3,$G60,0)-IF($H60=AI$3,$J60,0)</f>
        <v/>
      </c>
      <c r="AJ60" s="47">
        <f>IF($E60=AJ$3,$G60,0)-IF($H60=AJ$3,$J60,0)</f>
        <v/>
      </c>
      <c r="AK60" s="47">
        <f>IF($E60=AK$3,$G60,0)-IF($H60=AK$3,$J60,0)</f>
        <v/>
      </c>
      <c r="AL60" s="48">
        <f>IF($E60=AL$3,$G60,0)-IF($H60=AL$3,$J60,0)</f>
        <v/>
      </c>
      <c r="AM60" s="46">
        <f>-IF($E60=AM$3,$G60,0)+IF($H60=AM$3,$J60,0)</f>
        <v/>
      </c>
      <c r="AN60" s="47">
        <f>-IF($E60=AN$3,$G60,0)+IF($H60=AN$3,$J60,0)</f>
        <v/>
      </c>
      <c r="AO60" s="48">
        <f>-IF($E60=AO$3,$G60,0)+IF($H60=AO$3,$J60,0)</f>
        <v/>
      </c>
      <c r="AP60" s="46">
        <f>IF($E60=AP$3,$G60,0)-IF($H60=AP$3,$J60,0)</f>
        <v/>
      </c>
      <c r="AQ60" s="47">
        <f>IF($E60=AQ$3,$G60,0)-IF($H60=AQ$3,$J60,0)</f>
        <v/>
      </c>
      <c r="AR60" s="47">
        <f>IF($E60=AR$3,$G60,0)-IF($H60=AR$3,$J60,0)</f>
        <v/>
      </c>
      <c r="AS60" s="47">
        <f>IF($E60=AS$3,$G60,0)-IF($H60=AS$3,$J60,0)</f>
        <v/>
      </c>
      <c r="AT60" s="47">
        <f>IF($E60=AT$3,$G60,0)-IF($H60=AT$3,$J60,0)</f>
        <v/>
      </c>
      <c r="AU60" s="47">
        <f>IF($E60=AU$3,$G60,0)-IF($H60=AU$3,$J60,0)</f>
        <v/>
      </c>
      <c r="AV60" s="47">
        <f>IF($E60=AV$3,$G60,0)-IF($H60=AV$3,$J60,0)</f>
        <v/>
      </c>
      <c r="AW60" s="47">
        <f>IF($E60=AW$3,$G60,0)-IF($H60=AW$3,$J60,0)</f>
        <v/>
      </c>
      <c r="AX60" s="47">
        <f>IF($E60=AX$3,$G60,0)-IF($H60=AX$3,$J60,0)</f>
        <v/>
      </c>
      <c r="AY60" s="47">
        <f>IF($E60=AY$3,$G60,0)-IF($H60=AY$3,$J60,0)</f>
        <v/>
      </c>
      <c r="AZ60" s="47">
        <f>IF($E60=AZ$3,$G60,0)-IF($H60=AZ$3,$J60,0)</f>
        <v/>
      </c>
      <c r="BA60" s="47">
        <f>IF($E60=BA$3,$G60,0)-IF($H60=BA$3,$J60,0)</f>
        <v/>
      </c>
      <c r="BB60" s="47">
        <f>IF($E60=BB$3,$G60,0)-IF($H60=BB$3,$J60,0)</f>
        <v/>
      </c>
      <c r="BC60" s="47">
        <f>IF($E60=BC$3,$G60,0)-IF($H60=BC$3,$J60,0)</f>
        <v/>
      </c>
      <c r="BD60" s="47">
        <f>IF($E60=BD$3,$G60,0)-IF($H60=BD$3,$J60,0)</f>
        <v/>
      </c>
      <c r="BE60" s="47">
        <f>IF($E60=BE$3,$G60,0)-IF($H60=BE$3,$J60,0)</f>
        <v/>
      </c>
      <c r="BF60" s="47">
        <f>IF($E60=BF$3,$G60,0)-IF($H60=BF$3,$J60,0)</f>
        <v/>
      </c>
      <c r="BG60" s="47">
        <f>IF($E60=BG$3,$G60,0)-IF($H60=BG$3,$J60,0)</f>
        <v/>
      </c>
      <c r="BH60" s="47">
        <f>IF($E60=BH$3,$G60,0)-IF($H60=BH$3,$J60,0)</f>
        <v/>
      </c>
      <c r="BI60" s="47">
        <f>IF($E60=BI$3,$G60,0)-IF($H60=BI$3,$J60,0)</f>
        <v/>
      </c>
      <c r="BJ60" s="47">
        <f>IF($E60=BJ$3,$G60,0)-IF($H60=BJ$3,$J60,0)</f>
        <v/>
      </c>
      <c r="BK60" s="47">
        <f>IF($E60=BK$3,$G60,0)-IF($H60=BK$3,$J60,0)</f>
        <v/>
      </c>
      <c r="BL60" s="46">
        <f>-IF($E60=BL$3,$G60,0)+IF($H60=BL$3,$J60,0)</f>
        <v/>
      </c>
      <c r="BM60" s="47">
        <f>-IF($E60=BM$3,$G60,0)+IF($H60=BM$3,$J60,0)</f>
        <v/>
      </c>
      <c r="BN60" s="47">
        <f>-IF($E60=BN$3,$G60,0)+IF($H60=BN$3,$J60,0)</f>
        <v/>
      </c>
      <c r="BO60" s="47">
        <f>-IF($E60=BO$3,$G60,0)+IF($H60=BO$3,$J60,0)</f>
        <v/>
      </c>
      <c r="BP60" s="47">
        <f>-IF($E60=BP$3,$G60,0)+IF($H60=BP$3,$J60,0)</f>
        <v/>
      </c>
      <c r="BQ60" s="47">
        <f>-IF($E60=BQ$3,$G60,0)+IF($H60=BQ$3,$J60,0)</f>
        <v/>
      </c>
      <c r="BR60" s="47">
        <f>-IF($E60=BR$3,$G60,0)+IF($H60=BR$3,$J60,0)</f>
        <v/>
      </c>
      <c r="BS60" s="47">
        <f>-IF($E60=BS$3,$G60,0)+IF($H60=BS$3,$J60,0)</f>
        <v/>
      </c>
      <c r="BT60" s="47">
        <f>-IF($E60=BT$3,$G60,0)+IF($H60=BT$3,$J60,0)</f>
        <v/>
      </c>
      <c r="BU60" s="46">
        <f>+G60-J60</f>
        <v/>
      </c>
      <c r="BV60" s="48">
        <f>-IF($E60=BV$3,$G60,0)+IF($H60=BV$3,$J60,0)</f>
        <v/>
      </c>
      <c r="BW60" s="3" t="n"/>
    </row>
    <row r="61" ht="15.75" customHeight="1" s="214">
      <c r="A61" s="7" t="n"/>
      <c r="B61" s="8" t="n">
        <v>2</v>
      </c>
      <c r="C61" s="9" t="n">
        <v>27</v>
      </c>
      <c r="D61" s="10" t="inlineStr">
        <is>
          <t>会社四季報プロ500 2026年春号</t>
        </is>
      </c>
      <c r="E61" s="247" t="n">
        <v>524</v>
      </c>
      <c r="F61" s="11">
        <f>IF(E61="","",IF(ISNA(VLOOKUP(E61,科目コード表!$C$4:$D$67,2,FALSE)),"該当科目なし",VLOOKUP(E61,科目コード表!$C$4:$D$67,2,FALSE)))</f>
        <v/>
      </c>
      <c r="G61" s="38" t="n">
        <v>1880</v>
      </c>
      <c r="H61" s="248" t="n"/>
      <c r="I61" s="11">
        <f>IF(H61="","",IF(ISNA(VLOOKUP(H61,科目コード表!$C$4:$D$67,2,FALSE)),"該当科目なし",VLOOKUP(H61,科目コード表!$C$4:$D$67,2,FALSE)))</f>
        <v/>
      </c>
      <c r="J61" s="40" t="n"/>
      <c r="L61" s="46">
        <f>IF($E61=L$3,$G61,0)-IF($H61=L$3,$J61,0)</f>
        <v/>
      </c>
      <c r="M61" s="47">
        <f>IF($E61=M$3,$G61,0)-IF($H61=M$3,$J61,0)</f>
        <v/>
      </c>
      <c r="N61" s="47">
        <f>IF($E61=N$3,$G61,0)-IF($H61=N$3,$J61,0)</f>
        <v/>
      </c>
      <c r="O61" s="47">
        <f>IF($E61=O$3,$G61,0)-IF($H61=O$3,$J61,0)</f>
        <v/>
      </c>
      <c r="P61" s="47">
        <f>IF($E61=P$3,$G61,0)-IF($H61=P$3,$J61,0)</f>
        <v/>
      </c>
      <c r="Q61" s="47">
        <f>IF($E61=Q$3,$G61,0)-IF($H61=Q$3,$J61,0)</f>
        <v/>
      </c>
      <c r="R61" s="47">
        <f>IF($E61=R$3,$G61,0)-IF($H61=R$3,$J61,0)</f>
        <v/>
      </c>
      <c r="S61" s="47">
        <f>IF($E61=S$3,$G61,0)-IF($H61=S$3,$J61,0)</f>
        <v/>
      </c>
      <c r="T61" s="47">
        <f>IF($E61=T$3,$G61,0)-IF($H61=T$3,$J61,0)</f>
        <v/>
      </c>
      <c r="U61" s="47">
        <f>IF($E61=U$3,$G61,0)-IF($H61=U$3,$J61,0)</f>
        <v/>
      </c>
      <c r="V61" s="47">
        <f>IF($E61=V$3,$G61,0)-IF($H61=V$3,$J61,0)</f>
        <v/>
      </c>
      <c r="W61" s="47">
        <f>IF($E61=W$3,$G61,0)-IF($H61=W$3,$J61,0)</f>
        <v/>
      </c>
      <c r="X61" s="47">
        <f>IF($E61=X$3,$G61,0)-IF($H61=X$3,$J61,0)</f>
        <v/>
      </c>
      <c r="Y61" s="47">
        <f>IF($E61=Y$3,$G61,0)-IF($H61=Y$3,$J61,0)</f>
        <v/>
      </c>
      <c r="Z61" s="47">
        <f>IF($E61=Z$3,$G61,0)-IF($H61=Z$3,$J61,0)</f>
        <v/>
      </c>
      <c r="AA61" s="47">
        <f>IF($E61=AA$3,$G61,0)-IF($H61=AA$3,$J61,0)</f>
        <v/>
      </c>
      <c r="AB61" s="47">
        <f>IF($E61=AB$3,$G61,0)-IF($H61=AB$3,$J61,0)</f>
        <v/>
      </c>
      <c r="AC61" s="47">
        <f>IF($E61=AC$3,$G61,0)-IF($H61=AC$3,$J61,0)</f>
        <v/>
      </c>
      <c r="AD61" s="47">
        <f>IF($E61=AD$3,$G61,0)-IF($H61=AD$3,$J61,0)</f>
        <v/>
      </c>
      <c r="AE61" s="47">
        <f>IF($E61=AE$3,$G61,0)-IF($H61=AE$3,$J61,0)</f>
        <v/>
      </c>
      <c r="AF61" s="47">
        <f>IF($E61=AF$3,$G61,0)-IF($H61=AF$3,$J61,0)</f>
        <v/>
      </c>
      <c r="AG61" s="47">
        <f>IF($E61=AG$3,$G61,0)-IF($H61=AG$3,$J61,0)</f>
        <v/>
      </c>
      <c r="AH61" s="47">
        <f>IF($E61=AH$3,$G61,0)-IF($H61=AH$3,$J61,0)</f>
        <v/>
      </c>
      <c r="AI61" s="47">
        <f>IF($E61=AI$3,$G61,0)-IF($H61=AI$3,$J61,0)</f>
        <v/>
      </c>
      <c r="AJ61" s="47">
        <f>IF($E61=AJ$3,$G61,0)-IF($H61=AJ$3,$J61,0)</f>
        <v/>
      </c>
      <c r="AK61" s="47">
        <f>IF($E61=AK$3,$G61,0)-IF($H61=AK$3,$J61,0)</f>
        <v/>
      </c>
      <c r="AL61" s="48">
        <f>IF($E61=AL$3,$G61,0)-IF($H61=AL$3,$J61,0)</f>
        <v/>
      </c>
      <c r="AM61" s="46">
        <f>-IF($E61=AM$3,$G61,0)+IF($H61=AM$3,$J61,0)</f>
        <v/>
      </c>
      <c r="AN61" s="47">
        <f>-IF($E61=AN$3,$G61,0)+IF($H61=AN$3,$J61,0)</f>
        <v/>
      </c>
      <c r="AO61" s="48">
        <f>-IF($E61=AO$3,$G61,0)+IF($H61=AO$3,$J61,0)</f>
        <v/>
      </c>
      <c r="AP61" s="46">
        <f>IF($E61=AP$3,$G61,0)-IF($H61=AP$3,$J61,0)</f>
        <v/>
      </c>
      <c r="AQ61" s="47">
        <f>IF($E61=AQ$3,$G61,0)-IF($H61=AQ$3,$J61,0)</f>
        <v/>
      </c>
      <c r="AR61" s="47">
        <f>IF($E61=AR$3,$G61,0)-IF($H61=AR$3,$J61,0)</f>
        <v/>
      </c>
      <c r="AS61" s="47">
        <f>IF($E61=AS$3,$G61,0)-IF($H61=AS$3,$J61,0)</f>
        <v/>
      </c>
      <c r="AT61" s="47">
        <f>IF($E61=AT$3,$G61,0)-IF($H61=AT$3,$J61,0)</f>
        <v/>
      </c>
      <c r="AU61" s="47">
        <f>IF($E61=AU$3,$G61,0)-IF($H61=AU$3,$J61,0)</f>
        <v/>
      </c>
      <c r="AV61" s="47">
        <f>IF($E61=AV$3,$G61,0)-IF($H61=AV$3,$J61,0)</f>
        <v/>
      </c>
      <c r="AW61" s="47">
        <f>IF($E61=AW$3,$G61,0)-IF($H61=AW$3,$J61,0)</f>
        <v/>
      </c>
      <c r="AX61" s="47">
        <f>IF($E61=AX$3,$G61,0)-IF($H61=AX$3,$J61,0)</f>
        <v/>
      </c>
      <c r="AY61" s="47">
        <f>IF($E61=AY$3,$G61,0)-IF($H61=AY$3,$J61,0)</f>
        <v/>
      </c>
      <c r="AZ61" s="47">
        <f>IF($E61=AZ$3,$G61,0)-IF($H61=AZ$3,$J61,0)</f>
        <v/>
      </c>
      <c r="BA61" s="47">
        <f>IF($E61=BA$3,$G61,0)-IF($H61=BA$3,$J61,0)</f>
        <v/>
      </c>
      <c r="BB61" s="47">
        <f>IF($E61=BB$3,$G61,0)-IF($H61=BB$3,$J61,0)</f>
        <v/>
      </c>
      <c r="BC61" s="47">
        <f>IF($E61=BC$3,$G61,0)-IF($H61=BC$3,$J61,0)</f>
        <v/>
      </c>
      <c r="BD61" s="47">
        <f>IF($E61=BD$3,$G61,0)-IF($H61=BD$3,$J61,0)</f>
        <v/>
      </c>
      <c r="BE61" s="47">
        <f>IF($E61=BE$3,$G61,0)-IF($H61=BE$3,$J61,0)</f>
        <v/>
      </c>
      <c r="BF61" s="47">
        <f>IF($E61=BF$3,$G61,0)-IF($H61=BF$3,$J61,0)</f>
        <v/>
      </c>
      <c r="BG61" s="47">
        <f>IF($E61=BG$3,$G61,0)-IF($H61=BG$3,$J61,0)</f>
        <v/>
      </c>
      <c r="BH61" s="47">
        <f>IF($E61=BH$3,$G61,0)-IF($H61=BH$3,$J61,0)</f>
        <v/>
      </c>
      <c r="BI61" s="47">
        <f>IF($E61=BI$3,$G61,0)-IF($H61=BI$3,$J61,0)</f>
        <v/>
      </c>
      <c r="BJ61" s="47">
        <f>IF($E61=BJ$3,$G61,0)-IF($H61=BJ$3,$J61,0)</f>
        <v/>
      </c>
      <c r="BK61" s="47">
        <f>IF($E61=BK$3,$G61,0)-IF($H61=BK$3,$J61,0)</f>
        <v/>
      </c>
      <c r="BL61" s="46">
        <f>-IF($E61=BL$3,$G61,0)+IF($H61=BL$3,$J61,0)</f>
        <v/>
      </c>
      <c r="BM61" s="47">
        <f>-IF($E61=BM$3,$G61,0)+IF($H61=BM$3,$J61,0)</f>
        <v/>
      </c>
      <c r="BN61" s="47">
        <f>-IF($E61=BN$3,$G61,0)+IF($H61=BN$3,$J61,0)</f>
        <v/>
      </c>
      <c r="BO61" s="47">
        <f>-IF($E61=BO$3,$G61,0)+IF($H61=BO$3,$J61,0)</f>
        <v/>
      </c>
      <c r="BP61" s="47">
        <f>-IF($E61=BP$3,$G61,0)+IF($H61=BP$3,$J61,0)</f>
        <v/>
      </c>
      <c r="BQ61" s="47">
        <f>-IF($E61=BQ$3,$G61,0)+IF($H61=BQ$3,$J61,0)</f>
        <v/>
      </c>
      <c r="BR61" s="47">
        <f>-IF($E61=BR$3,$G61,0)+IF($H61=BR$3,$J61,0)</f>
        <v/>
      </c>
      <c r="BS61" s="47">
        <f>-IF($E61=BS$3,$G61,0)+IF($H61=BS$3,$J61,0)</f>
        <v/>
      </c>
      <c r="BT61" s="47">
        <f>-IF($E61=BT$3,$G61,0)+IF($H61=BT$3,$J61,0)</f>
        <v/>
      </c>
      <c r="BU61" s="46">
        <f>+G61-J61</f>
        <v/>
      </c>
      <c r="BV61" s="48">
        <f>-IF($E61=BV$3,$G61,0)+IF($H61=BV$3,$J61,0)</f>
        <v/>
      </c>
      <c r="BW61" s="3" t="n"/>
    </row>
    <row r="62" ht="15.75" customHeight="1" s="214">
      <c r="A62" s="7" t="n"/>
      <c r="B62" s="8" t="n">
        <v>2</v>
      </c>
      <c r="C62" s="9" t="n">
        <v>27</v>
      </c>
      <c r="D62" s="10" t="inlineStr">
        <is>
          <t>エミン流「会社四季報」最強の読み方</t>
        </is>
      </c>
      <c r="E62" s="247" t="n">
        <v>524</v>
      </c>
      <c r="F62" s="11">
        <f>IF(E62="","",IF(ISNA(VLOOKUP(E62,科目コード表!$C$4:$D$67,2,FALSE)),"該当科目なし",VLOOKUP(E62,科目コード表!$C$4:$D$67,2,FALSE)))</f>
        <v/>
      </c>
      <c r="G62" s="38" t="n">
        <v>1683</v>
      </c>
      <c r="H62" s="248" t="n"/>
      <c r="I62" s="11">
        <f>IF(H62="","",IF(ISNA(VLOOKUP(H62,科目コード表!$C$4:$D$67,2,FALSE)),"該当科目なし",VLOOKUP(H62,科目コード表!$C$4:$D$67,2,FALSE)))</f>
        <v/>
      </c>
      <c r="J62" s="40" t="n"/>
      <c r="L62" s="46">
        <f>IF($E62=L$3,$G62,0)-IF($H62=L$3,$J62,0)</f>
        <v/>
      </c>
      <c r="M62" s="47">
        <f>IF($E62=M$3,$G62,0)-IF($H62=M$3,$J62,0)</f>
        <v/>
      </c>
      <c r="N62" s="47">
        <f>IF($E62=N$3,$G62,0)-IF($H62=N$3,$J62,0)</f>
        <v/>
      </c>
      <c r="O62" s="47">
        <f>IF($E62=O$3,$G62,0)-IF($H62=O$3,$J62,0)</f>
        <v/>
      </c>
      <c r="P62" s="47">
        <f>IF($E62=P$3,$G62,0)-IF($H62=P$3,$J62,0)</f>
        <v/>
      </c>
      <c r="Q62" s="47">
        <f>IF($E62=Q$3,$G62,0)-IF($H62=Q$3,$J62,0)</f>
        <v/>
      </c>
      <c r="R62" s="47">
        <f>IF($E62=R$3,$G62,0)-IF($H62=R$3,$J62,0)</f>
        <v/>
      </c>
      <c r="S62" s="47">
        <f>IF($E62=S$3,$G62,0)-IF($H62=S$3,$J62,0)</f>
        <v/>
      </c>
      <c r="T62" s="47">
        <f>IF($E62=T$3,$G62,0)-IF($H62=T$3,$J62,0)</f>
        <v/>
      </c>
      <c r="U62" s="47">
        <f>IF($E62=U$3,$G62,0)-IF($H62=U$3,$J62,0)</f>
        <v/>
      </c>
      <c r="V62" s="47">
        <f>IF($E62=V$3,$G62,0)-IF($H62=V$3,$J62,0)</f>
        <v/>
      </c>
      <c r="W62" s="47">
        <f>IF($E62=W$3,$G62,0)-IF($H62=W$3,$J62,0)</f>
        <v/>
      </c>
      <c r="X62" s="47">
        <f>IF($E62=X$3,$G62,0)-IF($H62=X$3,$J62,0)</f>
        <v/>
      </c>
      <c r="Y62" s="47">
        <f>IF($E62=Y$3,$G62,0)-IF($H62=Y$3,$J62,0)</f>
        <v/>
      </c>
      <c r="Z62" s="47">
        <f>IF($E62=Z$3,$G62,0)-IF($H62=Z$3,$J62,0)</f>
        <v/>
      </c>
      <c r="AA62" s="47">
        <f>IF($E62=AA$3,$G62,0)-IF($H62=AA$3,$J62,0)</f>
        <v/>
      </c>
      <c r="AB62" s="47">
        <f>IF($E62=AB$3,$G62,0)-IF($H62=AB$3,$J62,0)</f>
        <v/>
      </c>
      <c r="AC62" s="47">
        <f>IF($E62=AC$3,$G62,0)-IF($H62=AC$3,$J62,0)</f>
        <v/>
      </c>
      <c r="AD62" s="47">
        <f>IF($E62=AD$3,$G62,0)-IF($H62=AD$3,$J62,0)</f>
        <v/>
      </c>
      <c r="AE62" s="47">
        <f>IF($E62=AE$3,$G62,0)-IF($H62=AE$3,$J62,0)</f>
        <v/>
      </c>
      <c r="AF62" s="47">
        <f>IF($E62=AF$3,$G62,0)-IF($H62=AF$3,$J62,0)</f>
        <v/>
      </c>
      <c r="AG62" s="47">
        <f>IF($E62=AG$3,$G62,0)-IF($H62=AG$3,$J62,0)</f>
        <v/>
      </c>
      <c r="AH62" s="47">
        <f>IF($E62=AH$3,$G62,0)-IF($H62=AH$3,$J62,0)</f>
        <v/>
      </c>
      <c r="AI62" s="47">
        <f>IF($E62=AI$3,$G62,0)-IF($H62=AI$3,$J62,0)</f>
        <v/>
      </c>
      <c r="AJ62" s="47">
        <f>IF($E62=AJ$3,$G62,0)-IF($H62=AJ$3,$J62,0)</f>
        <v/>
      </c>
      <c r="AK62" s="47">
        <f>IF($E62=AK$3,$G62,0)-IF($H62=AK$3,$J62,0)</f>
        <v/>
      </c>
      <c r="AL62" s="48">
        <f>IF($E62=AL$3,$G62,0)-IF($H62=AL$3,$J62,0)</f>
        <v/>
      </c>
      <c r="AM62" s="46">
        <f>-IF($E62=AM$3,$G62,0)+IF($H62=AM$3,$J62,0)</f>
        <v/>
      </c>
      <c r="AN62" s="47">
        <f>-IF($E62=AN$3,$G62,0)+IF($H62=AN$3,$J62,0)</f>
        <v/>
      </c>
      <c r="AO62" s="48">
        <f>-IF($E62=AO$3,$G62,0)+IF($H62=AO$3,$J62,0)</f>
        <v/>
      </c>
      <c r="AP62" s="46">
        <f>IF($E62=AP$3,$G62,0)-IF($H62=AP$3,$J62,0)</f>
        <v/>
      </c>
      <c r="AQ62" s="47">
        <f>IF($E62=AQ$3,$G62,0)-IF($H62=AQ$3,$J62,0)</f>
        <v/>
      </c>
      <c r="AR62" s="47">
        <f>IF($E62=AR$3,$G62,0)-IF($H62=AR$3,$J62,0)</f>
        <v/>
      </c>
      <c r="AS62" s="47">
        <f>IF($E62=AS$3,$G62,0)-IF($H62=AS$3,$J62,0)</f>
        <v/>
      </c>
      <c r="AT62" s="47">
        <f>IF($E62=AT$3,$G62,0)-IF($H62=AT$3,$J62,0)</f>
        <v/>
      </c>
      <c r="AU62" s="47">
        <f>IF($E62=AU$3,$G62,0)-IF($H62=AU$3,$J62,0)</f>
        <v/>
      </c>
      <c r="AV62" s="47">
        <f>IF($E62=AV$3,$G62,0)-IF($H62=AV$3,$J62,0)</f>
        <v/>
      </c>
      <c r="AW62" s="47">
        <f>IF($E62=AW$3,$G62,0)-IF($H62=AW$3,$J62,0)</f>
        <v/>
      </c>
      <c r="AX62" s="47">
        <f>IF($E62=AX$3,$G62,0)-IF($H62=AX$3,$J62,0)</f>
        <v/>
      </c>
      <c r="AY62" s="47">
        <f>IF($E62=AY$3,$G62,0)-IF($H62=AY$3,$J62,0)</f>
        <v/>
      </c>
      <c r="AZ62" s="47">
        <f>IF($E62=AZ$3,$G62,0)-IF($H62=AZ$3,$J62,0)</f>
        <v/>
      </c>
      <c r="BA62" s="47">
        <f>IF($E62=BA$3,$G62,0)-IF($H62=BA$3,$J62,0)</f>
        <v/>
      </c>
      <c r="BB62" s="47">
        <f>IF($E62=BB$3,$G62,0)-IF($H62=BB$3,$J62,0)</f>
        <v/>
      </c>
      <c r="BC62" s="47">
        <f>IF($E62=BC$3,$G62,0)-IF($H62=BC$3,$J62,0)</f>
        <v/>
      </c>
      <c r="BD62" s="47">
        <f>IF($E62=BD$3,$G62,0)-IF($H62=BD$3,$J62,0)</f>
        <v/>
      </c>
      <c r="BE62" s="47">
        <f>IF($E62=BE$3,$G62,0)-IF($H62=BE$3,$J62,0)</f>
        <v/>
      </c>
      <c r="BF62" s="47">
        <f>IF($E62=BF$3,$G62,0)-IF($H62=BF$3,$J62,0)</f>
        <v/>
      </c>
      <c r="BG62" s="47">
        <f>IF($E62=BG$3,$G62,0)-IF($H62=BG$3,$J62,0)</f>
        <v/>
      </c>
      <c r="BH62" s="47">
        <f>IF($E62=BH$3,$G62,0)-IF($H62=BH$3,$J62,0)</f>
        <v/>
      </c>
      <c r="BI62" s="47">
        <f>IF($E62=BI$3,$G62,0)-IF($H62=BI$3,$J62,0)</f>
        <v/>
      </c>
      <c r="BJ62" s="47">
        <f>IF($E62=BJ$3,$G62,0)-IF($H62=BJ$3,$J62,0)</f>
        <v/>
      </c>
      <c r="BK62" s="47">
        <f>IF($E62=BK$3,$G62,0)-IF($H62=BK$3,$J62,0)</f>
        <v/>
      </c>
      <c r="BL62" s="46">
        <f>-IF($E62=BL$3,$G62,0)+IF($H62=BL$3,$J62,0)</f>
        <v/>
      </c>
      <c r="BM62" s="47">
        <f>-IF($E62=BM$3,$G62,0)+IF($H62=BM$3,$J62,0)</f>
        <v/>
      </c>
      <c r="BN62" s="47">
        <f>-IF($E62=BN$3,$G62,0)+IF($H62=BN$3,$J62,0)</f>
        <v/>
      </c>
      <c r="BO62" s="47">
        <f>-IF($E62=BO$3,$G62,0)+IF($H62=BO$3,$J62,0)</f>
        <v/>
      </c>
      <c r="BP62" s="47">
        <f>-IF($E62=BP$3,$G62,0)+IF($H62=BP$3,$J62,0)</f>
        <v/>
      </c>
      <c r="BQ62" s="47">
        <f>-IF($E62=BQ$3,$G62,0)+IF($H62=BQ$3,$J62,0)</f>
        <v/>
      </c>
      <c r="BR62" s="47">
        <f>-IF($E62=BR$3,$G62,0)+IF($H62=BR$3,$J62,0)</f>
        <v/>
      </c>
      <c r="BS62" s="47">
        <f>-IF($E62=BS$3,$G62,0)+IF($H62=BS$3,$J62,0)</f>
        <v/>
      </c>
      <c r="BT62" s="47">
        <f>-IF($E62=BT$3,$G62,0)+IF($H62=BT$3,$J62,0)</f>
        <v/>
      </c>
      <c r="BU62" s="46">
        <f>+G62-J62</f>
        <v/>
      </c>
      <c r="BV62" s="48">
        <f>-IF($E62=BV$3,$G62,0)+IF($H62=BV$3,$J62,0)</f>
        <v/>
      </c>
      <c r="BW62" s="3" t="n"/>
    </row>
    <row r="63" ht="15.75" customHeight="1" s="214">
      <c r="A63" s="7" t="n"/>
      <c r="B63" s="8" t="n">
        <v>2</v>
      </c>
      <c r="C63" s="9" t="n">
        <v>27</v>
      </c>
      <c r="D63" s="10" t="inlineStr">
        <is>
          <t>高速取引・AI・アルゴのやっかいな値動きに負けない　弱者でも勝ち続ける「株」投資術</t>
        </is>
      </c>
      <c r="E63" s="247" t="n">
        <v>524</v>
      </c>
      <c r="F63" s="11">
        <f>IF(E63="","",IF(ISNA(VLOOKUP(E63,科目コード表!$C$4:$D$67,2,FALSE)),"該当科目なし",VLOOKUP(E63,科目コード表!$C$4:$D$67,2,FALSE)))</f>
        <v/>
      </c>
      <c r="G63" s="38" t="n">
        <v>1725</v>
      </c>
      <c r="H63" s="248" t="n"/>
      <c r="I63" s="11">
        <f>IF(H63="","",IF(ISNA(VLOOKUP(H63,科目コード表!$C$4:$D$67,2,FALSE)),"該当科目なし",VLOOKUP(H63,科目コード表!$C$4:$D$67,2,FALSE)))</f>
        <v/>
      </c>
      <c r="J63" s="40" t="n"/>
      <c r="L63" s="46">
        <f>IF($E63=L$3,$G63,0)-IF($H63=L$3,$J63,0)</f>
        <v/>
      </c>
      <c r="M63" s="47">
        <f>IF($E63=M$3,$G63,0)-IF($H63=M$3,$J63,0)</f>
        <v/>
      </c>
      <c r="N63" s="47">
        <f>IF($E63=N$3,$G63,0)-IF($H63=N$3,$J63,0)</f>
        <v/>
      </c>
      <c r="O63" s="47">
        <f>IF($E63=O$3,$G63,0)-IF($H63=O$3,$J63,0)</f>
        <v/>
      </c>
      <c r="P63" s="47">
        <f>IF($E63=P$3,$G63,0)-IF($H63=P$3,$J63,0)</f>
        <v/>
      </c>
      <c r="Q63" s="47">
        <f>IF($E63=Q$3,$G63,0)-IF($H63=Q$3,$J63,0)</f>
        <v/>
      </c>
      <c r="R63" s="47">
        <f>IF($E63=R$3,$G63,0)-IF($H63=R$3,$J63,0)</f>
        <v/>
      </c>
      <c r="S63" s="47">
        <f>IF($E63=S$3,$G63,0)-IF($H63=S$3,$J63,0)</f>
        <v/>
      </c>
      <c r="T63" s="47">
        <f>IF($E63=T$3,$G63,0)-IF($H63=T$3,$J63,0)</f>
        <v/>
      </c>
      <c r="U63" s="47">
        <f>IF($E63=U$3,$G63,0)-IF($H63=U$3,$J63,0)</f>
        <v/>
      </c>
      <c r="V63" s="47">
        <f>IF($E63=V$3,$G63,0)-IF($H63=V$3,$J63,0)</f>
        <v/>
      </c>
      <c r="W63" s="47">
        <f>IF($E63=W$3,$G63,0)-IF($H63=W$3,$J63,0)</f>
        <v/>
      </c>
      <c r="X63" s="47">
        <f>IF($E63=X$3,$G63,0)-IF($H63=X$3,$J63,0)</f>
        <v/>
      </c>
      <c r="Y63" s="47">
        <f>IF($E63=Y$3,$G63,0)-IF($H63=Y$3,$J63,0)</f>
        <v/>
      </c>
      <c r="Z63" s="47">
        <f>IF($E63=Z$3,$G63,0)-IF($H63=Z$3,$J63,0)</f>
        <v/>
      </c>
      <c r="AA63" s="47">
        <f>IF($E63=AA$3,$G63,0)-IF($H63=AA$3,$J63,0)</f>
        <v/>
      </c>
      <c r="AB63" s="47">
        <f>IF($E63=AB$3,$G63,0)-IF($H63=AB$3,$J63,0)</f>
        <v/>
      </c>
      <c r="AC63" s="47">
        <f>IF($E63=AC$3,$G63,0)-IF($H63=AC$3,$J63,0)</f>
        <v/>
      </c>
      <c r="AD63" s="47">
        <f>IF($E63=AD$3,$G63,0)-IF($H63=AD$3,$J63,0)</f>
        <v/>
      </c>
      <c r="AE63" s="47">
        <f>IF($E63=AE$3,$G63,0)-IF($H63=AE$3,$J63,0)</f>
        <v/>
      </c>
      <c r="AF63" s="47">
        <f>IF($E63=AF$3,$G63,0)-IF($H63=AF$3,$J63,0)</f>
        <v/>
      </c>
      <c r="AG63" s="47">
        <f>IF($E63=AG$3,$G63,0)-IF($H63=AG$3,$J63,0)</f>
        <v/>
      </c>
      <c r="AH63" s="47">
        <f>IF($E63=AH$3,$G63,0)-IF($H63=AH$3,$J63,0)</f>
        <v/>
      </c>
      <c r="AI63" s="47">
        <f>IF($E63=AI$3,$G63,0)-IF($H63=AI$3,$J63,0)</f>
        <v/>
      </c>
      <c r="AJ63" s="47">
        <f>IF($E63=AJ$3,$G63,0)-IF($H63=AJ$3,$J63,0)</f>
        <v/>
      </c>
      <c r="AK63" s="47">
        <f>IF($E63=AK$3,$G63,0)-IF($H63=AK$3,$J63,0)</f>
        <v/>
      </c>
      <c r="AL63" s="48">
        <f>IF($E63=AL$3,$G63,0)-IF($H63=AL$3,$J63,0)</f>
        <v/>
      </c>
      <c r="AM63" s="46">
        <f>-IF($E63=AM$3,$G63,0)+IF($H63=AM$3,$J63,0)</f>
        <v/>
      </c>
      <c r="AN63" s="47">
        <f>-IF($E63=AN$3,$G63,0)+IF($H63=AN$3,$J63,0)</f>
        <v/>
      </c>
      <c r="AO63" s="48">
        <f>-IF($E63=AO$3,$G63,0)+IF($H63=AO$3,$J63,0)</f>
        <v/>
      </c>
      <c r="AP63" s="46">
        <f>IF($E63=AP$3,$G63,0)-IF($H63=AP$3,$J63,0)</f>
        <v/>
      </c>
      <c r="AQ63" s="47">
        <f>IF($E63=AQ$3,$G63,0)-IF($H63=AQ$3,$J63,0)</f>
        <v/>
      </c>
      <c r="AR63" s="47">
        <f>IF($E63=AR$3,$G63,0)-IF($H63=AR$3,$J63,0)</f>
        <v/>
      </c>
      <c r="AS63" s="47">
        <f>IF($E63=AS$3,$G63,0)-IF($H63=AS$3,$J63,0)</f>
        <v/>
      </c>
      <c r="AT63" s="47">
        <f>IF($E63=AT$3,$G63,0)-IF($H63=AT$3,$J63,0)</f>
        <v/>
      </c>
      <c r="AU63" s="47">
        <f>IF($E63=AU$3,$G63,0)-IF($H63=AU$3,$J63,0)</f>
        <v/>
      </c>
      <c r="AV63" s="47">
        <f>IF($E63=AV$3,$G63,0)-IF($H63=AV$3,$J63,0)</f>
        <v/>
      </c>
      <c r="AW63" s="47">
        <f>IF($E63=AW$3,$G63,0)-IF($H63=AW$3,$J63,0)</f>
        <v/>
      </c>
      <c r="AX63" s="47">
        <f>IF($E63=AX$3,$G63,0)-IF($H63=AX$3,$J63,0)</f>
        <v/>
      </c>
      <c r="AY63" s="47">
        <f>IF($E63=AY$3,$G63,0)-IF($H63=AY$3,$J63,0)</f>
        <v/>
      </c>
      <c r="AZ63" s="47">
        <f>IF($E63=AZ$3,$G63,0)-IF($H63=AZ$3,$J63,0)</f>
        <v/>
      </c>
      <c r="BA63" s="47">
        <f>IF($E63=BA$3,$G63,0)-IF($H63=BA$3,$J63,0)</f>
        <v/>
      </c>
      <c r="BB63" s="47">
        <f>IF($E63=BB$3,$G63,0)-IF($H63=BB$3,$J63,0)</f>
        <v/>
      </c>
      <c r="BC63" s="47">
        <f>IF($E63=BC$3,$G63,0)-IF($H63=BC$3,$J63,0)</f>
        <v/>
      </c>
      <c r="BD63" s="47">
        <f>IF($E63=BD$3,$G63,0)-IF($H63=BD$3,$J63,0)</f>
        <v/>
      </c>
      <c r="BE63" s="47">
        <f>IF($E63=BE$3,$G63,0)-IF($H63=BE$3,$J63,0)</f>
        <v/>
      </c>
      <c r="BF63" s="47">
        <f>IF($E63=BF$3,$G63,0)-IF($H63=BF$3,$J63,0)</f>
        <v/>
      </c>
      <c r="BG63" s="47">
        <f>IF($E63=BG$3,$G63,0)-IF($H63=BG$3,$J63,0)</f>
        <v/>
      </c>
      <c r="BH63" s="47">
        <f>IF($E63=BH$3,$G63,0)-IF($H63=BH$3,$J63,0)</f>
        <v/>
      </c>
      <c r="BI63" s="47">
        <f>IF($E63=BI$3,$G63,0)-IF($H63=BI$3,$J63,0)</f>
        <v/>
      </c>
      <c r="BJ63" s="47">
        <f>IF($E63=BJ$3,$G63,0)-IF($H63=BJ$3,$J63,0)</f>
        <v/>
      </c>
      <c r="BK63" s="47">
        <f>IF($E63=BK$3,$G63,0)-IF($H63=BK$3,$J63,0)</f>
        <v/>
      </c>
      <c r="BL63" s="46">
        <f>-IF($E63=BL$3,$G63,0)+IF($H63=BL$3,$J63,0)</f>
        <v/>
      </c>
      <c r="BM63" s="47">
        <f>-IF($E63=BM$3,$G63,0)+IF($H63=BM$3,$J63,0)</f>
        <v/>
      </c>
      <c r="BN63" s="47">
        <f>-IF($E63=BN$3,$G63,0)+IF($H63=BN$3,$J63,0)</f>
        <v/>
      </c>
      <c r="BO63" s="47">
        <f>-IF($E63=BO$3,$G63,0)+IF($H63=BO$3,$J63,0)</f>
        <v/>
      </c>
      <c r="BP63" s="47">
        <f>-IF($E63=BP$3,$G63,0)+IF($H63=BP$3,$J63,0)</f>
        <v/>
      </c>
      <c r="BQ63" s="47">
        <f>-IF($E63=BQ$3,$G63,0)+IF($H63=BQ$3,$J63,0)</f>
        <v/>
      </c>
      <c r="BR63" s="47">
        <f>-IF($E63=BR$3,$G63,0)+IF($H63=BR$3,$J63,0)</f>
        <v/>
      </c>
      <c r="BS63" s="47">
        <f>-IF($E63=BS$3,$G63,0)+IF($H63=BS$3,$J63,0)</f>
        <v/>
      </c>
      <c r="BT63" s="47">
        <f>-IF($E63=BT$3,$G63,0)+IF($H63=BT$3,$J63,0)</f>
        <v/>
      </c>
      <c r="BU63" s="46">
        <f>+G63-J63</f>
        <v/>
      </c>
      <c r="BV63" s="48">
        <f>-IF($E63=BV$3,$G63,0)+IF($H63=BV$3,$J63,0)</f>
        <v/>
      </c>
      <c r="BW63" s="3" t="n"/>
    </row>
    <row r="64" ht="15.75" customHeight="1" s="214">
      <c r="A64" s="7" t="n"/>
      <c r="B64" s="8" t="n">
        <v>2</v>
      </c>
      <c r="C64" s="9" t="n">
        <v>28</v>
      </c>
      <c r="D64" s="10" t="inlineStr">
        <is>
          <t>売上 小樽商科大学後援会</t>
        </is>
      </c>
      <c r="E64" s="247" t="n">
        <v>107</v>
      </c>
      <c r="F64" s="11">
        <f>IF(E64="","",IF(ISNA(VLOOKUP(E64,科目コード表!$C$4:$D$67,2,FALSE)),"該当科目なし",VLOOKUP(E64,科目コード表!$C$4:$D$67,2,FALSE)))</f>
        <v/>
      </c>
      <c r="G64" s="38" t="n">
        <v>11000</v>
      </c>
      <c r="H64" s="248" t="n">
        <v>401</v>
      </c>
      <c r="I64" s="11">
        <f>IF(H64="","",IF(ISNA(VLOOKUP(H64,科目コード表!$C$4:$D$67,2,FALSE)),"該当科目なし",VLOOKUP(H64,科目コード表!$C$4:$D$67,2,FALSE)))</f>
        <v/>
      </c>
      <c r="J64" s="40" t="n">
        <v>11000</v>
      </c>
      <c r="L64" s="46">
        <f>IF($E64=L$3,$G64,0)-IF($H64=L$3,$J64,0)</f>
        <v/>
      </c>
      <c r="M64" s="47">
        <f>IF($E64=M$3,$G64,0)-IF($H64=M$3,$J64,0)</f>
        <v/>
      </c>
      <c r="N64" s="47">
        <f>IF($E64=N$3,$G64,0)-IF($H64=N$3,$J64,0)</f>
        <v/>
      </c>
      <c r="O64" s="47">
        <f>IF($E64=O$3,$G64,0)-IF($H64=O$3,$J64,0)</f>
        <v/>
      </c>
      <c r="P64" s="47">
        <f>IF($E64=P$3,$G64,0)-IF($H64=P$3,$J64,0)</f>
        <v/>
      </c>
      <c r="Q64" s="47">
        <f>IF($E64=Q$3,$G64,0)-IF($H64=Q$3,$J64,0)</f>
        <v/>
      </c>
      <c r="R64" s="47">
        <f>IF($E64=R$3,$G64,0)-IF($H64=R$3,$J64,0)</f>
        <v/>
      </c>
      <c r="S64" s="47">
        <f>IF($E64=S$3,$G64,0)-IF($H64=S$3,$J64,0)</f>
        <v/>
      </c>
      <c r="T64" s="47">
        <f>IF($E64=T$3,$G64,0)-IF($H64=T$3,$J64,0)</f>
        <v/>
      </c>
      <c r="U64" s="47">
        <f>IF($E64=U$3,$G64,0)-IF($H64=U$3,$J64,0)</f>
        <v/>
      </c>
      <c r="V64" s="47">
        <f>IF($E64=V$3,$G64,0)-IF($H64=V$3,$J64,0)</f>
        <v/>
      </c>
      <c r="W64" s="47">
        <f>IF($E64=W$3,$G64,0)-IF($H64=W$3,$J64,0)</f>
        <v/>
      </c>
      <c r="X64" s="47">
        <f>IF($E64=X$3,$G64,0)-IF($H64=X$3,$J64,0)</f>
        <v/>
      </c>
      <c r="Y64" s="47">
        <f>IF($E64=Y$3,$G64,0)-IF($H64=Y$3,$J64,0)</f>
        <v/>
      </c>
      <c r="Z64" s="47">
        <f>IF($E64=Z$3,$G64,0)-IF($H64=Z$3,$J64,0)</f>
        <v/>
      </c>
      <c r="AA64" s="47">
        <f>IF($E64=AA$3,$G64,0)-IF($H64=AA$3,$J64,0)</f>
        <v/>
      </c>
      <c r="AB64" s="47">
        <f>IF($E64=AB$3,$G64,0)-IF($H64=AB$3,$J64,0)</f>
        <v/>
      </c>
      <c r="AC64" s="47">
        <f>IF($E64=AC$3,$G64,0)-IF($H64=AC$3,$J64,0)</f>
        <v/>
      </c>
      <c r="AD64" s="47">
        <f>IF($E64=AD$3,$G64,0)-IF($H64=AD$3,$J64,0)</f>
        <v/>
      </c>
      <c r="AE64" s="47">
        <f>IF($E64=AE$3,$G64,0)-IF($H64=AE$3,$J64,0)</f>
        <v/>
      </c>
      <c r="AF64" s="47">
        <f>IF($E64=AF$3,$G64,0)-IF($H64=AF$3,$J64,0)</f>
        <v/>
      </c>
      <c r="AG64" s="47">
        <f>IF($E64=AG$3,$G64,0)-IF($H64=AG$3,$J64,0)</f>
        <v/>
      </c>
      <c r="AH64" s="47">
        <f>IF($E64=AH$3,$G64,0)-IF($H64=AH$3,$J64,0)</f>
        <v/>
      </c>
      <c r="AI64" s="47">
        <f>IF($E64=AI$3,$G64,0)-IF($H64=AI$3,$J64,0)</f>
        <v/>
      </c>
      <c r="AJ64" s="47">
        <f>IF($E64=AJ$3,$G64,0)-IF($H64=AJ$3,$J64,0)</f>
        <v/>
      </c>
      <c r="AK64" s="47">
        <f>IF($E64=AK$3,$G64,0)-IF($H64=AK$3,$J64,0)</f>
        <v/>
      </c>
      <c r="AL64" s="48">
        <f>IF($E64=AL$3,$G64,0)-IF($H64=AL$3,$J64,0)</f>
        <v/>
      </c>
      <c r="AM64" s="46">
        <f>-IF($E64=AM$3,$G64,0)+IF($H64=AM$3,$J64,0)</f>
        <v/>
      </c>
      <c r="AN64" s="47">
        <f>-IF($E64=AN$3,$G64,0)+IF($H64=AN$3,$J64,0)</f>
        <v/>
      </c>
      <c r="AO64" s="48">
        <f>-IF($E64=AO$3,$G64,0)+IF($H64=AO$3,$J64,0)</f>
        <v/>
      </c>
      <c r="AP64" s="46">
        <f>IF($E64=AP$3,$G64,0)-IF($H64=AP$3,$J64,0)</f>
        <v/>
      </c>
      <c r="AQ64" s="47">
        <f>IF($E64=AQ$3,$G64,0)-IF($H64=AQ$3,$J64,0)</f>
        <v/>
      </c>
      <c r="AR64" s="47">
        <f>IF($E64=AR$3,$G64,0)-IF($H64=AR$3,$J64,0)</f>
        <v/>
      </c>
      <c r="AS64" s="47">
        <f>IF($E64=AS$3,$G64,0)-IF($H64=AS$3,$J64,0)</f>
        <v/>
      </c>
      <c r="AT64" s="47">
        <f>IF($E64=AT$3,$G64,0)-IF($H64=AT$3,$J64,0)</f>
        <v/>
      </c>
      <c r="AU64" s="47">
        <f>IF($E64=AU$3,$G64,0)-IF($H64=AU$3,$J64,0)</f>
        <v/>
      </c>
      <c r="AV64" s="47">
        <f>IF($E64=AV$3,$G64,0)-IF($H64=AV$3,$J64,0)</f>
        <v/>
      </c>
      <c r="AW64" s="47">
        <f>IF($E64=AW$3,$G64,0)-IF($H64=AW$3,$J64,0)</f>
        <v/>
      </c>
      <c r="AX64" s="47">
        <f>IF($E64=AX$3,$G64,0)-IF($H64=AX$3,$J64,0)</f>
        <v/>
      </c>
      <c r="AY64" s="47">
        <f>IF($E64=AY$3,$G64,0)-IF($H64=AY$3,$J64,0)</f>
        <v/>
      </c>
      <c r="AZ64" s="47">
        <f>IF($E64=AZ$3,$G64,0)-IF($H64=AZ$3,$J64,0)</f>
        <v/>
      </c>
      <c r="BA64" s="47">
        <f>IF($E64=BA$3,$G64,0)-IF($H64=BA$3,$J64,0)</f>
        <v/>
      </c>
      <c r="BB64" s="47">
        <f>IF($E64=BB$3,$G64,0)-IF($H64=BB$3,$J64,0)</f>
        <v/>
      </c>
      <c r="BC64" s="47">
        <f>IF($E64=BC$3,$G64,0)-IF($H64=BC$3,$J64,0)</f>
        <v/>
      </c>
      <c r="BD64" s="47">
        <f>IF($E64=BD$3,$G64,0)-IF($H64=BD$3,$J64,0)</f>
        <v/>
      </c>
      <c r="BE64" s="47">
        <f>IF($E64=BE$3,$G64,0)-IF($H64=BE$3,$J64,0)</f>
        <v/>
      </c>
      <c r="BF64" s="47">
        <f>IF($E64=BF$3,$G64,0)-IF($H64=BF$3,$J64,0)</f>
        <v/>
      </c>
      <c r="BG64" s="47">
        <f>IF($E64=BG$3,$G64,0)-IF($H64=BG$3,$J64,0)</f>
        <v/>
      </c>
      <c r="BH64" s="47">
        <f>IF($E64=BH$3,$G64,0)-IF($H64=BH$3,$J64,0)</f>
        <v/>
      </c>
      <c r="BI64" s="47">
        <f>IF($E64=BI$3,$G64,0)-IF($H64=BI$3,$J64,0)</f>
        <v/>
      </c>
      <c r="BJ64" s="47">
        <f>IF($E64=BJ$3,$G64,0)-IF($H64=BJ$3,$J64,0)</f>
        <v/>
      </c>
      <c r="BK64" s="47">
        <f>IF($E64=BK$3,$G64,0)-IF($H64=BK$3,$J64,0)</f>
        <v/>
      </c>
      <c r="BL64" s="46">
        <f>-IF($E64=BL$3,$G64,0)+IF($H64=BL$3,$J64,0)</f>
        <v/>
      </c>
      <c r="BM64" s="47">
        <f>-IF($E64=BM$3,$G64,0)+IF($H64=BM$3,$J64,0)</f>
        <v/>
      </c>
      <c r="BN64" s="47">
        <f>-IF($E64=BN$3,$G64,0)+IF($H64=BN$3,$J64,0)</f>
        <v/>
      </c>
      <c r="BO64" s="47">
        <f>-IF($E64=BO$3,$G64,0)+IF($H64=BO$3,$J64,0)</f>
        <v/>
      </c>
      <c r="BP64" s="47">
        <f>-IF($E64=BP$3,$G64,0)+IF($H64=BP$3,$J64,0)</f>
        <v/>
      </c>
      <c r="BQ64" s="47">
        <f>-IF($E64=BQ$3,$G64,0)+IF($H64=BQ$3,$J64,0)</f>
        <v/>
      </c>
      <c r="BR64" s="47">
        <f>-IF($E64=BR$3,$G64,0)+IF($H64=BR$3,$J64,0)</f>
        <v/>
      </c>
      <c r="BS64" s="47">
        <f>-IF($E64=BS$3,$G64,0)+IF($H64=BS$3,$J64,0)</f>
        <v/>
      </c>
      <c r="BT64" s="47">
        <f>-IF($E64=BT$3,$G64,0)+IF($H64=BT$3,$J64,0)</f>
        <v/>
      </c>
      <c r="BU64" s="46">
        <f>+G64-J64</f>
        <v/>
      </c>
      <c r="BV64" s="48">
        <f>-IF($E64=BV$3,$G64,0)+IF($H64=BV$3,$J64,0)</f>
        <v/>
      </c>
      <c r="BW64" s="3" t="n"/>
    </row>
    <row r="65" ht="15.75" customHeight="1" s="214">
      <c r="A65" s="7" t="n"/>
      <c r="B65" s="8" t="n">
        <v>2</v>
      </c>
      <c r="C65" s="9" t="n">
        <v>28</v>
      </c>
      <c r="D65" s="10" t="inlineStr">
        <is>
          <t>売上 ユーユー</t>
        </is>
      </c>
      <c r="E65" s="247" t="n">
        <v>107</v>
      </c>
      <c r="F65" s="11">
        <f>IF(E65="","",IF(ISNA(VLOOKUP(E65,科目コード表!$C$4:$D$67,2,FALSE)),"該当科目なし",VLOOKUP(E65,科目コード表!$C$4:$D$67,2,FALSE)))</f>
        <v/>
      </c>
      <c r="G65" s="38" t="n">
        <v>100000</v>
      </c>
      <c r="H65" s="248" t="n">
        <v>401</v>
      </c>
      <c r="I65" s="11">
        <f>IF(H65="","",IF(ISNA(VLOOKUP(H65,科目コード表!$C$4:$D$67,2,FALSE)),"該当科目なし",VLOOKUP(H65,科目コード表!$C$4:$D$67,2,FALSE)))</f>
        <v/>
      </c>
      <c r="J65" s="40" t="n">
        <v>100000</v>
      </c>
      <c r="L65" s="46">
        <f>IF($E65=L$3,$G65,0)-IF($H65=L$3,$J65,0)</f>
        <v/>
      </c>
      <c r="M65" s="47">
        <f>IF($E65=M$3,$G65,0)-IF($H65=M$3,$J65,0)</f>
        <v/>
      </c>
      <c r="N65" s="47">
        <f>IF($E65=N$3,$G65,0)-IF($H65=N$3,$J65,0)</f>
        <v/>
      </c>
      <c r="O65" s="47">
        <f>IF($E65=O$3,$G65,0)-IF($H65=O$3,$J65,0)</f>
        <v/>
      </c>
      <c r="P65" s="47">
        <f>IF($E65=P$3,$G65,0)-IF($H65=P$3,$J65,0)</f>
        <v/>
      </c>
      <c r="Q65" s="47">
        <f>IF($E65=Q$3,$G65,0)-IF($H65=Q$3,$J65,0)</f>
        <v/>
      </c>
      <c r="R65" s="47">
        <f>IF($E65=R$3,$G65,0)-IF($H65=R$3,$J65,0)</f>
        <v/>
      </c>
      <c r="S65" s="47">
        <f>IF($E65=S$3,$G65,0)-IF($H65=S$3,$J65,0)</f>
        <v/>
      </c>
      <c r="T65" s="47">
        <f>IF($E65=T$3,$G65,0)-IF($H65=T$3,$J65,0)</f>
        <v/>
      </c>
      <c r="U65" s="47">
        <f>IF($E65=U$3,$G65,0)-IF($H65=U$3,$J65,0)</f>
        <v/>
      </c>
      <c r="V65" s="47">
        <f>IF($E65=V$3,$G65,0)-IF($H65=V$3,$J65,0)</f>
        <v/>
      </c>
      <c r="W65" s="47">
        <f>IF($E65=W$3,$G65,0)-IF($H65=W$3,$J65,0)</f>
        <v/>
      </c>
      <c r="X65" s="47">
        <f>IF($E65=X$3,$G65,0)-IF($H65=X$3,$J65,0)</f>
        <v/>
      </c>
      <c r="Y65" s="47">
        <f>IF($E65=Y$3,$G65,0)-IF($H65=Y$3,$J65,0)</f>
        <v/>
      </c>
      <c r="Z65" s="47">
        <f>IF($E65=Z$3,$G65,0)-IF($H65=Z$3,$J65,0)</f>
        <v/>
      </c>
      <c r="AA65" s="47">
        <f>IF($E65=AA$3,$G65,0)-IF($H65=AA$3,$J65,0)</f>
        <v/>
      </c>
      <c r="AB65" s="47">
        <f>IF($E65=AB$3,$G65,0)-IF($H65=AB$3,$J65,0)</f>
        <v/>
      </c>
      <c r="AC65" s="47">
        <f>IF($E65=AC$3,$G65,0)-IF($H65=AC$3,$J65,0)</f>
        <v/>
      </c>
      <c r="AD65" s="47">
        <f>IF($E65=AD$3,$G65,0)-IF($H65=AD$3,$J65,0)</f>
        <v/>
      </c>
      <c r="AE65" s="47">
        <f>IF($E65=AE$3,$G65,0)-IF($H65=AE$3,$J65,0)</f>
        <v/>
      </c>
      <c r="AF65" s="47">
        <f>IF($E65=AF$3,$G65,0)-IF($H65=AF$3,$J65,0)</f>
        <v/>
      </c>
      <c r="AG65" s="47">
        <f>IF($E65=AG$3,$G65,0)-IF($H65=AG$3,$J65,0)</f>
        <v/>
      </c>
      <c r="AH65" s="47">
        <f>IF($E65=AH$3,$G65,0)-IF($H65=AH$3,$J65,0)</f>
        <v/>
      </c>
      <c r="AI65" s="47">
        <f>IF($E65=AI$3,$G65,0)-IF($H65=AI$3,$J65,0)</f>
        <v/>
      </c>
      <c r="AJ65" s="47">
        <f>IF($E65=AJ$3,$G65,0)-IF($H65=AJ$3,$J65,0)</f>
        <v/>
      </c>
      <c r="AK65" s="47">
        <f>IF($E65=AK$3,$G65,0)-IF($H65=AK$3,$J65,0)</f>
        <v/>
      </c>
      <c r="AL65" s="48">
        <f>IF($E65=AL$3,$G65,0)-IF($H65=AL$3,$J65,0)</f>
        <v/>
      </c>
      <c r="AM65" s="46">
        <f>-IF($E65=AM$3,$G65,0)+IF($H65=AM$3,$J65,0)</f>
        <v/>
      </c>
      <c r="AN65" s="47">
        <f>-IF($E65=AN$3,$G65,0)+IF($H65=AN$3,$J65,0)</f>
        <v/>
      </c>
      <c r="AO65" s="48">
        <f>-IF($E65=AO$3,$G65,0)+IF($H65=AO$3,$J65,0)</f>
        <v/>
      </c>
      <c r="AP65" s="46">
        <f>IF($E65=AP$3,$G65,0)-IF($H65=AP$3,$J65,0)</f>
        <v/>
      </c>
      <c r="AQ65" s="47">
        <f>IF($E65=AQ$3,$G65,0)-IF($H65=AQ$3,$J65,0)</f>
        <v/>
      </c>
      <c r="AR65" s="47">
        <f>IF($E65=AR$3,$G65,0)-IF($H65=AR$3,$J65,0)</f>
        <v/>
      </c>
      <c r="AS65" s="47">
        <f>IF($E65=AS$3,$G65,0)-IF($H65=AS$3,$J65,0)</f>
        <v/>
      </c>
      <c r="AT65" s="47">
        <f>IF($E65=AT$3,$G65,0)-IF($H65=AT$3,$J65,0)</f>
        <v/>
      </c>
      <c r="AU65" s="47">
        <f>IF($E65=AU$3,$G65,0)-IF($H65=AU$3,$J65,0)</f>
        <v/>
      </c>
      <c r="AV65" s="47">
        <f>IF($E65=AV$3,$G65,0)-IF($H65=AV$3,$J65,0)</f>
        <v/>
      </c>
      <c r="AW65" s="47">
        <f>IF($E65=AW$3,$G65,0)-IF($H65=AW$3,$J65,0)</f>
        <v/>
      </c>
      <c r="AX65" s="47">
        <f>IF($E65=AX$3,$G65,0)-IF($H65=AX$3,$J65,0)</f>
        <v/>
      </c>
      <c r="AY65" s="47">
        <f>IF($E65=AY$3,$G65,0)-IF($H65=AY$3,$J65,0)</f>
        <v/>
      </c>
      <c r="AZ65" s="47">
        <f>IF($E65=AZ$3,$G65,0)-IF($H65=AZ$3,$J65,0)</f>
        <v/>
      </c>
      <c r="BA65" s="47">
        <f>IF($E65=BA$3,$G65,0)-IF($H65=BA$3,$J65,0)</f>
        <v/>
      </c>
      <c r="BB65" s="47">
        <f>IF($E65=BB$3,$G65,0)-IF($H65=BB$3,$J65,0)</f>
        <v/>
      </c>
      <c r="BC65" s="47">
        <f>IF($E65=BC$3,$G65,0)-IF($H65=BC$3,$J65,0)</f>
        <v/>
      </c>
      <c r="BD65" s="47">
        <f>IF($E65=BD$3,$G65,0)-IF($H65=BD$3,$J65,0)</f>
        <v/>
      </c>
      <c r="BE65" s="47">
        <f>IF($E65=BE$3,$G65,0)-IF($H65=BE$3,$J65,0)</f>
        <v/>
      </c>
      <c r="BF65" s="47">
        <f>IF($E65=BF$3,$G65,0)-IF($H65=BF$3,$J65,0)</f>
        <v/>
      </c>
      <c r="BG65" s="47">
        <f>IF($E65=BG$3,$G65,0)-IF($H65=BG$3,$J65,0)</f>
        <v/>
      </c>
      <c r="BH65" s="47">
        <f>IF($E65=BH$3,$G65,0)-IF($H65=BH$3,$J65,0)</f>
        <v/>
      </c>
      <c r="BI65" s="47">
        <f>IF($E65=BI$3,$G65,0)-IF($H65=BI$3,$J65,0)</f>
        <v/>
      </c>
      <c r="BJ65" s="47">
        <f>IF($E65=BJ$3,$G65,0)-IF($H65=BJ$3,$J65,0)</f>
        <v/>
      </c>
      <c r="BK65" s="47">
        <f>IF($E65=BK$3,$G65,0)-IF($H65=BK$3,$J65,0)</f>
        <v/>
      </c>
      <c r="BL65" s="46">
        <f>-IF($E65=BL$3,$G65,0)+IF($H65=BL$3,$J65,0)</f>
        <v/>
      </c>
      <c r="BM65" s="47">
        <f>-IF($E65=BM$3,$G65,0)+IF($H65=BM$3,$J65,0)</f>
        <v/>
      </c>
      <c r="BN65" s="47">
        <f>-IF($E65=BN$3,$G65,0)+IF($H65=BN$3,$J65,0)</f>
        <v/>
      </c>
      <c r="BO65" s="47">
        <f>-IF($E65=BO$3,$G65,0)+IF($H65=BO$3,$J65,0)</f>
        <v/>
      </c>
      <c r="BP65" s="47">
        <f>-IF($E65=BP$3,$G65,0)+IF($H65=BP$3,$J65,0)</f>
        <v/>
      </c>
      <c r="BQ65" s="47">
        <f>-IF($E65=BQ$3,$G65,0)+IF($H65=BQ$3,$J65,0)</f>
        <v/>
      </c>
      <c r="BR65" s="47">
        <f>-IF($E65=BR$3,$G65,0)+IF($H65=BR$3,$J65,0)</f>
        <v/>
      </c>
      <c r="BS65" s="47">
        <f>-IF($E65=BS$3,$G65,0)+IF($H65=BS$3,$J65,0)</f>
        <v/>
      </c>
      <c r="BT65" s="47">
        <f>-IF($E65=BT$3,$G65,0)+IF($H65=BT$3,$J65,0)</f>
        <v/>
      </c>
      <c r="BU65" s="46">
        <f>+G65-J65</f>
        <v/>
      </c>
      <c r="BV65" s="48">
        <f>-IF($E65=BV$3,$G65,0)+IF($H65=BV$3,$J65,0)</f>
        <v/>
      </c>
      <c r="BW65" s="3" t="n"/>
    </row>
    <row r="66" ht="15.75" customHeight="1" s="214">
      <c r="A66" s="7" t="n"/>
      <c r="B66" s="8" t="n">
        <v>2</v>
      </c>
      <c r="C66" s="9" t="n">
        <v>28</v>
      </c>
      <c r="D66" s="10" t="inlineStr">
        <is>
          <t>Interface(インターフェース) 2026年4月号</t>
        </is>
      </c>
      <c r="E66" s="247" t="n">
        <v>524</v>
      </c>
      <c r="F66" s="11">
        <f>IF(E66="","",IF(ISNA(VLOOKUP(E66,科目コード表!$C$4:$D$67,2,FALSE)),"該当科目なし",VLOOKUP(E66,科目コード表!$C$4:$D$67,2,FALSE)))</f>
        <v/>
      </c>
      <c r="G66" s="38" t="n">
        <v>1430</v>
      </c>
      <c r="H66" s="248" t="n"/>
      <c r="I66" s="11">
        <f>IF(H66="","",IF(ISNA(VLOOKUP(H66,科目コード表!$C$4:$D$67,2,FALSE)),"該当科目なし",VLOOKUP(H66,科目コード表!$C$4:$D$67,2,FALSE)))</f>
        <v/>
      </c>
      <c r="J66" s="40" t="n"/>
      <c r="L66" s="46">
        <f>IF($E66=L$3,$G66,0)-IF($H66=L$3,$J66,0)</f>
        <v/>
      </c>
      <c r="M66" s="47">
        <f>IF($E66=M$3,$G66,0)-IF($H66=M$3,$J66,0)</f>
        <v/>
      </c>
      <c r="N66" s="47">
        <f>IF($E66=N$3,$G66,0)-IF($H66=N$3,$J66,0)</f>
        <v/>
      </c>
      <c r="O66" s="47">
        <f>IF($E66=O$3,$G66,0)-IF($H66=O$3,$J66,0)</f>
        <v/>
      </c>
      <c r="P66" s="47">
        <f>IF($E66=P$3,$G66,0)-IF($H66=P$3,$J66,0)</f>
        <v/>
      </c>
      <c r="Q66" s="47">
        <f>IF($E66=Q$3,$G66,0)-IF($H66=Q$3,$J66,0)</f>
        <v/>
      </c>
      <c r="R66" s="47">
        <f>IF($E66=R$3,$G66,0)-IF($H66=R$3,$J66,0)</f>
        <v/>
      </c>
      <c r="S66" s="47">
        <f>IF($E66=S$3,$G66,0)-IF($H66=S$3,$J66,0)</f>
        <v/>
      </c>
      <c r="T66" s="47">
        <f>IF($E66=T$3,$G66,0)-IF($H66=T$3,$J66,0)</f>
        <v/>
      </c>
      <c r="U66" s="47">
        <f>IF($E66=U$3,$G66,0)-IF($H66=U$3,$J66,0)</f>
        <v/>
      </c>
      <c r="V66" s="47">
        <f>IF($E66=V$3,$G66,0)-IF($H66=V$3,$J66,0)</f>
        <v/>
      </c>
      <c r="W66" s="47">
        <f>IF($E66=W$3,$G66,0)-IF($H66=W$3,$J66,0)</f>
        <v/>
      </c>
      <c r="X66" s="47">
        <f>IF($E66=X$3,$G66,0)-IF($H66=X$3,$J66,0)</f>
        <v/>
      </c>
      <c r="Y66" s="47">
        <f>IF($E66=Y$3,$G66,0)-IF($H66=Y$3,$J66,0)</f>
        <v/>
      </c>
      <c r="Z66" s="47">
        <f>IF($E66=Z$3,$G66,0)-IF($H66=Z$3,$J66,0)</f>
        <v/>
      </c>
      <c r="AA66" s="47">
        <f>IF($E66=AA$3,$G66,0)-IF($H66=AA$3,$J66,0)</f>
        <v/>
      </c>
      <c r="AB66" s="47">
        <f>IF($E66=AB$3,$G66,0)-IF($H66=AB$3,$J66,0)</f>
        <v/>
      </c>
      <c r="AC66" s="47">
        <f>IF($E66=AC$3,$G66,0)-IF($H66=AC$3,$J66,0)</f>
        <v/>
      </c>
      <c r="AD66" s="47">
        <f>IF($E66=AD$3,$G66,0)-IF($H66=AD$3,$J66,0)</f>
        <v/>
      </c>
      <c r="AE66" s="47">
        <f>IF($E66=AE$3,$G66,0)-IF($H66=AE$3,$J66,0)</f>
        <v/>
      </c>
      <c r="AF66" s="47">
        <f>IF($E66=AF$3,$G66,0)-IF($H66=AF$3,$J66,0)</f>
        <v/>
      </c>
      <c r="AG66" s="47">
        <f>IF($E66=AG$3,$G66,0)-IF($H66=AG$3,$J66,0)</f>
        <v/>
      </c>
      <c r="AH66" s="47">
        <f>IF($E66=AH$3,$G66,0)-IF($H66=AH$3,$J66,0)</f>
        <v/>
      </c>
      <c r="AI66" s="47">
        <f>IF($E66=AI$3,$G66,0)-IF($H66=AI$3,$J66,0)</f>
        <v/>
      </c>
      <c r="AJ66" s="47">
        <f>IF($E66=AJ$3,$G66,0)-IF($H66=AJ$3,$J66,0)</f>
        <v/>
      </c>
      <c r="AK66" s="47">
        <f>IF($E66=AK$3,$G66,0)-IF($H66=AK$3,$J66,0)</f>
        <v/>
      </c>
      <c r="AL66" s="48">
        <f>IF($E66=AL$3,$G66,0)-IF($H66=AL$3,$J66,0)</f>
        <v/>
      </c>
      <c r="AM66" s="46">
        <f>-IF($E66=AM$3,$G66,0)+IF($H66=AM$3,$J66,0)</f>
        <v/>
      </c>
      <c r="AN66" s="47">
        <f>-IF($E66=AN$3,$G66,0)+IF($H66=AN$3,$J66,0)</f>
        <v/>
      </c>
      <c r="AO66" s="48">
        <f>-IF($E66=AO$3,$G66,0)+IF($H66=AO$3,$J66,0)</f>
        <v/>
      </c>
      <c r="AP66" s="46">
        <f>IF($E66=AP$3,$G66,0)-IF($H66=AP$3,$J66,0)</f>
        <v/>
      </c>
      <c r="AQ66" s="47">
        <f>IF($E66=AQ$3,$G66,0)-IF($H66=AQ$3,$J66,0)</f>
        <v/>
      </c>
      <c r="AR66" s="47">
        <f>IF($E66=AR$3,$G66,0)-IF($H66=AR$3,$J66,0)</f>
        <v/>
      </c>
      <c r="AS66" s="47">
        <f>IF($E66=AS$3,$G66,0)-IF($H66=AS$3,$J66,0)</f>
        <v/>
      </c>
      <c r="AT66" s="47">
        <f>IF($E66=AT$3,$G66,0)-IF($H66=AT$3,$J66,0)</f>
        <v/>
      </c>
      <c r="AU66" s="47">
        <f>IF($E66=AU$3,$G66,0)-IF($H66=AU$3,$J66,0)</f>
        <v/>
      </c>
      <c r="AV66" s="47">
        <f>IF($E66=AV$3,$G66,0)-IF($H66=AV$3,$J66,0)</f>
        <v/>
      </c>
      <c r="AW66" s="47">
        <f>IF($E66=AW$3,$G66,0)-IF($H66=AW$3,$J66,0)</f>
        <v/>
      </c>
      <c r="AX66" s="47">
        <f>IF($E66=AX$3,$G66,0)-IF($H66=AX$3,$J66,0)</f>
        <v/>
      </c>
      <c r="AY66" s="47">
        <f>IF($E66=AY$3,$G66,0)-IF($H66=AY$3,$J66,0)</f>
        <v/>
      </c>
      <c r="AZ66" s="47">
        <f>IF($E66=AZ$3,$G66,0)-IF($H66=AZ$3,$J66,0)</f>
        <v/>
      </c>
      <c r="BA66" s="47">
        <f>IF($E66=BA$3,$G66,0)-IF($H66=BA$3,$J66,0)</f>
        <v/>
      </c>
      <c r="BB66" s="47">
        <f>IF($E66=BB$3,$G66,0)-IF($H66=BB$3,$J66,0)</f>
        <v/>
      </c>
      <c r="BC66" s="47">
        <f>IF($E66=BC$3,$G66,0)-IF($H66=BC$3,$J66,0)</f>
        <v/>
      </c>
      <c r="BD66" s="47">
        <f>IF($E66=BD$3,$G66,0)-IF($H66=BD$3,$J66,0)</f>
        <v/>
      </c>
      <c r="BE66" s="47">
        <f>IF($E66=BE$3,$G66,0)-IF($H66=BE$3,$J66,0)</f>
        <v/>
      </c>
      <c r="BF66" s="47">
        <f>IF($E66=BF$3,$G66,0)-IF($H66=BF$3,$J66,0)</f>
        <v/>
      </c>
      <c r="BG66" s="47">
        <f>IF($E66=BG$3,$G66,0)-IF($H66=BG$3,$J66,0)</f>
        <v/>
      </c>
      <c r="BH66" s="47">
        <f>IF($E66=BH$3,$G66,0)-IF($H66=BH$3,$J66,0)</f>
        <v/>
      </c>
      <c r="BI66" s="47">
        <f>IF($E66=BI$3,$G66,0)-IF($H66=BI$3,$J66,0)</f>
        <v/>
      </c>
      <c r="BJ66" s="47">
        <f>IF($E66=BJ$3,$G66,0)-IF($H66=BJ$3,$J66,0)</f>
        <v/>
      </c>
      <c r="BK66" s="47">
        <f>IF($E66=BK$3,$G66,0)-IF($H66=BK$3,$J66,0)</f>
        <v/>
      </c>
      <c r="BL66" s="46">
        <f>-IF($E66=BL$3,$G66,0)+IF($H66=BL$3,$J66,0)</f>
        <v/>
      </c>
      <c r="BM66" s="47">
        <f>-IF($E66=BM$3,$G66,0)+IF($H66=BM$3,$J66,0)</f>
        <v/>
      </c>
      <c r="BN66" s="47">
        <f>-IF($E66=BN$3,$G66,0)+IF($H66=BN$3,$J66,0)</f>
        <v/>
      </c>
      <c r="BO66" s="47">
        <f>-IF($E66=BO$3,$G66,0)+IF($H66=BO$3,$J66,0)</f>
        <v/>
      </c>
      <c r="BP66" s="47">
        <f>-IF($E66=BP$3,$G66,0)+IF($H66=BP$3,$J66,0)</f>
        <v/>
      </c>
      <c r="BQ66" s="47">
        <f>-IF($E66=BQ$3,$G66,0)+IF($H66=BQ$3,$J66,0)</f>
        <v/>
      </c>
      <c r="BR66" s="47">
        <f>-IF($E66=BR$3,$G66,0)+IF($H66=BR$3,$J66,0)</f>
        <v/>
      </c>
      <c r="BS66" s="47">
        <f>-IF($E66=BS$3,$G66,0)+IF($H66=BS$3,$J66,0)</f>
        <v/>
      </c>
      <c r="BT66" s="47">
        <f>-IF($E66=BT$3,$G66,0)+IF($H66=BT$3,$J66,0)</f>
        <v/>
      </c>
      <c r="BU66" s="46">
        <f>+G66-J66</f>
        <v/>
      </c>
      <c r="BV66" s="48">
        <f>-IF($E66=BV$3,$G66,0)+IF($H66=BV$3,$J66,0)</f>
        <v/>
      </c>
      <c r="BW66" s="3" t="n"/>
    </row>
    <row r="67" ht="15.75" customHeight="1" s="214">
      <c r="A67" s="7" t="n"/>
      <c r="B67" s="8" t="n">
        <v>2</v>
      </c>
      <c r="C67" s="9" t="n">
        <v>28</v>
      </c>
      <c r="D67" s="10" t="inlineStr">
        <is>
          <t>Interface(インターフェース) 2026年3月号</t>
        </is>
      </c>
      <c r="E67" s="247" t="n">
        <v>524</v>
      </c>
      <c r="F67" s="11">
        <f>IF(E67="","",IF(ISNA(VLOOKUP(E67,科目コード表!$C$4:$D$67,2,FALSE)),"該当科目なし",VLOOKUP(E67,科目コード表!$C$4:$D$67,2,FALSE)))</f>
        <v/>
      </c>
      <c r="G67" s="38" t="n">
        <v>1430</v>
      </c>
      <c r="H67" s="248" t="n"/>
      <c r="I67" s="11">
        <f>IF(H67="","",IF(ISNA(VLOOKUP(H67,科目コード表!$C$4:$D$67,2,FALSE)),"該当科目なし",VLOOKUP(H67,科目コード表!$C$4:$D$67,2,FALSE)))</f>
        <v/>
      </c>
      <c r="J67" s="40" t="n"/>
      <c r="L67" s="46">
        <f>IF($E67=L$3,$G67,0)-IF($H67=L$3,$J67,0)</f>
        <v/>
      </c>
      <c r="M67" s="47">
        <f>IF($E67=M$3,$G67,0)-IF($H67=M$3,$J67,0)</f>
        <v/>
      </c>
      <c r="N67" s="47">
        <f>IF($E67=N$3,$G67,0)-IF($H67=N$3,$J67,0)</f>
        <v/>
      </c>
      <c r="O67" s="47">
        <f>IF($E67=O$3,$G67,0)-IF($H67=O$3,$J67,0)</f>
        <v/>
      </c>
      <c r="P67" s="47">
        <f>IF($E67=P$3,$G67,0)-IF($H67=P$3,$J67,0)</f>
        <v/>
      </c>
      <c r="Q67" s="47">
        <f>IF($E67=Q$3,$G67,0)-IF($H67=Q$3,$J67,0)</f>
        <v/>
      </c>
      <c r="R67" s="47">
        <f>IF($E67=R$3,$G67,0)-IF($H67=R$3,$J67,0)</f>
        <v/>
      </c>
      <c r="S67" s="47">
        <f>IF($E67=S$3,$G67,0)-IF($H67=S$3,$J67,0)</f>
        <v/>
      </c>
      <c r="T67" s="47">
        <f>IF($E67=T$3,$G67,0)-IF($H67=T$3,$J67,0)</f>
        <v/>
      </c>
      <c r="U67" s="47">
        <f>IF($E67=U$3,$G67,0)-IF($H67=U$3,$J67,0)</f>
        <v/>
      </c>
      <c r="V67" s="47">
        <f>IF($E67=V$3,$G67,0)-IF($H67=V$3,$J67,0)</f>
        <v/>
      </c>
      <c r="W67" s="47">
        <f>IF($E67=W$3,$G67,0)-IF($H67=W$3,$J67,0)</f>
        <v/>
      </c>
      <c r="X67" s="47">
        <f>IF($E67=X$3,$G67,0)-IF($H67=X$3,$J67,0)</f>
        <v/>
      </c>
      <c r="Y67" s="47">
        <f>IF($E67=Y$3,$G67,0)-IF($H67=Y$3,$J67,0)</f>
        <v/>
      </c>
      <c r="Z67" s="47">
        <f>IF($E67=Z$3,$G67,0)-IF($H67=Z$3,$J67,0)</f>
        <v/>
      </c>
      <c r="AA67" s="47">
        <f>IF($E67=AA$3,$G67,0)-IF($H67=AA$3,$J67,0)</f>
        <v/>
      </c>
      <c r="AB67" s="47">
        <f>IF($E67=AB$3,$G67,0)-IF($H67=AB$3,$J67,0)</f>
        <v/>
      </c>
      <c r="AC67" s="47">
        <f>IF($E67=AC$3,$G67,0)-IF($H67=AC$3,$J67,0)</f>
        <v/>
      </c>
      <c r="AD67" s="47">
        <f>IF($E67=AD$3,$G67,0)-IF($H67=AD$3,$J67,0)</f>
        <v/>
      </c>
      <c r="AE67" s="47">
        <f>IF($E67=AE$3,$G67,0)-IF($H67=AE$3,$J67,0)</f>
        <v/>
      </c>
      <c r="AF67" s="47">
        <f>IF($E67=AF$3,$G67,0)-IF($H67=AF$3,$J67,0)</f>
        <v/>
      </c>
      <c r="AG67" s="47">
        <f>IF($E67=AG$3,$G67,0)-IF($H67=AG$3,$J67,0)</f>
        <v/>
      </c>
      <c r="AH67" s="47">
        <f>IF($E67=AH$3,$G67,0)-IF($H67=AH$3,$J67,0)</f>
        <v/>
      </c>
      <c r="AI67" s="47">
        <f>IF($E67=AI$3,$G67,0)-IF($H67=AI$3,$J67,0)</f>
        <v/>
      </c>
      <c r="AJ67" s="47">
        <f>IF($E67=AJ$3,$G67,0)-IF($H67=AJ$3,$J67,0)</f>
        <v/>
      </c>
      <c r="AK67" s="47">
        <f>IF($E67=AK$3,$G67,0)-IF($H67=AK$3,$J67,0)</f>
        <v/>
      </c>
      <c r="AL67" s="48">
        <f>IF($E67=AL$3,$G67,0)-IF($H67=AL$3,$J67,0)</f>
        <v/>
      </c>
      <c r="AM67" s="46">
        <f>-IF($E67=AM$3,$G67,0)+IF($H67=AM$3,$J67,0)</f>
        <v/>
      </c>
      <c r="AN67" s="47">
        <f>-IF($E67=AN$3,$G67,0)+IF($H67=AN$3,$J67,0)</f>
        <v/>
      </c>
      <c r="AO67" s="48">
        <f>-IF($E67=AO$3,$G67,0)+IF($H67=AO$3,$J67,0)</f>
        <v/>
      </c>
      <c r="AP67" s="46">
        <f>IF($E67=AP$3,$G67,0)-IF($H67=AP$3,$J67,0)</f>
        <v/>
      </c>
      <c r="AQ67" s="47">
        <f>IF($E67=AQ$3,$G67,0)-IF($H67=AQ$3,$J67,0)</f>
        <v/>
      </c>
      <c r="AR67" s="47">
        <f>IF($E67=AR$3,$G67,0)-IF($H67=AR$3,$J67,0)</f>
        <v/>
      </c>
      <c r="AS67" s="47">
        <f>IF($E67=AS$3,$G67,0)-IF($H67=AS$3,$J67,0)</f>
        <v/>
      </c>
      <c r="AT67" s="47">
        <f>IF($E67=AT$3,$G67,0)-IF($H67=AT$3,$J67,0)</f>
        <v/>
      </c>
      <c r="AU67" s="47">
        <f>IF($E67=AU$3,$G67,0)-IF($H67=AU$3,$J67,0)</f>
        <v/>
      </c>
      <c r="AV67" s="47">
        <f>IF($E67=AV$3,$G67,0)-IF($H67=AV$3,$J67,0)</f>
        <v/>
      </c>
      <c r="AW67" s="47">
        <f>IF($E67=AW$3,$G67,0)-IF($H67=AW$3,$J67,0)</f>
        <v/>
      </c>
      <c r="AX67" s="47">
        <f>IF($E67=AX$3,$G67,0)-IF($H67=AX$3,$J67,0)</f>
        <v/>
      </c>
      <c r="AY67" s="47">
        <f>IF($E67=AY$3,$G67,0)-IF($H67=AY$3,$J67,0)</f>
        <v/>
      </c>
      <c r="AZ67" s="47">
        <f>IF($E67=AZ$3,$G67,0)-IF($H67=AZ$3,$J67,0)</f>
        <v/>
      </c>
      <c r="BA67" s="47">
        <f>IF($E67=BA$3,$G67,0)-IF($H67=BA$3,$J67,0)</f>
        <v/>
      </c>
      <c r="BB67" s="47">
        <f>IF($E67=BB$3,$G67,0)-IF($H67=BB$3,$J67,0)</f>
        <v/>
      </c>
      <c r="BC67" s="47">
        <f>IF($E67=BC$3,$G67,0)-IF($H67=BC$3,$J67,0)</f>
        <v/>
      </c>
      <c r="BD67" s="47">
        <f>IF($E67=BD$3,$G67,0)-IF($H67=BD$3,$J67,0)</f>
        <v/>
      </c>
      <c r="BE67" s="47">
        <f>IF($E67=BE$3,$G67,0)-IF($H67=BE$3,$J67,0)</f>
        <v/>
      </c>
      <c r="BF67" s="47">
        <f>IF($E67=BF$3,$G67,0)-IF($H67=BF$3,$J67,0)</f>
        <v/>
      </c>
      <c r="BG67" s="47">
        <f>IF($E67=BG$3,$G67,0)-IF($H67=BG$3,$J67,0)</f>
        <v/>
      </c>
      <c r="BH67" s="47">
        <f>IF($E67=BH$3,$G67,0)-IF($H67=BH$3,$J67,0)</f>
        <v/>
      </c>
      <c r="BI67" s="47">
        <f>IF($E67=BI$3,$G67,0)-IF($H67=BI$3,$J67,0)</f>
        <v/>
      </c>
      <c r="BJ67" s="47">
        <f>IF($E67=BJ$3,$G67,0)-IF($H67=BJ$3,$J67,0)</f>
        <v/>
      </c>
      <c r="BK67" s="47">
        <f>IF($E67=BK$3,$G67,0)-IF($H67=BK$3,$J67,0)</f>
        <v/>
      </c>
      <c r="BL67" s="46">
        <f>-IF($E67=BL$3,$G67,0)+IF($H67=BL$3,$J67,0)</f>
        <v/>
      </c>
      <c r="BM67" s="47">
        <f>-IF($E67=BM$3,$G67,0)+IF($H67=BM$3,$J67,0)</f>
        <v/>
      </c>
      <c r="BN67" s="47">
        <f>-IF($E67=BN$3,$G67,0)+IF($H67=BN$3,$J67,0)</f>
        <v/>
      </c>
      <c r="BO67" s="47">
        <f>-IF($E67=BO$3,$G67,0)+IF($H67=BO$3,$J67,0)</f>
        <v/>
      </c>
      <c r="BP67" s="47">
        <f>-IF($E67=BP$3,$G67,0)+IF($H67=BP$3,$J67,0)</f>
        <v/>
      </c>
      <c r="BQ67" s="47">
        <f>-IF($E67=BQ$3,$G67,0)+IF($H67=BQ$3,$J67,0)</f>
        <v/>
      </c>
      <c r="BR67" s="47">
        <f>-IF($E67=BR$3,$G67,0)+IF($H67=BR$3,$J67,0)</f>
        <v/>
      </c>
      <c r="BS67" s="47">
        <f>-IF($E67=BS$3,$G67,0)+IF($H67=BS$3,$J67,0)</f>
        <v/>
      </c>
      <c r="BT67" s="47">
        <f>-IF($E67=BT$3,$G67,0)+IF($H67=BT$3,$J67,0)</f>
        <v/>
      </c>
      <c r="BU67" s="46">
        <f>+G67-J67</f>
        <v/>
      </c>
      <c r="BV67" s="48">
        <f>-IF($E67=BV$3,$G67,0)+IF($H67=BV$3,$J67,0)</f>
        <v/>
      </c>
      <c r="BW67" s="3" t="n"/>
    </row>
    <row r="68" ht="15.75" customHeight="1" s="214">
      <c r="A68" s="7" t="n"/>
      <c r="B68" s="8" t="n">
        <v>2</v>
      </c>
      <c r="C68" s="9" t="n">
        <v>28</v>
      </c>
      <c r="D68" s="10" t="inlineStr">
        <is>
          <t>Interface(インターフェース) 2025年12号</t>
        </is>
      </c>
      <c r="E68" s="247" t="n">
        <v>524</v>
      </c>
      <c r="F68" s="11">
        <f>IF(E68="","",IF(ISNA(VLOOKUP(E68,科目コード表!$C$4:$D$67,2,FALSE)),"該当科目なし",VLOOKUP(E68,科目コード表!$C$4:$D$67,2,FALSE)))</f>
        <v/>
      </c>
      <c r="G68" s="38" t="n">
        <v>1430</v>
      </c>
      <c r="H68" s="248" t="n"/>
      <c r="I68" s="11">
        <f>IF(H68="","",IF(ISNA(VLOOKUP(H68,科目コード表!$C$4:$D$67,2,FALSE)),"該当科目なし",VLOOKUP(H68,科目コード表!$C$4:$D$67,2,FALSE)))</f>
        <v/>
      </c>
      <c r="J68" s="40" t="n"/>
      <c r="L68" s="46">
        <f>IF($E68=L$3,$G68,0)-IF($H68=L$3,$J68,0)</f>
        <v/>
      </c>
      <c r="M68" s="47">
        <f>IF($E68=M$3,$G68,0)-IF($H68=M$3,$J68,0)</f>
        <v/>
      </c>
      <c r="N68" s="47">
        <f>IF($E68=N$3,$G68,0)-IF($H68=N$3,$J68,0)</f>
        <v/>
      </c>
      <c r="O68" s="47">
        <f>IF($E68=O$3,$G68,0)-IF($H68=O$3,$J68,0)</f>
        <v/>
      </c>
      <c r="P68" s="47">
        <f>IF($E68=P$3,$G68,0)-IF($H68=P$3,$J68,0)</f>
        <v/>
      </c>
      <c r="Q68" s="47">
        <f>IF($E68=Q$3,$G68,0)-IF($H68=Q$3,$J68,0)</f>
        <v/>
      </c>
      <c r="R68" s="47">
        <f>IF($E68=R$3,$G68,0)-IF($H68=R$3,$J68,0)</f>
        <v/>
      </c>
      <c r="S68" s="47">
        <f>IF($E68=S$3,$G68,0)-IF($H68=S$3,$J68,0)</f>
        <v/>
      </c>
      <c r="T68" s="47">
        <f>IF($E68=T$3,$G68,0)-IF($H68=T$3,$J68,0)</f>
        <v/>
      </c>
      <c r="U68" s="47">
        <f>IF($E68=U$3,$G68,0)-IF($H68=U$3,$J68,0)</f>
        <v/>
      </c>
      <c r="V68" s="47">
        <f>IF($E68=V$3,$G68,0)-IF($H68=V$3,$J68,0)</f>
        <v/>
      </c>
      <c r="W68" s="47">
        <f>IF($E68=W$3,$G68,0)-IF($H68=W$3,$J68,0)</f>
        <v/>
      </c>
      <c r="X68" s="47">
        <f>IF($E68=X$3,$G68,0)-IF($H68=X$3,$J68,0)</f>
        <v/>
      </c>
      <c r="Y68" s="47">
        <f>IF($E68=Y$3,$G68,0)-IF($H68=Y$3,$J68,0)</f>
        <v/>
      </c>
      <c r="Z68" s="47">
        <f>IF($E68=Z$3,$G68,0)-IF($H68=Z$3,$J68,0)</f>
        <v/>
      </c>
      <c r="AA68" s="47">
        <f>IF($E68=AA$3,$G68,0)-IF($H68=AA$3,$J68,0)</f>
        <v/>
      </c>
      <c r="AB68" s="47">
        <f>IF($E68=AB$3,$G68,0)-IF($H68=AB$3,$J68,0)</f>
        <v/>
      </c>
      <c r="AC68" s="47">
        <f>IF($E68=AC$3,$G68,0)-IF($H68=AC$3,$J68,0)</f>
        <v/>
      </c>
      <c r="AD68" s="47">
        <f>IF($E68=AD$3,$G68,0)-IF($H68=AD$3,$J68,0)</f>
        <v/>
      </c>
      <c r="AE68" s="47">
        <f>IF($E68=AE$3,$G68,0)-IF($H68=AE$3,$J68,0)</f>
        <v/>
      </c>
      <c r="AF68" s="47">
        <f>IF($E68=AF$3,$G68,0)-IF($H68=AF$3,$J68,0)</f>
        <v/>
      </c>
      <c r="AG68" s="47">
        <f>IF($E68=AG$3,$G68,0)-IF($H68=AG$3,$J68,0)</f>
        <v/>
      </c>
      <c r="AH68" s="47">
        <f>IF($E68=AH$3,$G68,0)-IF($H68=AH$3,$J68,0)</f>
        <v/>
      </c>
      <c r="AI68" s="47">
        <f>IF($E68=AI$3,$G68,0)-IF($H68=AI$3,$J68,0)</f>
        <v/>
      </c>
      <c r="AJ68" s="47">
        <f>IF($E68=AJ$3,$G68,0)-IF($H68=AJ$3,$J68,0)</f>
        <v/>
      </c>
      <c r="AK68" s="47">
        <f>IF($E68=AK$3,$G68,0)-IF($H68=AK$3,$J68,0)</f>
        <v/>
      </c>
      <c r="AL68" s="48">
        <f>IF($E68=AL$3,$G68,0)-IF($H68=AL$3,$J68,0)</f>
        <v/>
      </c>
      <c r="AM68" s="46">
        <f>-IF($E68=AM$3,$G68,0)+IF($H68=AM$3,$J68,0)</f>
        <v/>
      </c>
      <c r="AN68" s="47">
        <f>-IF($E68=AN$3,$G68,0)+IF($H68=AN$3,$J68,0)</f>
        <v/>
      </c>
      <c r="AO68" s="48">
        <f>-IF($E68=AO$3,$G68,0)+IF($H68=AO$3,$J68,0)</f>
        <v/>
      </c>
      <c r="AP68" s="46">
        <f>IF($E68=AP$3,$G68,0)-IF($H68=AP$3,$J68,0)</f>
        <v/>
      </c>
      <c r="AQ68" s="47">
        <f>IF($E68=AQ$3,$G68,0)-IF($H68=AQ$3,$J68,0)</f>
        <v/>
      </c>
      <c r="AR68" s="47">
        <f>IF($E68=AR$3,$G68,0)-IF($H68=AR$3,$J68,0)</f>
        <v/>
      </c>
      <c r="AS68" s="47">
        <f>IF($E68=AS$3,$G68,0)-IF($H68=AS$3,$J68,0)</f>
        <v/>
      </c>
      <c r="AT68" s="47">
        <f>IF($E68=AT$3,$G68,0)-IF($H68=AT$3,$J68,0)</f>
        <v/>
      </c>
      <c r="AU68" s="47">
        <f>IF($E68=AU$3,$G68,0)-IF($H68=AU$3,$J68,0)</f>
        <v/>
      </c>
      <c r="AV68" s="47">
        <f>IF($E68=AV$3,$G68,0)-IF($H68=AV$3,$J68,0)</f>
        <v/>
      </c>
      <c r="AW68" s="47">
        <f>IF($E68=AW$3,$G68,0)-IF($H68=AW$3,$J68,0)</f>
        <v/>
      </c>
      <c r="AX68" s="47">
        <f>IF($E68=AX$3,$G68,0)-IF($H68=AX$3,$J68,0)</f>
        <v/>
      </c>
      <c r="AY68" s="47">
        <f>IF($E68=AY$3,$G68,0)-IF($H68=AY$3,$J68,0)</f>
        <v/>
      </c>
      <c r="AZ68" s="47">
        <f>IF($E68=AZ$3,$G68,0)-IF($H68=AZ$3,$J68,0)</f>
        <v/>
      </c>
      <c r="BA68" s="47">
        <f>IF($E68=BA$3,$G68,0)-IF($H68=BA$3,$J68,0)</f>
        <v/>
      </c>
      <c r="BB68" s="47">
        <f>IF($E68=BB$3,$G68,0)-IF($H68=BB$3,$J68,0)</f>
        <v/>
      </c>
      <c r="BC68" s="47">
        <f>IF($E68=BC$3,$G68,0)-IF($H68=BC$3,$J68,0)</f>
        <v/>
      </c>
      <c r="BD68" s="47">
        <f>IF($E68=BD$3,$G68,0)-IF($H68=BD$3,$J68,0)</f>
        <v/>
      </c>
      <c r="BE68" s="47">
        <f>IF($E68=BE$3,$G68,0)-IF($H68=BE$3,$J68,0)</f>
        <v/>
      </c>
      <c r="BF68" s="47">
        <f>IF($E68=BF$3,$G68,0)-IF($H68=BF$3,$J68,0)</f>
        <v/>
      </c>
      <c r="BG68" s="47">
        <f>IF($E68=BG$3,$G68,0)-IF($H68=BG$3,$J68,0)</f>
        <v/>
      </c>
      <c r="BH68" s="47">
        <f>IF($E68=BH$3,$G68,0)-IF($H68=BH$3,$J68,0)</f>
        <v/>
      </c>
      <c r="BI68" s="47">
        <f>IF($E68=BI$3,$G68,0)-IF($H68=BI$3,$J68,0)</f>
        <v/>
      </c>
      <c r="BJ68" s="47">
        <f>IF($E68=BJ$3,$G68,0)-IF($H68=BJ$3,$J68,0)</f>
        <v/>
      </c>
      <c r="BK68" s="47">
        <f>IF($E68=BK$3,$G68,0)-IF($H68=BK$3,$J68,0)</f>
        <v/>
      </c>
      <c r="BL68" s="46">
        <f>-IF($E68=BL$3,$G68,0)+IF($H68=BL$3,$J68,0)</f>
        <v/>
      </c>
      <c r="BM68" s="47">
        <f>-IF($E68=BM$3,$G68,0)+IF($H68=BM$3,$J68,0)</f>
        <v/>
      </c>
      <c r="BN68" s="47">
        <f>-IF($E68=BN$3,$G68,0)+IF($H68=BN$3,$J68,0)</f>
        <v/>
      </c>
      <c r="BO68" s="47">
        <f>-IF($E68=BO$3,$G68,0)+IF($H68=BO$3,$J68,0)</f>
        <v/>
      </c>
      <c r="BP68" s="47">
        <f>-IF($E68=BP$3,$G68,0)+IF($H68=BP$3,$J68,0)</f>
        <v/>
      </c>
      <c r="BQ68" s="47">
        <f>-IF($E68=BQ$3,$G68,0)+IF($H68=BQ$3,$J68,0)</f>
        <v/>
      </c>
      <c r="BR68" s="47">
        <f>-IF($E68=BR$3,$G68,0)+IF($H68=BR$3,$J68,0)</f>
        <v/>
      </c>
      <c r="BS68" s="47">
        <f>-IF($E68=BS$3,$G68,0)+IF($H68=BS$3,$J68,0)</f>
        <v/>
      </c>
      <c r="BT68" s="47">
        <f>-IF($E68=BT$3,$G68,0)+IF($H68=BT$3,$J68,0)</f>
        <v/>
      </c>
      <c r="BU68" s="46">
        <f>+G68-J68</f>
        <v/>
      </c>
      <c r="BV68" s="48">
        <f>-IF($E68=BV$3,$G68,0)+IF($H68=BV$3,$J68,0)</f>
        <v/>
      </c>
      <c r="BW68" s="3" t="n"/>
    </row>
    <row r="69" ht="15.75" customHeight="1" s="214">
      <c r="A69" s="7" t="n"/>
      <c r="B69" s="8" t="n">
        <v>2</v>
      </c>
      <c r="C69" s="9" t="n">
        <v>28</v>
      </c>
      <c r="D69" s="10" t="inlineStr">
        <is>
          <t>Interface(インターフェース) 2026年 1月号</t>
        </is>
      </c>
      <c r="E69" s="247" t="n">
        <v>524</v>
      </c>
      <c r="F69" s="11">
        <f>IF(E69="","",IF(ISNA(VLOOKUP(E69,科目コード表!$C$4:$D$67,2,FALSE)),"該当科目なし",VLOOKUP(E69,科目コード表!$C$4:$D$67,2,FALSE)))</f>
        <v/>
      </c>
      <c r="G69" s="38" t="n">
        <v>1430</v>
      </c>
      <c r="H69" s="248" t="n"/>
      <c r="I69" s="11">
        <f>IF(H69="","",IF(ISNA(VLOOKUP(H69,科目コード表!$C$4:$D$67,2,FALSE)),"該当科目なし",VLOOKUP(H69,科目コード表!$C$4:$D$67,2,FALSE)))</f>
        <v/>
      </c>
      <c r="J69" s="40" t="n"/>
      <c r="L69" s="46">
        <f>IF($E69=L$3,$G69,0)-IF($H69=L$3,$J69,0)</f>
        <v/>
      </c>
      <c r="M69" s="47">
        <f>IF($E69=M$3,$G69,0)-IF($H69=M$3,$J69,0)</f>
        <v/>
      </c>
      <c r="N69" s="47">
        <f>IF($E69=N$3,$G69,0)-IF($H69=N$3,$J69,0)</f>
        <v/>
      </c>
      <c r="O69" s="47">
        <f>IF($E69=O$3,$G69,0)-IF($H69=O$3,$J69,0)</f>
        <v/>
      </c>
      <c r="P69" s="47">
        <f>IF($E69=P$3,$G69,0)-IF($H69=P$3,$J69,0)</f>
        <v/>
      </c>
      <c r="Q69" s="47">
        <f>IF($E69=Q$3,$G69,0)-IF($H69=Q$3,$J69,0)</f>
        <v/>
      </c>
      <c r="R69" s="47">
        <f>IF($E69=R$3,$G69,0)-IF($H69=R$3,$J69,0)</f>
        <v/>
      </c>
      <c r="S69" s="47">
        <f>IF($E69=S$3,$G69,0)-IF($H69=S$3,$J69,0)</f>
        <v/>
      </c>
      <c r="T69" s="47">
        <f>IF($E69=T$3,$G69,0)-IF($H69=T$3,$J69,0)</f>
        <v/>
      </c>
      <c r="U69" s="47">
        <f>IF($E69=U$3,$G69,0)-IF($H69=U$3,$J69,0)</f>
        <v/>
      </c>
      <c r="V69" s="47">
        <f>IF($E69=V$3,$G69,0)-IF($H69=V$3,$J69,0)</f>
        <v/>
      </c>
      <c r="W69" s="47">
        <f>IF($E69=W$3,$G69,0)-IF($H69=W$3,$J69,0)</f>
        <v/>
      </c>
      <c r="X69" s="47">
        <f>IF($E69=X$3,$G69,0)-IF($H69=X$3,$J69,0)</f>
        <v/>
      </c>
      <c r="Y69" s="47">
        <f>IF($E69=Y$3,$G69,0)-IF($H69=Y$3,$J69,0)</f>
        <v/>
      </c>
      <c r="Z69" s="47">
        <f>IF($E69=Z$3,$G69,0)-IF($H69=Z$3,$J69,0)</f>
        <v/>
      </c>
      <c r="AA69" s="47">
        <f>IF($E69=AA$3,$G69,0)-IF($H69=AA$3,$J69,0)</f>
        <v/>
      </c>
      <c r="AB69" s="47">
        <f>IF($E69=AB$3,$G69,0)-IF($H69=AB$3,$J69,0)</f>
        <v/>
      </c>
      <c r="AC69" s="47">
        <f>IF($E69=AC$3,$G69,0)-IF($H69=AC$3,$J69,0)</f>
        <v/>
      </c>
      <c r="AD69" s="47">
        <f>IF($E69=AD$3,$G69,0)-IF($H69=AD$3,$J69,0)</f>
        <v/>
      </c>
      <c r="AE69" s="47">
        <f>IF($E69=AE$3,$G69,0)-IF($H69=AE$3,$J69,0)</f>
        <v/>
      </c>
      <c r="AF69" s="47">
        <f>IF($E69=AF$3,$G69,0)-IF($H69=AF$3,$J69,0)</f>
        <v/>
      </c>
      <c r="AG69" s="47">
        <f>IF($E69=AG$3,$G69,0)-IF($H69=AG$3,$J69,0)</f>
        <v/>
      </c>
      <c r="AH69" s="47">
        <f>IF($E69=AH$3,$G69,0)-IF($H69=AH$3,$J69,0)</f>
        <v/>
      </c>
      <c r="AI69" s="47">
        <f>IF($E69=AI$3,$G69,0)-IF($H69=AI$3,$J69,0)</f>
        <v/>
      </c>
      <c r="AJ69" s="47">
        <f>IF($E69=AJ$3,$G69,0)-IF($H69=AJ$3,$J69,0)</f>
        <v/>
      </c>
      <c r="AK69" s="47">
        <f>IF($E69=AK$3,$G69,0)-IF($H69=AK$3,$J69,0)</f>
        <v/>
      </c>
      <c r="AL69" s="48">
        <f>IF($E69=AL$3,$G69,0)-IF($H69=AL$3,$J69,0)</f>
        <v/>
      </c>
      <c r="AM69" s="46">
        <f>-IF($E69=AM$3,$G69,0)+IF($H69=AM$3,$J69,0)</f>
        <v/>
      </c>
      <c r="AN69" s="47">
        <f>-IF($E69=AN$3,$G69,0)+IF($H69=AN$3,$J69,0)</f>
        <v/>
      </c>
      <c r="AO69" s="48">
        <f>-IF($E69=AO$3,$G69,0)+IF($H69=AO$3,$J69,0)</f>
        <v/>
      </c>
      <c r="AP69" s="46">
        <f>IF($E69=AP$3,$G69,0)-IF($H69=AP$3,$J69,0)</f>
        <v/>
      </c>
      <c r="AQ69" s="47">
        <f>IF($E69=AQ$3,$G69,0)-IF($H69=AQ$3,$J69,0)</f>
        <v/>
      </c>
      <c r="AR69" s="47">
        <f>IF($E69=AR$3,$G69,0)-IF($H69=AR$3,$J69,0)</f>
        <v/>
      </c>
      <c r="AS69" s="47">
        <f>IF($E69=AS$3,$G69,0)-IF($H69=AS$3,$J69,0)</f>
        <v/>
      </c>
      <c r="AT69" s="47">
        <f>IF($E69=AT$3,$G69,0)-IF($H69=AT$3,$J69,0)</f>
        <v/>
      </c>
      <c r="AU69" s="47">
        <f>IF($E69=AU$3,$G69,0)-IF($H69=AU$3,$J69,0)</f>
        <v/>
      </c>
      <c r="AV69" s="47">
        <f>IF($E69=AV$3,$G69,0)-IF($H69=AV$3,$J69,0)</f>
        <v/>
      </c>
      <c r="AW69" s="47">
        <f>IF($E69=AW$3,$G69,0)-IF($H69=AW$3,$J69,0)</f>
        <v/>
      </c>
      <c r="AX69" s="47">
        <f>IF($E69=AX$3,$G69,0)-IF($H69=AX$3,$J69,0)</f>
        <v/>
      </c>
      <c r="AY69" s="47">
        <f>IF($E69=AY$3,$G69,0)-IF($H69=AY$3,$J69,0)</f>
        <v/>
      </c>
      <c r="AZ69" s="47">
        <f>IF($E69=AZ$3,$G69,0)-IF($H69=AZ$3,$J69,0)</f>
        <v/>
      </c>
      <c r="BA69" s="47">
        <f>IF($E69=BA$3,$G69,0)-IF($H69=BA$3,$J69,0)</f>
        <v/>
      </c>
      <c r="BB69" s="47">
        <f>IF($E69=BB$3,$G69,0)-IF($H69=BB$3,$J69,0)</f>
        <v/>
      </c>
      <c r="BC69" s="47">
        <f>IF($E69=BC$3,$G69,0)-IF($H69=BC$3,$J69,0)</f>
        <v/>
      </c>
      <c r="BD69" s="47">
        <f>IF($E69=BD$3,$G69,0)-IF($H69=BD$3,$J69,0)</f>
        <v/>
      </c>
      <c r="BE69" s="47">
        <f>IF($E69=BE$3,$G69,0)-IF($H69=BE$3,$J69,0)</f>
        <v/>
      </c>
      <c r="BF69" s="47">
        <f>IF($E69=BF$3,$G69,0)-IF($H69=BF$3,$J69,0)</f>
        <v/>
      </c>
      <c r="BG69" s="47">
        <f>IF($E69=BG$3,$G69,0)-IF($H69=BG$3,$J69,0)</f>
        <v/>
      </c>
      <c r="BH69" s="47">
        <f>IF($E69=BH$3,$G69,0)-IF($H69=BH$3,$J69,0)</f>
        <v/>
      </c>
      <c r="BI69" s="47">
        <f>IF($E69=BI$3,$G69,0)-IF($H69=BI$3,$J69,0)</f>
        <v/>
      </c>
      <c r="BJ69" s="47">
        <f>IF($E69=BJ$3,$G69,0)-IF($H69=BJ$3,$J69,0)</f>
        <v/>
      </c>
      <c r="BK69" s="47">
        <f>IF($E69=BK$3,$G69,0)-IF($H69=BK$3,$J69,0)</f>
        <v/>
      </c>
      <c r="BL69" s="46">
        <f>-IF($E69=BL$3,$G69,0)+IF($H69=BL$3,$J69,0)</f>
        <v/>
      </c>
      <c r="BM69" s="47">
        <f>-IF($E69=BM$3,$G69,0)+IF($H69=BM$3,$J69,0)</f>
        <v/>
      </c>
      <c r="BN69" s="47">
        <f>-IF($E69=BN$3,$G69,0)+IF($H69=BN$3,$J69,0)</f>
        <v/>
      </c>
      <c r="BO69" s="47">
        <f>-IF($E69=BO$3,$G69,0)+IF($H69=BO$3,$J69,0)</f>
        <v/>
      </c>
      <c r="BP69" s="47">
        <f>-IF($E69=BP$3,$G69,0)+IF($H69=BP$3,$J69,0)</f>
        <v/>
      </c>
      <c r="BQ69" s="47">
        <f>-IF($E69=BQ$3,$G69,0)+IF($H69=BQ$3,$J69,0)</f>
        <v/>
      </c>
      <c r="BR69" s="47">
        <f>-IF($E69=BR$3,$G69,0)+IF($H69=BR$3,$J69,0)</f>
        <v/>
      </c>
      <c r="BS69" s="47">
        <f>-IF($E69=BS$3,$G69,0)+IF($H69=BS$3,$J69,0)</f>
        <v/>
      </c>
      <c r="BT69" s="47">
        <f>-IF($E69=BT$3,$G69,0)+IF($H69=BT$3,$J69,0)</f>
        <v/>
      </c>
      <c r="BU69" s="46">
        <f>+G69-J69</f>
        <v/>
      </c>
      <c r="BV69" s="48">
        <f>-IF($E69=BV$3,$G69,0)+IF($H69=BV$3,$J69,0)</f>
        <v/>
      </c>
      <c r="BW69" s="3" t="n"/>
    </row>
    <row r="70" ht="15.75" customHeight="1" s="214">
      <c r="A70" s="7" t="n"/>
      <c r="B70" s="8" t="n">
        <v>2</v>
      </c>
      <c r="C70" s="9" t="n">
        <v>28</v>
      </c>
      <c r="D70" s="10" t="inlineStr">
        <is>
          <t>Interface(インターフェース) 2026年2月号</t>
        </is>
      </c>
      <c r="E70" s="247" t="n">
        <v>524</v>
      </c>
      <c r="F70" s="11">
        <f>IF(E70="","",IF(ISNA(VLOOKUP(E70,科目コード表!$C$4:$D$67,2,FALSE)),"該当科目なし",VLOOKUP(E70,科目コード表!$C$4:$D$67,2,FALSE)))</f>
        <v/>
      </c>
      <c r="G70" s="38" t="n">
        <v>1490</v>
      </c>
      <c r="H70" s="248" t="n"/>
      <c r="I70" s="11">
        <f>IF(H70="","",IF(ISNA(VLOOKUP(H70,科目コード表!$C$4:$D$67,2,FALSE)),"該当科目なし",VLOOKUP(H70,科目コード表!$C$4:$D$67,2,FALSE)))</f>
        <v/>
      </c>
      <c r="J70" s="40" t="n"/>
      <c r="L70" s="46">
        <f>IF($E70=L$3,$G70,0)-IF($H70=L$3,$J70,0)</f>
        <v/>
      </c>
      <c r="M70" s="47">
        <f>IF($E70=M$3,$G70,0)-IF($H70=M$3,$J70,0)</f>
        <v/>
      </c>
      <c r="N70" s="47">
        <f>IF($E70=N$3,$G70,0)-IF($H70=N$3,$J70,0)</f>
        <v/>
      </c>
      <c r="O70" s="47">
        <f>IF($E70=O$3,$G70,0)-IF($H70=O$3,$J70,0)</f>
        <v/>
      </c>
      <c r="P70" s="47">
        <f>IF($E70=P$3,$G70,0)-IF($H70=P$3,$J70,0)</f>
        <v/>
      </c>
      <c r="Q70" s="47">
        <f>IF($E70=Q$3,$G70,0)-IF($H70=Q$3,$J70,0)</f>
        <v/>
      </c>
      <c r="R70" s="47">
        <f>IF($E70=R$3,$G70,0)-IF($H70=R$3,$J70,0)</f>
        <v/>
      </c>
      <c r="S70" s="47">
        <f>IF($E70=S$3,$G70,0)-IF($H70=S$3,$J70,0)</f>
        <v/>
      </c>
      <c r="T70" s="47">
        <f>IF($E70=T$3,$G70,0)-IF($H70=T$3,$J70,0)</f>
        <v/>
      </c>
      <c r="U70" s="47">
        <f>IF($E70=U$3,$G70,0)-IF($H70=U$3,$J70,0)</f>
        <v/>
      </c>
      <c r="V70" s="47">
        <f>IF($E70=V$3,$G70,0)-IF($H70=V$3,$J70,0)</f>
        <v/>
      </c>
      <c r="W70" s="47">
        <f>IF($E70=W$3,$G70,0)-IF($H70=W$3,$J70,0)</f>
        <v/>
      </c>
      <c r="X70" s="47">
        <f>IF($E70=X$3,$G70,0)-IF($H70=X$3,$J70,0)</f>
        <v/>
      </c>
      <c r="Y70" s="47">
        <f>IF($E70=Y$3,$G70,0)-IF($H70=Y$3,$J70,0)</f>
        <v/>
      </c>
      <c r="Z70" s="47">
        <f>IF($E70=Z$3,$G70,0)-IF($H70=Z$3,$J70,0)</f>
        <v/>
      </c>
      <c r="AA70" s="47">
        <f>IF($E70=AA$3,$G70,0)-IF($H70=AA$3,$J70,0)</f>
        <v/>
      </c>
      <c r="AB70" s="47">
        <f>IF($E70=AB$3,$G70,0)-IF($H70=AB$3,$J70,0)</f>
        <v/>
      </c>
      <c r="AC70" s="47">
        <f>IF($E70=AC$3,$G70,0)-IF($H70=AC$3,$J70,0)</f>
        <v/>
      </c>
      <c r="AD70" s="47">
        <f>IF($E70=AD$3,$G70,0)-IF($H70=AD$3,$J70,0)</f>
        <v/>
      </c>
      <c r="AE70" s="47">
        <f>IF($E70=AE$3,$G70,0)-IF($H70=AE$3,$J70,0)</f>
        <v/>
      </c>
      <c r="AF70" s="47">
        <f>IF($E70=AF$3,$G70,0)-IF($H70=AF$3,$J70,0)</f>
        <v/>
      </c>
      <c r="AG70" s="47">
        <f>IF($E70=AG$3,$G70,0)-IF($H70=AG$3,$J70,0)</f>
        <v/>
      </c>
      <c r="AH70" s="47">
        <f>IF($E70=AH$3,$G70,0)-IF($H70=AH$3,$J70,0)</f>
        <v/>
      </c>
      <c r="AI70" s="47">
        <f>IF($E70=AI$3,$G70,0)-IF($H70=AI$3,$J70,0)</f>
        <v/>
      </c>
      <c r="AJ70" s="47">
        <f>IF($E70=AJ$3,$G70,0)-IF($H70=AJ$3,$J70,0)</f>
        <v/>
      </c>
      <c r="AK70" s="47">
        <f>IF($E70=AK$3,$G70,0)-IF($H70=AK$3,$J70,0)</f>
        <v/>
      </c>
      <c r="AL70" s="48">
        <f>IF($E70=AL$3,$G70,0)-IF($H70=AL$3,$J70,0)</f>
        <v/>
      </c>
      <c r="AM70" s="46">
        <f>-IF($E70=AM$3,$G70,0)+IF($H70=AM$3,$J70,0)</f>
        <v/>
      </c>
      <c r="AN70" s="47">
        <f>-IF($E70=AN$3,$G70,0)+IF($H70=AN$3,$J70,0)</f>
        <v/>
      </c>
      <c r="AO70" s="48">
        <f>-IF($E70=AO$3,$G70,0)+IF($H70=AO$3,$J70,0)</f>
        <v/>
      </c>
      <c r="AP70" s="46">
        <f>IF($E70=AP$3,$G70,0)-IF($H70=AP$3,$J70,0)</f>
        <v/>
      </c>
      <c r="AQ70" s="47">
        <f>IF($E70=AQ$3,$G70,0)-IF($H70=AQ$3,$J70,0)</f>
        <v/>
      </c>
      <c r="AR70" s="47">
        <f>IF($E70=AR$3,$G70,0)-IF($H70=AR$3,$J70,0)</f>
        <v/>
      </c>
      <c r="AS70" s="47">
        <f>IF($E70=AS$3,$G70,0)-IF($H70=AS$3,$J70,0)</f>
        <v/>
      </c>
      <c r="AT70" s="47">
        <f>IF($E70=AT$3,$G70,0)-IF($H70=AT$3,$J70,0)</f>
        <v/>
      </c>
      <c r="AU70" s="47">
        <f>IF($E70=AU$3,$G70,0)-IF($H70=AU$3,$J70,0)</f>
        <v/>
      </c>
      <c r="AV70" s="47">
        <f>IF($E70=AV$3,$G70,0)-IF($H70=AV$3,$J70,0)</f>
        <v/>
      </c>
      <c r="AW70" s="47">
        <f>IF($E70=AW$3,$G70,0)-IF($H70=AW$3,$J70,0)</f>
        <v/>
      </c>
      <c r="AX70" s="47">
        <f>IF($E70=AX$3,$G70,0)-IF($H70=AX$3,$J70,0)</f>
        <v/>
      </c>
      <c r="AY70" s="47">
        <f>IF($E70=AY$3,$G70,0)-IF($H70=AY$3,$J70,0)</f>
        <v/>
      </c>
      <c r="AZ70" s="47">
        <f>IF($E70=AZ$3,$G70,0)-IF($H70=AZ$3,$J70,0)</f>
        <v/>
      </c>
      <c r="BA70" s="47">
        <f>IF($E70=BA$3,$G70,0)-IF($H70=BA$3,$J70,0)</f>
        <v/>
      </c>
      <c r="BB70" s="47">
        <f>IF($E70=BB$3,$G70,0)-IF($H70=BB$3,$J70,0)</f>
        <v/>
      </c>
      <c r="BC70" s="47">
        <f>IF($E70=BC$3,$G70,0)-IF($H70=BC$3,$J70,0)</f>
        <v/>
      </c>
      <c r="BD70" s="47">
        <f>IF($E70=BD$3,$G70,0)-IF($H70=BD$3,$J70,0)</f>
        <v/>
      </c>
      <c r="BE70" s="47">
        <f>IF($E70=BE$3,$G70,0)-IF($H70=BE$3,$J70,0)</f>
        <v/>
      </c>
      <c r="BF70" s="47">
        <f>IF($E70=BF$3,$G70,0)-IF($H70=BF$3,$J70,0)</f>
        <v/>
      </c>
      <c r="BG70" s="47">
        <f>IF($E70=BG$3,$G70,0)-IF($H70=BG$3,$J70,0)</f>
        <v/>
      </c>
      <c r="BH70" s="47">
        <f>IF($E70=BH$3,$G70,0)-IF($H70=BH$3,$J70,0)</f>
        <v/>
      </c>
      <c r="BI70" s="47">
        <f>IF($E70=BI$3,$G70,0)-IF($H70=BI$3,$J70,0)</f>
        <v/>
      </c>
      <c r="BJ70" s="47">
        <f>IF($E70=BJ$3,$G70,0)-IF($H70=BJ$3,$J70,0)</f>
        <v/>
      </c>
      <c r="BK70" s="47">
        <f>IF($E70=BK$3,$G70,0)-IF($H70=BK$3,$J70,0)</f>
        <v/>
      </c>
      <c r="BL70" s="46">
        <f>-IF($E70=BL$3,$G70,0)+IF($H70=BL$3,$J70,0)</f>
        <v/>
      </c>
      <c r="BM70" s="47">
        <f>-IF($E70=BM$3,$G70,0)+IF($H70=BM$3,$J70,0)</f>
        <v/>
      </c>
      <c r="BN70" s="47">
        <f>-IF($E70=BN$3,$G70,0)+IF($H70=BN$3,$J70,0)</f>
        <v/>
      </c>
      <c r="BO70" s="47">
        <f>-IF($E70=BO$3,$G70,0)+IF($H70=BO$3,$J70,0)</f>
        <v/>
      </c>
      <c r="BP70" s="47">
        <f>-IF($E70=BP$3,$G70,0)+IF($H70=BP$3,$J70,0)</f>
        <v/>
      </c>
      <c r="BQ70" s="47">
        <f>-IF($E70=BQ$3,$G70,0)+IF($H70=BQ$3,$J70,0)</f>
        <v/>
      </c>
      <c r="BR70" s="47">
        <f>-IF($E70=BR$3,$G70,0)+IF($H70=BR$3,$J70,0)</f>
        <v/>
      </c>
      <c r="BS70" s="47">
        <f>-IF($E70=BS$3,$G70,0)+IF($H70=BS$3,$J70,0)</f>
        <v/>
      </c>
      <c r="BT70" s="47">
        <f>-IF($E70=BT$3,$G70,0)+IF($H70=BT$3,$J70,0)</f>
        <v/>
      </c>
      <c r="BU70" s="46">
        <f>+G70-J70</f>
        <v/>
      </c>
      <c r="BV70" s="48">
        <f>-IF($E70=BV$3,$G70,0)+IF($H70=BV$3,$J70,0)</f>
        <v/>
      </c>
      <c r="BW70" s="3" t="n"/>
    </row>
    <row r="71" ht="15.75" customHeight="1" s="214">
      <c r="A71" s="7" t="n"/>
      <c r="B71" s="8" t="n">
        <v>2</v>
      </c>
      <c r="C71" s="9" t="n">
        <v>28</v>
      </c>
      <c r="D71" s="10" t="inlineStr">
        <is>
          <t>売上BASIS</t>
        </is>
      </c>
      <c r="E71" s="247" t="n">
        <v>107</v>
      </c>
      <c r="F71" s="11">
        <f>IF(E71="","",IF(ISNA(VLOOKUP(E71,科目コード表!$C$4:$D$67,2,FALSE)),"該当科目なし",VLOOKUP(E71,科目コード表!$C$4:$D$67,2,FALSE)))</f>
        <v/>
      </c>
      <c r="G71" s="38" t="n">
        <v>770000</v>
      </c>
      <c r="H71" s="248" t="n">
        <v>401</v>
      </c>
      <c r="I71" s="11">
        <f>IF(H71="","",IF(ISNA(VLOOKUP(H71,科目コード表!$C$4:$D$67,2,FALSE)),"該当科目なし",VLOOKUP(H71,科目コード表!$C$4:$D$67,2,FALSE)))</f>
        <v/>
      </c>
      <c r="J71" s="40" t="n">
        <v>770000</v>
      </c>
      <c r="L71" s="46">
        <f>IF($E71=L$3,$G71,0)-IF($H71=L$3,$J71,0)</f>
        <v/>
      </c>
      <c r="M71" s="47">
        <f>IF($E71=M$3,$G71,0)-IF($H71=M$3,$J71,0)</f>
        <v/>
      </c>
      <c r="N71" s="47">
        <f>IF($E71=N$3,$G71,0)-IF($H71=N$3,$J71,0)</f>
        <v/>
      </c>
      <c r="O71" s="47">
        <f>IF($E71=O$3,$G71,0)-IF($H71=O$3,$J71,0)</f>
        <v/>
      </c>
      <c r="P71" s="47">
        <f>IF($E71=P$3,$G71,0)-IF($H71=P$3,$J71,0)</f>
        <v/>
      </c>
      <c r="Q71" s="47">
        <f>IF($E71=Q$3,$G71,0)-IF($H71=Q$3,$J71,0)</f>
        <v/>
      </c>
      <c r="R71" s="47">
        <f>IF($E71=R$3,$G71,0)-IF($H71=R$3,$J71,0)</f>
        <v/>
      </c>
      <c r="S71" s="47">
        <f>IF($E71=S$3,$G71,0)-IF($H71=S$3,$J71,0)</f>
        <v/>
      </c>
      <c r="T71" s="47">
        <f>IF($E71=T$3,$G71,0)-IF($H71=T$3,$J71,0)</f>
        <v/>
      </c>
      <c r="U71" s="47">
        <f>IF($E71=U$3,$G71,0)-IF($H71=U$3,$J71,0)</f>
        <v/>
      </c>
      <c r="V71" s="47">
        <f>IF($E71=V$3,$G71,0)-IF($H71=V$3,$J71,0)</f>
        <v/>
      </c>
      <c r="W71" s="47">
        <f>IF($E71=W$3,$G71,0)-IF($H71=W$3,$J71,0)</f>
        <v/>
      </c>
      <c r="X71" s="47">
        <f>IF($E71=X$3,$G71,0)-IF($H71=X$3,$J71,0)</f>
        <v/>
      </c>
      <c r="Y71" s="47">
        <f>IF($E71=Y$3,$G71,0)-IF($H71=Y$3,$J71,0)</f>
        <v/>
      </c>
      <c r="Z71" s="47">
        <f>IF($E71=Z$3,$G71,0)-IF($H71=Z$3,$J71,0)</f>
        <v/>
      </c>
      <c r="AA71" s="47">
        <f>IF($E71=AA$3,$G71,0)-IF($H71=AA$3,$J71,0)</f>
        <v/>
      </c>
      <c r="AB71" s="47">
        <f>IF($E71=AB$3,$G71,0)-IF($H71=AB$3,$J71,0)</f>
        <v/>
      </c>
      <c r="AC71" s="47">
        <f>IF($E71=AC$3,$G71,0)-IF($H71=AC$3,$J71,0)</f>
        <v/>
      </c>
      <c r="AD71" s="47">
        <f>IF($E71=AD$3,$G71,0)-IF($H71=AD$3,$J71,0)</f>
        <v/>
      </c>
      <c r="AE71" s="47">
        <f>IF($E71=AE$3,$G71,0)-IF($H71=AE$3,$J71,0)</f>
        <v/>
      </c>
      <c r="AF71" s="47">
        <f>IF($E71=AF$3,$G71,0)-IF($H71=AF$3,$J71,0)</f>
        <v/>
      </c>
      <c r="AG71" s="47">
        <f>IF($E71=AG$3,$G71,0)-IF($H71=AG$3,$J71,0)</f>
        <v/>
      </c>
      <c r="AH71" s="47">
        <f>IF($E71=AH$3,$G71,0)-IF($H71=AH$3,$J71,0)</f>
        <v/>
      </c>
      <c r="AI71" s="47">
        <f>IF($E71=AI$3,$G71,0)-IF($H71=AI$3,$J71,0)</f>
        <v/>
      </c>
      <c r="AJ71" s="47">
        <f>IF($E71=AJ$3,$G71,0)-IF($H71=AJ$3,$J71,0)</f>
        <v/>
      </c>
      <c r="AK71" s="47">
        <f>IF($E71=AK$3,$G71,0)-IF($H71=AK$3,$J71,0)</f>
        <v/>
      </c>
      <c r="AL71" s="48">
        <f>IF($E71=AL$3,$G71,0)-IF($H71=AL$3,$J71,0)</f>
        <v/>
      </c>
      <c r="AM71" s="46">
        <f>-IF($E71=AM$3,$G71,0)+IF($H71=AM$3,$J71,0)</f>
        <v/>
      </c>
      <c r="AN71" s="47">
        <f>-IF($E71=AN$3,$G71,0)+IF($H71=AN$3,$J71,0)</f>
        <v/>
      </c>
      <c r="AO71" s="48">
        <f>-IF($E71=AO$3,$G71,0)+IF($H71=AO$3,$J71,0)</f>
        <v/>
      </c>
      <c r="AP71" s="46">
        <f>IF($E71=AP$3,$G71,0)-IF($H71=AP$3,$J71,0)</f>
        <v/>
      </c>
      <c r="AQ71" s="47">
        <f>IF($E71=AQ$3,$G71,0)-IF($H71=AQ$3,$J71,0)</f>
        <v/>
      </c>
      <c r="AR71" s="47">
        <f>IF($E71=AR$3,$G71,0)-IF($H71=AR$3,$J71,0)</f>
        <v/>
      </c>
      <c r="AS71" s="47">
        <f>IF($E71=AS$3,$G71,0)-IF($H71=AS$3,$J71,0)</f>
        <v/>
      </c>
      <c r="AT71" s="47">
        <f>IF($E71=AT$3,$G71,0)-IF($H71=AT$3,$J71,0)</f>
        <v/>
      </c>
      <c r="AU71" s="47">
        <f>IF($E71=AU$3,$G71,0)-IF($H71=AU$3,$J71,0)</f>
        <v/>
      </c>
      <c r="AV71" s="47">
        <f>IF($E71=AV$3,$G71,0)-IF($H71=AV$3,$J71,0)</f>
        <v/>
      </c>
      <c r="AW71" s="47">
        <f>IF($E71=AW$3,$G71,0)-IF($H71=AW$3,$J71,0)</f>
        <v/>
      </c>
      <c r="AX71" s="47">
        <f>IF($E71=AX$3,$G71,0)-IF($H71=AX$3,$J71,0)</f>
        <v/>
      </c>
      <c r="AY71" s="47">
        <f>IF($E71=AY$3,$G71,0)-IF($H71=AY$3,$J71,0)</f>
        <v/>
      </c>
      <c r="AZ71" s="47">
        <f>IF($E71=AZ$3,$G71,0)-IF($H71=AZ$3,$J71,0)</f>
        <v/>
      </c>
      <c r="BA71" s="47">
        <f>IF($E71=BA$3,$G71,0)-IF($H71=BA$3,$J71,0)</f>
        <v/>
      </c>
      <c r="BB71" s="47">
        <f>IF($E71=BB$3,$G71,0)-IF($H71=BB$3,$J71,0)</f>
        <v/>
      </c>
      <c r="BC71" s="47">
        <f>IF($E71=BC$3,$G71,0)-IF($H71=BC$3,$J71,0)</f>
        <v/>
      </c>
      <c r="BD71" s="47">
        <f>IF($E71=BD$3,$G71,0)-IF($H71=BD$3,$J71,0)</f>
        <v/>
      </c>
      <c r="BE71" s="47">
        <f>IF($E71=BE$3,$G71,0)-IF($H71=BE$3,$J71,0)</f>
        <v/>
      </c>
      <c r="BF71" s="47">
        <f>IF($E71=BF$3,$G71,0)-IF($H71=BF$3,$J71,0)</f>
        <v/>
      </c>
      <c r="BG71" s="47">
        <f>IF($E71=BG$3,$G71,0)-IF($H71=BG$3,$J71,0)</f>
        <v/>
      </c>
      <c r="BH71" s="47">
        <f>IF($E71=BH$3,$G71,0)-IF($H71=BH$3,$J71,0)</f>
        <v/>
      </c>
      <c r="BI71" s="47">
        <f>IF($E71=BI$3,$G71,0)-IF($H71=BI$3,$J71,0)</f>
        <v/>
      </c>
      <c r="BJ71" s="47">
        <f>IF($E71=BJ$3,$G71,0)-IF($H71=BJ$3,$J71,0)</f>
        <v/>
      </c>
      <c r="BK71" s="47">
        <f>IF($E71=BK$3,$G71,0)-IF($H71=BK$3,$J71,0)</f>
        <v/>
      </c>
      <c r="BL71" s="46">
        <f>-IF($E71=BL$3,$G71,0)+IF($H71=BL$3,$J71,0)</f>
        <v/>
      </c>
      <c r="BM71" s="47">
        <f>-IF($E71=BM$3,$G71,0)+IF($H71=BM$3,$J71,0)</f>
        <v/>
      </c>
      <c r="BN71" s="47">
        <f>-IF($E71=BN$3,$G71,0)+IF($H71=BN$3,$J71,0)</f>
        <v/>
      </c>
      <c r="BO71" s="47">
        <f>-IF($E71=BO$3,$G71,0)+IF($H71=BO$3,$J71,0)</f>
        <v/>
      </c>
      <c r="BP71" s="47">
        <f>-IF($E71=BP$3,$G71,0)+IF($H71=BP$3,$J71,0)</f>
        <v/>
      </c>
      <c r="BQ71" s="47">
        <f>-IF($E71=BQ$3,$G71,0)+IF($H71=BQ$3,$J71,0)</f>
        <v/>
      </c>
      <c r="BR71" s="47">
        <f>-IF($E71=BR$3,$G71,0)+IF($H71=BR$3,$J71,0)</f>
        <v/>
      </c>
      <c r="BS71" s="47">
        <f>-IF($E71=BS$3,$G71,0)+IF($H71=BS$3,$J71,0)</f>
        <v/>
      </c>
      <c r="BT71" s="47">
        <f>-IF($E71=BT$3,$G71,0)+IF($H71=BT$3,$J71,0)</f>
        <v/>
      </c>
      <c r="BU71" s="46">
        <f>+G71-J71</f>
        <v/>
      </c>
      <c r="BV71" s="48">
        <f>-IF($E71=BV$3,$G71,0)+IF($H71=BV$3,$J71,0)</f>
        <v/>
      </c>
      <c r="BW71" s="3" t="n"/>
    </row>
    <row r="72" ht="15.75" customHeight="1" s="214">
      <c r="A72" s="7" t="n"/>
      <c r="B72" s="8" t="n">
        <v>2</v>
      </c>
      <c r="C72" s="9" t="n">
        <v>29</v>
      </c>
      <c r="D72" s="10" t="inlineStr">
        <is>
          <t>エポス さくらインターネット</t>
        </is>
      </c>
      <c r="E72" s="247" t="n">
        <v>525</v>
      </c>
      <c r="F72" s="11">
        <f>IF(E72="","",IF(ISNA(VLOOKUP(E72,科目コード表!$C$4:$D$67,2,FALSE)),"該当科目なし",VLOOKUP(E72,科目コード表!$C$4:$D$67,2,FALSE)))</f>
        <v/>
      </c>
      <c r="G72" s="38" t="n">
        <v>3220</v>
      </c>
      <c r="H72" s="248" t="n"/>
      <c r="I72" s="11">
        <f>IF(H72="","",IF(ISNA(VLOOKUP(H72,科目コード表!$C$4:$D$67,2,FALSE)),"該当科目なし",VLOOKUP(H72,科目コード表!$C$4:$D$67,2,FALSE)))</f>
        <v/>
      </c>
      <c r="J72" s="40" t="n"/>
      <c r="L72" s="46">
        <f>IF($E72=L$3,$G72,0)-IF($H72=L$3,$J72,0)</f>
        <v/>
      </c>
      <c r="M72" s="47">
        <f>IF($E72=M$3,$G72,0)-IF($H72=M$3,$J72,0)</f>
        <v/>
      </c>
      <c r="N72" s="47">
        <f>IF($E72=N$3,$G72,0)-IF($H72=N$3,$J72,0)</f>
        <v/>
      </c>
      <c r="O72" s="47">
        <f>IF($E72=O$3,$G72,0)-IF($H72=O$3,$J72,0)</f>
        <v/>
      </c>
      <c r="P72" s="47">
        <f>IF($E72=P$3,$G72,0)-IF($H72=P$3,$J72,0)</f>
        <v/>
      </c>
      <c r="Q72" s="47">
        <f>IF($E72=Q$3,$G72,0)-IF($H72=Q$3,$J72,0)</f>
        <v/>
      </c>
      <c r="R72" s="47">
        <f>IF($E72=R$3,$G72,0)-IF($H72=R$3,$J72,0)</f>
        <v/>
      </c>
      <c r="S72" s="47">
        <f>IF($E72=S$3,$G72,0)-IF($H72=S$3,$J72,0)</f>
        <v/>
      </c>
      <c r="T72" s="47">
        <f>IF($E72=T$3,$G72,0)-IF($H72=T$3,$J72,0)</f>
        <v/>
      </c>
      <c r="U72" s="47">
        <f>IF($E72=U$3,$G72,0)-IF($H72=U$3,$J72,0)</f>
        <v/>
      </c>
      <c r="V72" s="47">
        <f>IF($E72=V$3,$G72,0)-IF($H72=V$3,$J72,0)</f>
        <v/>
      </c>
      <c r="W72" s="47">
        <f>IF($E72=W$3,$G72,0)-IF($H72=W$3,$J72,0)</f>
        <v/>
      </c>
      <c r="X72" s="47">
        <f>IF($E72=X$3,$G72,0)-IF($H72=X$3,$J72,0)</f>
        <v/>
      </c>
      <c r="Y72" s="47">
        <f>IF($E72=Y$3,$G72,0)-IF($H72=Y$3,$J72,0)</f>
        <v/>
      </c>
      <c r="Z72" s="47">
        <f>IF($E72=Z$3,$G72,0)-IF($H72=Z$3,$J72,0)</f>
        <v/>
      </c>
      <c r="AA72" s="47">
        <f>IF($E72=AA$3,$G72,0)-IF($H72=AA$3,$J72,0)</f>
        <v/>
      </c>
      <c r="AB72" s="47">
        <f>IF($E72=AB$3,$G72,0)-IF($H72=AB$3,$J72,0)</f>
        <v/>
      </c>
      <c r="AC72" s="47">
        <f>IF($E72=AC$3,$G72,0)-IF($H72=AC$3,$J72,0)</f>
        <v/>
      </c>
      <c r="AD72" s="47">
        <f>IF($E72=AD$3,$G72,0)-IF($H72=AD$3,$J72,0)</f>
        <v/>
      </c>
      <c r="AE72" s="47">
        <f>IF($E72=AE$3,$G72,0)-IF($H72=AE$3,$J72,0)</f>
        <v/>
      </c>
      <c r="AF72" s="47">
        <f>IF($E72=AF$3,$G72,0)-IF($H72=AF$3,$J72,0)</f>
        <v/>
      </c>
      <c r="AG72" s="47">
        <f>IF($E72=AG$3,$G72,0)-IF($H72=AG$3,$J72,0)</f>
        <v/>
      </c>
      <c r="AH72" s="47">
        <f>IF($E72=AH$3,$G72,0)-IF($H72=AH$3,$J72,0)</f>
        <v/>
      </c>
      <c r="AI72" s="47">
        <f>IF($E72=AI$3,$G72,0)-IF($H72=AI$3,$J72,0)</f>
        <v/>
      </c>
      <c r="AJ72" s="47">
        <f>IF($E72=AJ$3,$G72,0)-IF($H72=AJ$3,$J72,0)</f>
        <v/>
      </c>
      <c r="AK72" s="47">
        <f>IF($E72=AK$3,$G72,0)-IF($H72=AK$3,$J72,0)</f>
        <v/>
      </c>
      <c r="AL72" s="48">
        <f>IF($E72=AL$3,$G72,0)-IF($H72=AL$3,$J72,0)</f>
        <v/>
      </c>
      <c r="AM72" s="46">
        <f>-IF($E72=AM$3,$G72,0)+IF($H72=AM$3,$J72,0)</f>
        <v/>
      </c>
      <c r="AN72" s="47">
        <f>-IF($E72=AN$3,$G72,0)+IF($H72=AN$3,$J72,0)</f>
        <v/>
      </c>
      <c r="AO72" s="48">
        <f>-IF($E72=AO$3,$G72,0)+IF($H72=AO$3,$J72,0)</f>
        <v/>
      </c>
      <c r="AP72" s="46">
        <f>IF($E72=AP$3,$G72,0)-IF($H72=AP$3,$J72,0)</f>
        <v/>
      </c>
      <c r="AQ72" s="47">
        <f>IF($E72=AQ$3,$G72,0)-IF($H72=AQ$3,$J72,0)</f>
        <v/>
      </c>
      <c r="AR72" s="47">
        <f>IF($E72=AR$3,$G72,0)-IF($H72=AR$3,$J72,0)</f>
        <v/>
      </c>
      <c r="AS72" s="47">
        <f>IF($E72=AS$3,$G72,0)-IF($H72=AS$3,$J72,0)</f>
        <v/>
      </c>
      <c r="AT72" s="47">
        <f>IF($E72=AT$3,$G72,0)-IF($H72=AT$3,$J72,0)</f>
        <v/>
      </c>
      <c r="AU72" s="47">
        <f>IF($E72=AU$3,$G72,0)-IF($H72=AU$3,$J72,0)</f>
        <v/>
      </c>
      <c r="AV72" s="47">
        <f>IF($E72=AV$3,$G72,0)-IF($H72=AV$3,$J72,0)</f>
        <v/>
      </c>
      <c r="AW72" s="47">
        <f>IF($E72=AW$3,$G72,0)-IF($H72=AW$3,$J72,0)</f>
        <v/>
      </c>
      <c r="AX72" s="47">
        <f>IF($E72=AX$3,$G72,0)-IF($H72=AX$3,$J72,0)</f>
        <v/>
      </c>
      <c r="AY72" s="47">
        <f>IF($E72=AY$3,$G72,0)-IF($H72=AY$3,$J72,0)</f>
        <v/>
      </c>
      <c r="AZ72" s="47">
        <f>IF($E72=AZ$3,$G72,0)-IF($H72=AZ$3,$J72,0)</f>
        <v/>
      </c>
      <c r="BA72" s="47">
        <f>IF($E72=BA$3,$G72,0)-IF($H72=BA$3,$J72,0)</f>
        <v/>
      </c>
      <c r="BB72" s="47">
        <f>IF($E72=BB$3,$G72,0)-IF($H72=BB$3,$J72,0)</f>
        <v/>
      </c>
      <c r="BC72" s="47">
        <f>IF($E72=BC$3,$G72,0)-IF($H72=BC$3,$J72,0)</f>
        <v/>
      </c>
      <c r="BD72" s="47">
        <f>IF($E72=BD$3,$G72,0)-IF($H72=BD$3,$J72,0)</f>
        <v/>
      </c>
      <c r="BE72" s="47">
        <f>IF($E72=BE$3,$G72,0)-IF($H72=BE$3,$J72,0)</f>
        <v/>
      </c>
      <c r="BF72" s="47">
        <f>IF($E72=BF$3,$G72,0)-IF($H72=BF$3,$J72,0)</f>
        <v/>
      </c>
      <c r="BG72" s="47">
        <f>IF($E72=BG$3,$G72,0)-IF($H72=BG$3,$J72,0)</f>
        <v/>
      </c>
      <c r="BH72" s="47">
        <f>IF($E72=BH$3,$G72,0)-IF($H72=BH$3,$J72,0)</f>
        <v/>
      </c>
      <c r="BI72" s="47">
        <f>IF($E72=BI$3,$G72,0)-IF($H72=BI$3,$J72,0)</f>
        <v/>
      </c>
      <c r="BJ72" s="47">
        <f>IF($E72=BJ$3,$G72,0)-IF($H72=BJ$3,$J72,0)</f>
        <v/>
      </c>
      <c r="BK72" s="47">
        <f>IF($E72=BK$3,$G72,0)-IF($H72=BK$3,$J72,0)</f>
        <v/>
      </c>
      <c r="BL72" s="46">
        <f>-IF($E72=BL$3,$G72,0)+IF($H72=BL$3,$J72,0)</f>
        <v/>
      </c>
      <c r="BM72" s="47">
        <f>-IF($E72=BM$3,$G72,0)+IF($H72=BM$3,$J72,0)</f>
        <v/>
      </c>
      <c r="BN72" s="47">
        <f>-IF($E72=BN$3,$G72,0)+IF($H72=BN$3,$J72,0)</f>
        <v/>
      </c>
      <c r="BO72" s="47">
        <f>-IF($E72=BO$3,$G72,0)+IF($H72=BO$3,$J72,0)</f>
        <v/>
      </c>
      <c r="BP72" s="47">
        <f>-IF($E72=BP$3,$G72,0)+IF($H72=BP$3,$J72,0)</f>
        <v/>
      </c>
      <c r="BQ72" s="47">
        <f>-IF($E72=BQ$3,$G72,0)+IF($H72=BQ$3,$J72,0)</f>
        <v/>
      </c>
      <c r="BR72" s="47">
        <f>-IF($E72=BR$3,$G72,0)+IF($H72=BR$3,$J72,0)</f>
        <v/>
      </c>
      <c r="BS72" s="47">
        <f>-IF($E72=BS$3,$G72,0)+IF($H72=BS$3,$J72,0)</f>
        <v/>
      </c>
      <c r="BT72" s="47">
        <f>-IF($E72=BT$3,$G72,0)+IF($H72=BT$3,$J72,0)</f>
        <v/>
      </c>
      <c r="BU72" s="46">
        <f>+G72-J72</f>
        <v/>
      </c>
      <c r="BV72" s="48">
        <f>-IF($E72=BV$3,$G72,0)+IF($H72=BV$3,$J72,0)</f>
        <v/>
      </c>
      <c r="BW72" s="3" t="n"/>
    </row>
    <row r="73" ht="15.75" customHeight="1" s="214">
      <c r="A73" s="7" t="n"/>
      <c r="B73" s="8" t="n">
        <v>3</v>
      </c>
      <c r="C73" s="9" t="n">
        <v>2</v>
      </c>
      <c r="D73" s="10" t="inlineStr">
        <is>
          <t>中尾洋一へ地代振込</t>
        </is>
      </c>
      <c r="E73" s="247" t="n">
        <v>520</v>
      </c>
      <c r="F73" s="11">
        <f>IF(E73="","",IF(ISNA(VLOOKUP(E73,科目コード表!$C$4:$D$67,2,FALSE)),"該当科目なし",VLOOKUP(E73,科目コード表!$C$4:$D$67,2,FALSE)))</f>
        <v/>
      </c>
      <c r="G73" s="38" t="n">
        <v>20000</v>
      </c>
      <c r="H73" s="248" t="n"/>
      <c r="I73" s="11">
        <f>IF(H73="","",IF(ISNA(VLOOKUP(H73,科目コード表!$C$4:$D$67,2,FALSE)),"該当科目なし",VLOOKUP(H73,科目コード表!$C$4:$D$67,2,FALSE)))</f>
        <v/>
      </c>
      <c r="J73" s="40" t="n"/>
      <c r="L73" s="46">
        <f>IF($E73=L$3,$G73,0)-IF($H73=L$3,$J73,0)</f>
        <v/>
      </c>
      <c r="M73" s="47">
        <f>IF($E73=M$3,$G73,0)-IF($H73=M$3,$J73,0)</f>
        <v/>
      </c>
      <c r="N73" s="47">
        <f>IF($E73=N$3,$G73,0)-IF($H73=N$3,$J73,0)</f>
        <v/>
      </c>
      <c r="O73" s="47">
        <f>IF($E73=O$3,$G73,0)-IF($H73=O$3,$J73,0)</f>
        <v/>
      </c>
      <c r="P73" s="47">
        <f>IF($E73=P$3,$G73,0)-IF($H73=P$3,$J73,0)</f>
        <v/>
      </c>
      <c r="Q73" s="47">
        <f>IF($E73=Q$3,$G73,0)-IF($H73=Q$3,$J73,0)</f>
        <v/>
      </c>
      <c r="R73" s="47">
        <f>IF($E73=R$3,$G73,0)-IF($H73=R$3,$J73,0)</f>
        <v/>
      </c>
      <c r="S73" s="47">
        <f>IF($E73=S$3,$G73,0)-IF($H73=S$3,$J73,0)</f>
        <v/>
      </c>
      <c r="T73" s="47">
        <f>IF($E73=T$3,$G73,0)-IF($H73=T$3,$J73,0)</f>
        <v/>
      </c>
      <c r="U73" s="47">
        <f>IF($E73=U$3,$G73,0)-IF($H73=U$3,$J73,0)</f>
        <v/>
      </c>
      <c r="V73" s="47">
        <f>IF($E73=V$3,$G73,0)-IF($H73=V$3,$J73,0)</f>
        <v/>
      </c>
      <c r="W73" s="47">
        <f>IF($E73=W$3,$G73,0)-IF($H73=W$3,$J73,0)</f>
        <v/>
      </c>
      <c r="X73" s="47">
        <f>IF($E73=X$3,$G73,0)-IF($H73=X$3,$J73,0)</f>
        <v/>
      </c>
      <c r="Y73" s="47">
        <f>IF($E73=Y$3,$G73,0)-IF($H73=Y$3,$J73,0)</f>
        <v/>
      </c>
      <c r="Z73" s="47">
        <f>IF($E73=Z$3,$G73,0)-IF($H73=Z$3,$J73,0)</f>
        <v/>
      </c>
      <c r="AA73" s="47">
        <f>IF($E73=AA$3,$G73,0)-IF($H73=AA$3,$J73,0)</f>
        <v/>
      </c>
      <c r="AB73" s="47">
        <f>IF($E73=AB$3,$G73,0)-IF($H73=AB$3,$J73,0)</f>
        <v/>
      </c>
      <c r="AC73" s="47">
        <f>IF($E73=AC$3,$G73,0)-IF($H73=AC$3,$J73,0)</f>
        <v/>
      </c>
      <c r="AD73" s="47">
        <f>IF($E73=AD$3,$G73,0)-IF($H73=AD$3,$J73,0)</f>
        <v/>
      </c>
      <c r="AE73" s="47">
        <f>IF($E73=AE$3,$G73,0)-IF($H73=AE$3,$J73,0)</f>
        <v/>
      </c>
      <c r="AF73" s="47">
        <f>IF($E73=AF$3,$G73,0)-IF($H73=AF$3,$J73,0)</f>
        <v/>
      </c>
      <c r="AG73" s="47">
        <f>IF($E73=AG$3,$G73,0)-IF($H73=AG$3,$J73,0)</f>
        <v/>
      </c>
      <c r="AH73" s="47">
        <f>IF($E73=AH$3,$G73,0)-IF($H73=AH$3,$J73,0)</f>
        <v/>
      </c>
      <c r="AI73" s="47">
        <f>IF($E73=AI$3,$G73,0)-IF($H73=AI$3,$J73,0)</f>
        <v/>
      </c>
      <c r="AJ73" s="47">
        <f>IF($E73=AJ$3,$G73,0)-IF($H73=AJ$3,$J73,0)</f>
        <v/>
      </c>
      <c r="AK73" s="47">
        <f>IF($E73=AK$3,$G73,0)-IF($H73=AK$3,$J73,0)</f>
        <v/>
      </c>
      <c r="AL73" s="48">
        <f>IF($E73=AL$3,$G73,0)-IF($H73=AL$3,$J73,0)</f>
        <v/>
      </c>
      <c r="AM73" s="46">
        <f>-IF($E73=AM$3,$G73,0)+IF($H73=AM$3,$J73,0)</f>
        <v/>
      </c>
      <c r="AN73" s="47">
        <f>-IF($E73=AN$3,$G73,0)+IF($H73=AN$3,$J73,0)</f>
        <v/>
      </c>
      <c r="AO73" s="48">
        <f>-IF($E73=AO$3,$G73,0)+IF($H73=AO$3,$J73,0)</f>
        <v/>
      </c>
      <c r="AP73" s="46">
        <f>IF($E73=AP$3,$G73,0)-IF($H73=AP$3,$J73,0)</f>
        <v/>
      </c>
      <c r="AQ73" s="47">
        <f>IF($E73=AQ$3,$G73,0)-IF($H73=AQ$3,$J73,0)</f>
        <v/>
      </c>
      <c r="AR73" s="47">
        <f>IF($E73=AR$3,$G73,0)-IF($H73=AR$3,$J73,0)</f>
        <v/>
      </c>
      <c r="AS73" s="47">
        <f>IF($E73=AS$3,$G73,0)-IF($H73=AS$3,$J73,0)</f>
        <v/>
      </c>
      <c r="AT73" s="47">
        <f>IF($E73=AT$3,$G73,0)-IF($H73=AT$3,$J73,0)</f>
        <v/>
      </c>
      <c r="AU73" s="47">
        <f>IF($E73=AU$3,$G73,0)-IF($H73=AU$3,$J73,0)</f>
        <v/>
      </c>
      <c r="AV73" s="47">
        <f>IF($E73=AV$3,$G73,0)-IF($H73=AV$3,$J73,0)</f>
        <v/>
      </c>
      <c r="AW73" s="47">
        <f>IF($E73=AW$3,$G73,0)-IF($H73=AW$3,$J73,0)</f>
        <v/>
      </c>
      <c r="AX73" s="47">
        <f>IF($E73=AX$3,$G73,0)-IF($H73=AX$3,$J73,0)</f>
        <v/>
      </c>
      <c r="AY73" s="47">
        <f>IF($E73=AY$3,$G73,0)-IF($H73=AY$3,$J73,0)</f>
        <v/>
      </c>
      <c r="AZ73" s="47">
        <f>IF($E73=AZ$3,$G73,0)-IF($H73=AZ$3,$J73,0)</f>
        <v/>
      </c>
      <c r="BA73" s="47">
        <f>IF($E73=BA$3,$G73,0)-IF($H73=BA$3,$J73,0)</f>
        <v/>
      </c>
      <c r="BB73" s="47">
        <f>IF($E73=BB$3,$G73,0)-IF($H73=BB$3,$J73,0)</f>
        <v/>
      </c>
      <c r="BC73" s="47">
        <f>IF($E73=BC$3,$G73,0)-IF($H73=BC$3,$J73,0)</f>
        <v/>
      </c>
      <c r="BD73" s="47">
        <f>IF($E73=BD$3,$G73,0)-IF($H73=BD$3,$J73,0)</f>
        <v/>
      </c>
      <c r="BE73" s="47">
        <f>IF($E73=BE$3,$G73,0)-IF($H73=BE$3,$J73,0)</f>
        <v/>
      </c>
      <c r="BF73" s="47">
        <f>IF($E73=BF$3,$G73,0)-IF($H73=BF$3,$J73,0)</f>
        <v/>
      </c>
      <c r="BG73" s="47">
        <f>IF($E73=BG$3,$G73,0)-IF($H73=BG$3,$J73,0)</f>
        <v/>
      </c>
      <c r="BH73" s="47">
        <f>IF($E73=BH$3,$G73,0)-IF($H73=BH$3,$J73,0)</f>
        <v/>
      </c>
      <c r="BI73" s="47">
        <f>IF($E73=BI$3,$G73,0)-IF($H73=BI$3,$J73,0)</f>
        <v/>
      </c>
      <c r="BJ73" s="47">
        <f>IF($E73=BJ$3,$G73,0)-IF($H73=BJ$3,$J73,0)</f>
        <v/>
      </c>
      <c r="BK73" s="47">
        <f>IF($E73=BK$3,$G73,0)-IF($H73=BK$3,$J73,0)</f>
        <v/>
      </c>
      <c r="BL73" s="46">
        <f>-IF($E73=BL$3,$G73,0)+IF($H73=BL$3,$J73,0)</f>
        <v/>
      </c>
      <c r="BM73" s="47">
        <f>-IF($E73=BM$3,$G73,0)+IF($H73=BM$3,$J73,0)</f>
        <v/>
      </c>
      <c r="BN73" s="47">
        <f>-IF($E73=BN$3,$G73,0)+IF($H73=BN$3,$J73,0)</f>
        <v/>
      </c>
      <c r="BO73" s="47">
        <f>-IF($E73=BO$3,$G73,0)+IF($H73=BO$3,$J73,0)</f>
        <v/>
      </c>
      <c r="BP73" s="47">
        <f>-IF($E73=BP$3,$G73,0)+IF($H73=BP$3,$J73,0)</f>
        <v/>
      </c>
      <c r="BQ73" s="47">
        <f>-IF($E73=BQ$3,$G73,0)+IF($H73=BQ$3,$J73,0)</f>
        <v/>
      </c>
      <c r="BR73" s="47">
        <f>-IF($E73=BR$3,$G73,0)+IF($H73=BR$3,$J73,0)</f>
        <v/>
      </c>
      <c r="BS73" s="47">
        <f>-IF($E73=BS$3,$G73,0)+IF($H73=BS$3,$J73,0)</f>
        <v/>
      </c>
      <c r="BT73" s="47">
        <f>-IF($E73=BT$3,$G73,0)+IF($H73=BT$3,$J73,0)</f>
        <v/>
      </c>
      <c r="BU73" s="46">
        <f>+G73-J73</f>
        <v/>
      </c>
      <c r="BV73" s="48">
        <f>-IF($E73=BV$3,$G73,0)+IF($H73=BV$3,$J73,0)</f>
        <v/>
      </c>
      <c r="BW73" s="3" t="n"/>
    </row>
    <row r="74" ht="15.75" customHeight="1" s="214">
      <c r="A74" s="7" t="n"/>
      <c r="B74" s="8" t="n">
        <v>3</v>
      </c>
      <c r="C74" s="9" t="n">
        <v>2</v>
      </c>
      <c r="D74" s="10" t="inlineStr">
        <is>
          <t>トラスコ中山(TRUSCO) オリコン 薄型軽量折りたたみコンテナ 透明 50L 超軽量</t>
        </is>
      </c>
      <c r="E74" s="247" t="n">
        <v>514</v>
      </c>
      <c r="F74" s="11">
        <f>IF(E74="","",IF(ISNA(VLOOKUP(E74,科目コード表!$C$4:$D$67,2,FALSE)),"該当科目なし",VLOOKUP(E74,科目コード表!$C$4:$D$67,2,FALSE)))</f>
        <v/>
      </c>
      <c r="G74" s="38" t="n">
        <v>960</v>
      </c>
      <c r="H74" s="248" t="n"/>
      <c r="I74" s="11">
        <f>IF(H74="","",IF(ISNA(VLOOKUP(H74,科目コード表!$C$4:$D$67,2,FALSE)),"該当科目なし",VLOOKUP(H74,科目コード表!$C$4:$D$67,2,FALSE)))</f>
        <v/>
      </c>
      <c r="J74" s="40" t="n"/>
      <c r="L74" s="46">
        <f>IF($E74=L$3,$G74,0)-IF($H74=L$3,$J74,0)</f>
        <v/>
      </c>
      <c r="M74" s="47">
        <f>IF($E74=M$3,$G74,0)-IF($H74=M$3,$J74,0)</f>
        <v/>
      </c>
      <c r="N74" s="47">
        <f>IF($E74=N$3,$G74,0)-IF($H74=N$3,$J74,0)</f>
        <v/>
      </c>
      <c r="O74" s="47">
        <f>IF($E74=O$3,$G74,0)-IF($H74=O$3,$J74,0)</f>
        <v/>
      </c>
      <c r="P74" s="47">
        <f>IF($E74=P$3,$G74,0)-IF($H74=P$3,$J74,0)</f>
        <v/>
      </c>
      <c r="Q74" s="47">
        <f>IF($E74=Q$3,$G74,0)-IF($H74=Q$3,$J74,0)</f>
        <v/>
      </c>
      <c r="R74" s="47">
        <f>IF($E74=R$3,$G74,0)-IF($H74=R$3,$J74,0)</f>
        <v/>
      </c>
      <c r="S74" s="47">
        <f>IF($E74=S$3,$G74,0)-IF($H74=S$3,$J74,0)</f>
        <v/>
      </c>
      <c r="T74" s="47">
        <f>IF($E74=T$3,$G74,0)-IF($H74=T$3,$J74,0)</f>
        <v/>
      </c>
      <c r="U74" s="47">
        <f>IF($E74=U$3,$G74,0)-IF($H74=U$3,$J74,0)</f>
        <v/>
      </c>
      <c r="V74" s="47">
        <f>IF($E74=V$3,$G74,0)-IF($H74=V$3,$J74,0)</f>
        <v/>
      </c>
      <c r="W74" s="47">
        <f>IF($E74=W$3,$G74,0)-IF($H74=W$3,$J74,0)</f>
        <v/>
      </c>
      <c r="X74" s="47">
        <f>IF($E74=X$3,$G74,0)-IF($H74=X$3,$J74,0)</f>
        <v/>
      </c>
      <c r="Y74" s="47">
        <f>IF($E74=Y$3,$G74,0)-IF($H74=Y$3,$J74,0)</f>
        <v/>
      </c>
      <c r="Z74" s="47">
        <f>IF($E74=Z$3,$G74,0)-IF($H74=Z$3,$J74,0)</f>
        <v/>
      </c>
      <c r="AA74" s="47">
        <f>IF($E74=AA$3,$G74,0)-IF($H74=AA$3,$J74,0)</f>
        <v/>
      </c>
      <c r="AB74" s="47">
        <f>IF($E74=AB$3,$G74,0)-IF($H74=AB$3,$J74,0)</f>
        <v/>
      </c>
      <c r="AC74" s="47">
        <f>IF($E74=AC$3,$G74,0)-IF($H74=AC$3,$J74,0)</f>
        <v/>
      </c>
      <c r="AD74" s="47">
        <f>IF($E74=AD$3,$G74,0)-IF($H74=AD$3,$J74,0)</f>
        <v/>
      </c>
      <c r="AE74" s="47">
        <f>IF($E74=AE$3,$G74,0)-IF($H74=AE$3,$J74,0)</f>
        <v/>
      </c>
      <c r="AF74" s="47">
        <f>IF($E74=AF$3,$G74,0)-IF($H74=AF$3,$J74,0)</f>
        <v/>
      </c>
      <c r="AG74" s="47">
        <f>IF($E74=AG$3,$G74,0)-IF($H74=AG$3,$J74,0)</f>
        <v/>
      </c>
      <c r="AH74" s="47">
        <f>IF($E74=AH$3,$G74,0)-IF($H74=AH$3,$J74,0)</f>
        <v/>
      </c>
      <c r="AI74" s="47">
        <f>IF($E74=AI$3,$G74,0)-IF($H74=AI$3,$J74,0)</f>
        <v/>
      </c>
      <c r="AJ74" s="47">
        <f>IF($E74=AJ$3,$G74,0)-IF($H74=AJ$3,$J74,0)</f>
        <v/>
      </c>
      <c r="AK74" s="47">
        <f>IF($E74=AK$3,$G74,0)-IF($H74=AK$3,$J74,0)</f>
        <v/>
      </c>
      <c r="AL74" s="48">
        <f>IF($E74=AL$3,$G74,0)-IF($H74=AL$3,$J74,0)</f>
        <v/>
      </c>
      <c r="AM74" s="46">
        <f>-IF($E74=AM$3,$G74,0)+IF($H74=AM$3,$J74,0)</f>
        <v/>
      </c>
      <c r="AN74" s="47">
        <f>-IF($E74=AN$3,$G74,0)+IF($H74=AN$3,$J74,0)</f>
        <v/>
      </c>
      <c r="AO74" s="48">
        <f>-IF($E74=AO$3,$G74,0)+IF($H74=AO$3,$J74,0)</f>
        <v/>
      </c>
      <c r="AP74" s="46">
        <f>IF($E74=AP$3,$G74,0)-IF($H74=AP$3,$J74,0)</f>
        <v/>
      </c>
      <c r="AQ74" s="47">
        <f>IF($E74=AQ$3,$G74,0)-IF($H74=AQ$3,$J74,0)</f>
        <v/>
      </c>
      <c r="AR74" s="47">
        <f>IF($E74=AR$3,$G74,0)-IF($H74=AR$3,$J74,0)</f>
        <v/>
      </c>
      <c r="AS74" s="47">
        <f>IF($E74=AS$3,$G74,0)-IF($H74=AS$3,$J74,0)</f>
        <v/>
      </c>
      <c r="AT74" s="47">
        <f>IF($E74=AT$3,$G74,0)-IF($H74=AT$3,$J74,0)</f>
        <v/>
      </c>
      <c r="AU74" s="47">
        <f>IF($E74=AU$3,$G74,0)-IF($H74=AU$3,$J74,0)</f>
        <v/>
      </c>
      <c r="AV74" s="47">
        <f>IF($E74=AV$3,$G74,0)-IF($H74=AV$3,$J74,0)</f>
        <v/>
      </c>
      <c r="AW74" s="47">
        <f>IF($E74=AW$3,$G74,0)-IF($H74=AW$3,$J74,0)</f>
        <v/>
      </c>
      <c r="AX74" s="47">
        <f>IF($E74=AX$3,$G74,0)-IF($H74=AX$3,$J74,0)</f>
        <v/>
      </c>
      <c r="AY74" s="47">
        <f>IF($E74=AY$3,$G74,0)-IF($H74=AY$3,$J74,0)</f>
        <v/>
      </c>
      <c r="AZ74" s="47">
        <f>IF($E74=AZ$3,$G74,0)-IF($H74=AZ$3,$J74,0)</f>
        <v/>
      </c>
      <c r="BA74" s="47">
        <f>IF($E74=BA$3,$G74,0)-IF($H74=BA$3,$J74,0)</f>
        <v/>
      </c>
      <c r="BB74" s="47">
        <f>IF($E74=BB$3,$G74,0)-IF($H74=BB$3,$J74,0)</f>
        <v/>
      </c>
      <c r="BC74" s="47">
        <f>IF($E74=BC$3,$G74,0)-IF($H74=BC$3,$J74,0)</f>
        <v/>
      </c>
      <c r="BD74" s="47">
        <f>IF($E74=BD$3,$G74,0)-IF($H74=BD$3,$J74,0)</f>
        <v/>
      </c>
      <c r="BE74" s="47">
        <f>IF($E74=BE$3,$G74,0)-IF($H74=BE$3,$J74,0)</f>
        <v/>
      </c>
      <c r="BF74" s="47">
        <f>IF($E74=BF$3,$G74,0)-IF($H74=BF$3,$J74,0)</f>
        <v/>
      </c>
      <c r="BG74" s="47">
        <f>IF($E74=BG$3,$G74,0)-IF($H74=BG$3,$J74,0)</f>
        <v/>
      </c>
      <c r="BH74" s="47">
        <f>IF($E74=BH$3,$G74,0)-IF($H74=BH$3,$J74,0)</f>
        <v/>
      </c>
      <c r="BI74" s="47">
        <f>IF($E74=BI$3,$G74,0)-IF($H74=BI$3,$J74,0)</f>
        <v/>
      </c>
      <c r="BJ74" s="47">
        <f>IF($E74=BJ$3,$G74,0)-IF($H74=BJ$3,$J74,0)</f>
        <v/>
      </c>
      <c r="BK74" s="47">
        <f>IF($E74=BK$3,$G74,0)-IF($H74=BK$3,$J74,0)</f>
        <v/>
      </c>
      <c r="BL74" s="46">
        <f>-IF($E74=BL$3,$G74,0)+IF($H74=BL$3,$J74,0)</f>
        <v/>
      </c>
      <c r="BM74" s="47">
        <f>-IF($E74=BM$3,$G74,0)+IF($H74=BM$3,$J74,0)</f>
        <v/>
      </c>
      <c r="BN74" s="47">
        <f>-IF($E74=BN$3,$G74,0)+IF($H74=BN$3,$J74,0)</f>
        <v/>
      </c>
      <c r="BO74" s="47">
        <f>-IF($E74=BO$3,$G74,0)+IF($H74=BO$3,$J74,0)</f>
        <v/>
      </c>
      <c r="BP74" s="47">
        <f>-IF($E74=BP$3,$G74,0)+IF($H74=BP$3,$J74,0)</f>
        <v/>
      </c>
      <c r="BQ74" s="47">
        <f>-IF($E74=BQ$3,$G74,0)+IF($H74=BQ$3,$J74,0)</f>
        <v/>
      </c>
      <c r="BR74" s="47">
        <f>-IF($E74=BR$3,$G74,0)+IF($H74=BR$3,$J74,0)</f>
        <v/>
      </c>
      <c r="BS74" s="47">
        <f>-IF($E74=BS$3,$G74,0)+IF($H74=BS$3,$J74,0)</f>
        <v/>
      </c>
      <c r="BT74" s="47">
        <f>-IF($E74=BT$3,$G74,0)+IF($H74=BT$3,$J74,0)</f>
        <v/>
      </c>
      <c r="BU74" s="46">
        <f>+G74-J74</f>
        <v/>
      </c>
      <c r="BV74" s="48">
        <f>-IF($E74=BV$3,$G74,0)+IF($H74=BV$3,$J74,0)</f>
        <v/>
      </c>
      <c r="BW74" s="3" t="n"/>
    </row>
    <row r="75" ht="15.75" customHeight="1" s="214">
      <c r="A75" s="7" t="n"/>
      <c r="B75" s="8" t="n">
        <v>3</v>
      </c>
      <c r="C75" s="9" t="n">
        <v>5</v>
      </c>
      <c r="D75" s="10" t="inlineStr">
        <is>
          <t>2月分 電気料金</t>
        </is>
      </c>
      <c r="E75" s="247" t="n">
        <v>507</v>
      </c>
      <c r="F75" s="11">
        <f>IF(E75="","",IF(ISNA(VLOOKUP(E75,科目コード表!$C$4:$D$67,2,FALSE)),"該当科目なし",VLOOKUP(E75,科目コード表!$C$4:$D$67,2,FALSE)))</f>
        <v/>
      </c>
      <c r="G75" s="38" t="n">
        <v>10343</v>
      </c>
      <c r="H75" s="248" t="n"/>
      <c r="I75" s="11">
        <f>IF(H75="","",IF(ISNA(VLOOKUP(H75,科目コード表!$C$4:$D$67,2,FALSE)),"該当科目なし",VLOOKUP(H75,科目コード表!$C$4:$D$67,2,FALSE)))</f>
        <v/>
      </c>
      <c r="J75" s="40" t="n"/>
      <c r="L75" s="46">
        <f>IF($E75=L$3,$G75,0)-IF($H75=L$3,$J75,0)</f>
        <v/>
      </c>
      <c r="M75" s="47">
        <f>IF($E75=M$3,$G75,0)-IF($H75=M$3,$J75,0)</f>
        <v/>
      </c>
      <c r="N75" s="47">
        <f>IF($E75=N$3,$G75,0)-IF($H75=N$3,$J75,0)</f>
        <v/>
      </c>
      <c r="O75" s="47">
        <f>IF($E75=O$3,$G75,0)-IF($H75=O$3,$J75,0)</f>
        <v/>
      </c>
      <c r="P75" s="47">
        <f>IF($E75=P$3,$G75,0)-IF($H75=P$3,$J75,0)</f>
        <v/>
      </c>
      <c r="Q75" s="47">
        <f>IF($E75=Q$3,$G75,0)-IF($H75=Q$3,$J75,0)</f>
        <v/>
      </c>
      <c r="R75" s="47">
        <f>IF($E75=R$3,$G75,0)-IF($H75=R$3,$J75,0)</f>
        <v/>
      </c>
      <c r="S75" s="47">
        <f>IF($E75=S$3,$G75,0)-IF($H75=S$3,$J75,0)</f>
        <v/>
      </c>
      <c r="T75" s="47">
        <f>IF($E75=T$3,$G75,0)-IF($H75=T$3,$J75,0)</f>
        <v/>
      </c>
      <c r="U75" s="47">
        <f>IF($E75=U$3,$G75,0)-IF($H75=U$3,$J75,0)</f>
        <v/>
      </c>
      <c r="V75" s="47">
        <f>IF($E75=V$3,$G75,0)-IF($H75=V$3,$J75,0)</f>
        <v/>
      </c>
      <c r="W75" s="47">
        <f>IF($E75=W$3,$G75,0)-IF($H75=W$3,$J75,0)</f>
        <v/>
      </c>
      <c r="X75" s="47">
        <f>IF($E75=X$3,$G75,0)-IF($H75=X$3,$J75,0)</f>
        <v/>
      </c>
      <c r="Y75" s="47">
        <f>IF($E75=Y$3,$G75,0)-IF($H75=Y$3,$J75,0)</f>
        <v/>
      </c>
      <c r="Z75" s="47">
        <f>IF($E75=Z$3,$G75,0)-IF($H75=Z$3,$J75,0)</f>
        <v/>
      </c>
      <c r="AA75" s="47">
        <f>IF($E75=AA$3,$G75,0)-IF($H75=AA$3,$J75,0)</f>
        <v/>
      </c>
      <c r="AB75" s="47">
        <f>IF($E75=AB$3,$G75,0)-IF($H75=AB$3,$J75,0)</f>
        <v/>
      </c>
      <c r="AC75" s="47">
        <f>IF($E75=AC$3,$G75,0)-IF($H75=AC$3,$J75,0)</f>
        <v/>
      </c>
      <c r="AD75" s="47">
        <f>IF($E75=AD$3,$G75,0)-IF($H75=AD$3,$J75,0)</f>
        <v/>
      </c>
      <c r="AE75" s="47">
        <f>IF($E75=AE$3,$G75,0)-IF($H75=AE$3,$J75,0)</f>
        <v/>
      </c>
      <c r="AF75" s="47">
        <f>IF($E75=AF$3,$G75,0)-IF($H75=AF$3,$J75,0)</f>
        <v/>
      </c>
      <c r="AG75" s="47">
        <f>IF($E75=AG$3,$G75,0)-IF($H75=AG$3,$J75,0)</f>
        <v/>
      </c>
      <c r="AH75" s="47">
        <f>IF($E75=AH$3,$G75,0)-IF($H75=AH$3,$J75,0)</f>
        <v/>
      </c>
      <c r="AI75" s="47">
        <f>IF($E75=AI$3,$G75,0)-IF($H75=AI$3,$J75,0)</f>
        <v/>
      </c>
      <c r="AJ75" s="47">
        <f>IF($E75=AJ$3,$G75,0)-IF($H75=AJ$3,$J75,0)</f>
        <v/>
      </c>
      <c r="AK75" s="47">
        <f>IF($E75=AK$3,$G75,0)-IF($H75=AK$3,$J75,0)</f>
        <v/>
      </c>
      <c r="AL75" s="48">
        <f>IF($E75=AL$3,$G75,0)-IF($H75=AL$3,$J75,0)</f>
        <v/>
      </c>
      <c r="AM75" s="46">
        <f>-IF($E75=AM$3,$G75,0)+IF($H75=AM$3,$J75,0)</f>
        <v/>
      </c>
      <c r="AN75" s="47">
        <f>-IF($E75=AN$3,$G75,0)+IF($H75=AN$3,$J75,0)</f>
        <v/>
      </c>
      <c r="AO75" s="48">
        <f>-IF($E75=AO$3,$G75,0)+IF($H75=AO$3,$J75,0)</f>
        <v/>
      </c>
      <c r="AP75" s="46">
        <f>IF($E75=AP$3,$G75,0)-IF($H75=AP$3,$J75,0)</f>
        <v/>
      </c>
      <c r="AQ75" s="47">
        <f>IF($E75=AQ$3,$G75,0)-IF($H75=AQ$3,$J75,0)</f>
        <v/>
      </c>
      <c r="AR75" s="47">
        <f>IF($E75=AR$3,$G75,0)-IF($H75=AR$3,$J75,0)</f>
        <v/>
      </c>
      <c r="AS75" s="47">
        <f>IF($E75=AS$3,$G75,0)-IF($H75=AS$3,$J75,0)</f>
        <v/>
      </c>
      <c r="AT75" s="47">
        <f>IF($E75=AT$3,$G75,0)-IF($H75=AT$3,$J75,0)</f>
        <v/>
      </c>
      <c r="AU75" s="47">
        <f>IF($E75=AU$3,$G75,0)-IF($H75=AU$3,$J75,0)</f>
        <v/>
      </c>
      <c r="AV75" s="47">
        <f>IF($E75=AV$3,$G75,0)-IF($H75=AV$3,$J75,0)</f>
        <v/>
      </c>
      <c r="AW75" s="47">
        <f>IF($E75=AW$3,$G75,0)-IF($H75=AW$3,$J75,0)</f>
        <v/>
      </c>
      <c r="AX75" s="47">
        <f>IF($E75=AX$3,$G75,0)-IF($H75=AX$3,$J75,0)</f>
        <v/>
      </c>
      <c r="AY75" s="47">
        <f>IF($E75=AY$3,$G75,0)-IF($H75=AY$3,$J75,0)</f>
        <v/>
      </c>
      <c r="AZ75" s="47">
        <f>IF($E75=AZ$3,$G75,0)-IF($H75=AZ$3,$J75,0)</f>
        <v/>
      </c>
      <c r="BA75" s="47">
        <f>IF($E75=BA$3,$G75,0)-IF($H75=BA$3,$J75,0)</f>
        <v/>
      </c>
      <c r="BB75" s="47">
        <f>IF($E75=BB$3,$G75,0)-IF($H75=BB$3,$J75,0)</f>
        <v/>
      </c>
      <c r="BC75" s="47">
        <f>IF($E75=BC$3,$G75,0)-IF($H75=BC$3,$J75,0)</f>
        <v/>
      </c>
      <c r="BD75" s="47">
        <f>IF($E75=BD$3,$G75,0)-IF($H75=BD$3,$J75,0)</f>
        <v/>
      </c>
      <c r="BE75" s="47">
        <f>IF($E75=BE$3,$G75,0)-IF($H75=BE$3,$J75,0)</f>
        <v/>
      </c>
      <c r="BF75" s="47">
        <f>IF($E75=BF$3,$G75,0)-IF($H75=BF$3,$J75,0)</f>
        <v/>
      </c>
      <c r="BG75" s="47">
        <f>IF($E75=BG$3,$G75,0)-IF($H75=BG$3,$J75,0)</f>
        <v/>
      </c>
      <c r="BH75" s="47">
        <f>IF($E75=BH$3,$G75,0)-IF($H75=BH$3,$J75,0)</f>
        <v/>
      </c>
      <c r="BI75" s="47">
        <f>IF($E75=BI$3,$G75,0)-IF($H75=BI$3,$J75,0)</f>
        <v/>
      </c>
      <c r="BJ75" s="47">
        <f>IF($E75=BJ$3,$G75,0)-IF($H75=BJ$3,$J75,0)</f>
        <v/>
      </c>
      <c r="BK75" s="47">
        <f>IF($E75=BK$3,$G75,0)-IF($H75=BK$3,$J75,0)</f>
        <v/>
      </c>
      <c r="BL75" s="46">
        <f>-IF($E75=BL$3,$G75,0)+IF($H75=BL$3,$J75,0)</f>
        <v/>
      </c>
      <c r="BM75" s="47">
        <f>-IF($E75=BM$3,$G75,0)+IF($H75=BM$3,$J75,0)</f>
        <v/>
      </c>
      <c r="BN75" s="47">
        <f>-IF($E75=BN$3,$G75,0)+IF($H75=BN$3,$J75,0)</f>
        <v/>
      </c>
      <c r="BO75" s="47">
        <f>-IF($E75=BO$3,$G75,0)+IF($H75=BO$3,$J75,0)</f>
        <v/>
      </c>
      <c r="BP75" s="47">
        <f>-IF($E75=BP$3,$G75,0)+IF($H75=BP$3,$J75,0)</f>
        <v/>
      </c>
      <c r="BQ75" s="47">
        <f>-IF($E75=BQ$3,$G75,0)+IF($H75=BQ$3,$J75,0)</f>
        <v/>
      </c>
      <c r="BR75" s="47">
        <f>-IF($E75=BR$3,$G75,0)+IF($H75=BR$3,$J75,0)</f>
        <v/>
      </c>
      <c r="BS75" s="47">
        <f>-IF($E75=BS$3,$G75,0)+IF($H75=BS$3,$J75,0)</f>
        <v/>
      </c>
      <c r="BT75" s="47">
        <f>-IF($E75=BT$3,$G75,0)+IF($H75=BT$3,$J75,0)</f>
        <v/>
      </c>
      <c r="BU75" s="46">
        <f>+G75-J75</f>
        <v/>
      </c>
      <c r="BV75" s="48">
        <f>-IF($E75=BV$3,$G75,0)+IF($H75=BV$3,$J75,0)</f>
        <v/>
      </c>
      <c r="BW75" s="3" t="n"/>
    </row>
    <row r="76" ht="15.75" customHeight="1" s="214">
      <c r="A76" s="7" t="n"/>
      <c r="B76" s="8" t="n">
        <v>3</v>
      </c>
      <c r="C76" s="9" t="n">
        <v>6</v>
      </c>
      <c r="D76" s="10" t="inlineStr">
        <is>
          <t>やよいの青色申告 26 通常版＜令和7年分確定申告対応＞</t>
        </is>
      </c>
      <c r="E76" s="247" t="n">
        <v>514</v>
      </c>
      <c r="F76" s="11">
        <f>IF(E76="","",IF(ISNA(VLOOKUP(E76,科目コード表!$C$4:$D$67,2,FALSE)),"該当科目なし",VLOOKUP(E76,科目コード表!$C$4:$D$67,2,FALSE)))</f>
        <v/>
      </c>
      <c r="G76" s="38" t="n">
        <v>13409</v>
      </c>
      <c r="H76" s="248" t="n"/>
      <c r="I76" s="11">
        <f>IF(H76="","",IF(ISNA(VLOOKUP(H76,科目コード表!$C$4:$D$67,2,FALSE)),"該当科目なし",VLOOKUP(H76,科目コード表!$C$4:$D$67,2,FALSE)))</f>
        <v/>
      </c>
      <c r="J76" s="40" t="n"/>
      <c r="L76" s="46">
        <f>IF($E76=L$3,$G76,0)-IF($H76=L$3,$J76,0)</f>
        <v/>
      </c>
      <c r="M76" s="47">
        <f>IF($E76=M$3,$G76,0)-IF($H76=M$3,$J76,0)</f>
        <v/>
      </c>
      <c r="N76" s="47">
        <f>IF($E76=N$3,$G76,0)-IF($H76=N$3,$J76,0)</f>
        <v/>
      </c>
      <c r="O76" s="47">
        <f>IF($E76=O$3,$G76,0)-IF($H76=O$3,$J76,0)</f>
        <v/>
      </c>
      <c r="P76" s="47">
        <f>IF($E76=P$3,$G76,0)-IF($H76=P$3,$J76,0)</f>
        <v/>
      </c>
      <c r="Q76" s="47">
        <f>IF($E76=Q$3,$G76,0)-IF($H76=Q$3,$J76,0)</f>
        <v/>
      </c>
      <c r="R76" s="47">
        <f>IF($E76=R$3,$G76,0)-IF($H76=R$3,$J76,0)</f>
        <v/>
      </c>
      <c r="S76" s="47">
        <f>IF($E76=S$3,$G76,0)-IF($H76=S$3,$J76,0)</f>
        <v/>
      </c>
      <c r="T76" s="47">
        <f>IF($E76=T$3,$G76,0)-IF($H76=T$3,$J76,0)</f>
        <v/>
      </c>
      <c r="U76" s="47">
        <f>IF($E76=U$3,$G76,0)-IF($H76=U$3,$J76,0)</f>
        <v/>
      </c>
      <c r="V76" s="47">
        <f>IF($E76=V$3,$G76,0)-IF($H76=V$3,$J76,0)</f>
        <v/>
      </c>
      <c r="W76" s="47">
        <f>IF($E76=W$3,$G76,0)-IF($H76=W$3,$J76,0)</f>
        <v/>
      </c>
      <c r="X76" s="47">
        <f>IF($E76=X$3,$G76,0)-IF($H76=X$3,$J76,0)</f>
        <v/>
      </c>
      <c r="Y76" s="47">
        <f>IF($E76=Y$3,$G76,0)-IF($H76=Y$3,$J76,0)</f>
        <v/>
      </c>
      <c r="Z76" s="47">
        <f>IF($E76=Z$3,$G76,0)-IF($H76=Z$3,$J76,0)</f>
        <v/>
      </c>
      <c r="AA76" s="47">
        <f>IF($E76=AA$3,$G76,0)-IF($H76=AA$3,$J76,0)</f>
        <v/>
      </c>
      <c r="AB76" s="47">
        <f>IF($E76=AB$3,$G76,0)-IF($H76=AB$3,$J76,0)</f>
        <v/>
      </c>
      <c r="AC76" s="47">
        <f>IF($E76=AC$3,$G76,0)-IF($H76=AC$3,$J76,0)</f>
        <v/>
      </c>
      <c r="AD76" s="47">
        <f>IF($E76=AD$3,$G76,0)-IF($H76=AD$3,$J76,0)</f>
        <v/>
      </c>
      <c r="AE76" s="47">
        <f>IF($E76=AE$3,$G76,0)-IF($H76=AE$3,$J76,0)</f>
        <v/>
      </c>
      <c r="AF76" s="47">
        <f>IF($E76=AF$3,$G76,0)-IF($H76=AF$3,$J76,0)</f>
        <v/>
      </c>
      <c r="AG76" s="47">
        <f>IF($E76=AG$3,$G76,0)-IF($H76=AG$3,$J76,0)</f>
        <v/>
      </c>
      <c r="AH76" s="47">
        <f>IF($E76=AH$3,$G76,0)-IF($H76=AH$3,$J76,0)</f>
        <v/>
      </c>
      <c r="AI76" s="47">
        <f>IF($E76=AI$3,$G76,0)-IF($H76=AI$3,$J76,0)</f>
        <v/>
      </c>
      <c r="AJ76" s="47">
        <f>IF($E76=AJ$3,$G76,0)-IF($H76=AJ$3,$J76,0)</f>
        <v/>
      </c>
      <c r="AK76" s="47">
        <f>IF($E76=AK$3,$G76,0)-IF($H76=AK$3,$J76,0)</f>
        <v/>
      </c>
      <c r="AL76" s="48">
        <f>IF($E76=AL$3,$G76,0)-IF($H76=AL$3,$J76,0)</f>
        <v/>
      </c>
      <c r="AM76" s="46">
        <f>-IF($E76=AM$3,$G76,0)+IF($H76=AM$3,$J76,0)</f>
        <v/>
      </c>
      <c r="AN76" s="47">
        <f>-IF($E76=AN$3,$G76,0)+IF($H76=AN$3,$J76,0)</f>
        <v/>
      </c>
      <c r="AO76" s="48">
        <f>-IF($E76=AO$3,$G76,0)+IF($H76=AO$3,$J76,0)</f>
        <v/>
      </c>
      <c r="AP76" s="46">
        <f>IF($E76=AP$3,$G76,0)-IF($H76=AP$3,$J76,0)</f>
        <v/>
      </c>
      <c r="AQ76" s="47">
        <f>IF($E76=AQ$3,$G76,0)-IF($H76=AQ$3,$J76,0)</f>
        <v/>
      </c>
      <c r="AR76" s="47">
        <f>IF($E76=AR$3,$G76,0)-IF($H76=AR$3,$J76,0)</f>
        <v/>
      </c>
      <c r="AS76" s="47">
        <f>IF($E76=AS$3,$G76,0)-IF($H76=AS$3,$J76,0)</f>
        <v/>
      </c>
      <c r="AT76" s="47">
        <f>IF($E76=AT$3,$G76,0)-IF($H76=AT$3,$J76,0)</f>
        <v/>
      </c>
      <c r="AU76" s="47">
        <f>IF($E76=AU$3,$G76,0)-IF($H76=AU$3,$J76,0)</f>
        <v/>
      </c>
      <c r="AV76" s="47">
        <f>IF($E76=AV$3,$G76,0)-IF($H76=AV$3,$J76,0)</f>
        <v/>
      </c>
      <c r="AW76" s="47">
        <f>IF($E76=AW$3,$G76,0)-IF($H76=AW$3,$J76,0)</f>
        <v/>
      </c>
      <c r="AX76" s="47">
        <f>IF($E76=AX$3,$G76,0)-IF($H76=AX$3,$J76,0)</f>
        <v/>
      </c>
      <c r="AY76" s="47">
        <f>IF($E76=AY$3,$G76,0)-IF($H76=AY$3,$J76,0)</f>
        <v/>
      </c>
      <c r="AZ76" s="47">
        <f>IF($E76=AZ$3,$G76,0)-IF($H76=AZ$3,$J76,0)</f>
        <v/>
      </c>
      <c r="BA76" s="47">
        <f>IF($E76=BA$3,$G76,0)-IF($H76=BA$3,$J76,0)</f>
        <v/>
      </c>
      <c r="BB76" s="47">
        <f>IF($E76=BB$3,$G76,0)-IF($H76=BB$3,$J76,0)</f>
        <v/>
      </c>
      <c r="BC76" s="47">
        <f>IF($E76=BC$3,$G76,0)-IF($H76=BC$3,$J76,0)</f>
        <v/>
      </c>
      <c r="BD76" s="47">
        <f>IF($E76=BD$3,$G76,0)-IF($H76=BD$3,$J76,0)</f>
        <v/>
      </c>
      <c r="BE76" s="47">
        <f>IF($E76=BE$3,$G76,0)-IF($H76=BE$3,$J76,0)</f>
        <v/>
      </c>
      <c r="BF76" s="47">
        <f>IF($E76=BF$3,$G76,0)-IF($H76=BF$3,$J76,0)</f>
        <v/>
      </c>
      <c r="BG76" s="47">
        <f>IF($E76=BG$3,$G76,0)-IF($H76=BG$3,$J76,0)</f>
        <v/>
      </c>
      <c r="BH76" s="47">
        <f>IF($E76=BH$3,$G76,0)-IF($H76=BH$3,$J76,0)</f>
        <v/>
      </c>
      <c r="BI76" s="47">
        <f>IF($E76=BI$3,$G76,0)-IF($H76=BI$3,$J76,0)</f>
        <v/>
      </c>
      <c r="BJ76" s="47">
        <f>IF($E76=BJ$3,$G76,0)-IF($H76=BJ$3,$J76,0)</f>
        <v/>
      </c>
      <c r="BK76" s="47">
        <f>IF($E76=BK$3,$G76,0)-IF($H76=BK$3,$J76,0)</f>
        <v/>
      </c>
      <c r="BL76" s="46">
        <f>-IF($E76=BL$3,$G76,0)+IF($H76=BL$3,$J76,0)</f>
        <v/>
      </c>
      <c r="BM76" s="47">
        <f>-IF($E76=BM$3,$G76,0)+IF($H76=BM$3,$J76,0)</f>
        <v/>
      </c>
      <c r="BN76" s="47">
        <f>-IF($E76=BN$3,$G76,0)+IF($H76=BN$3,$J76,0)</f>
        <v/>
      </c>
      <c r="BO76" s="47">
        <f>-IF($E76=BO$3,$G76,0)+IF($H76=BO$3,$J76,0)</f>
        <v/>
      </c>
      <c r="BP76" s="47">
        <f>-IF($E76=BP$3,$G76,0)+IF($H76=BP$3,$J76,0)</f>
        <v/>
      </c>
      <c r="BQ76" s="47">
        <f>-IF($E76=BQ$3,$G76,0)+IF($H76=BQ$3,$J76,0)</f>
        <v/>
      </c>
      <c r="BR76" s="47">
        <f>-IF($E76=BR$3,$G76,0)+IF($H76=BR$3,$J76,0)</f>
        <v/>
      </c>
      <c r="BS76" s="47">
        <f>-IF($E76=BS$3,$G76,0)+IF($H76=BS$3,$J76,0)</f>
        <v/>
      </c>
      <c r="BT76" s="47">
        <f>-IF($E76=BT$3,$G76,0)+IF($H76=BT$3,$J76,0)</f>
        <v/>
      </c>
      <c r="BU76" s="46">
        <f>+G76-J76</f>
        <v/>
      </c>
      <c r="BV76" s="48">
        <f>-IF($E76=BV$3,$G76,0)+IF($H76=BV$3,$J76,0)</f>
        <v/>
      </c>
      <c r="BW76" s="3" t="n"/>
    </row>
    <row r="77" ht="15.75" customHeight="1" s="214">
      <c r="A77" s="7" t="n"/>
      <c r="B77" s="8" t="n">
        <v>3</v>
      </c>
      <c r="C77" s="9" t="n">
        <v>6</v>
      </c>
      <c r="D77" s="10" t="inlineStr">
        <is>
          <t>Cartist 新型シエンタ 10系 に適用 MXP フロアマット 5人乗り用 3Dフロアマット カーマット セカンドマット SIENTA MXPL10G/15G MXPC10G 2022年8月～現行 防水マット 滑り防止 耐汚れ TPE素材 立体カーマット 車種専用設計 取付簡単 カスタムパーツ アクセサリー カー用品 4PCSセット</t>
        </is>
      </c>
      <c r="E77" s="247" t="n">
        <v>523</v>
      </c>
      <c r="F77" s="11">
        <f>IF(E77="","",IF(ISNA(VLOOKUP(E77,科目コード表!$C$4:$D$67,2,FALSE)),"該当科目なし",VLOOKUP(E77,科目コード表!$C$4:$D$67,2,FALSE)))</f>
        <v/>
      </c>
      <c r="G77" s="38" t="n">
        <v>8060</v>
      </c>
      <c r="H77" s="248" t="n"/>
      <c r="I77" s="11">
        <f>IF(H77="","",IF(ISNA(VLOOKUP(H77,科目コード表!$C$4:$D$67,2,FALSE)),"該当科目なし",VLOOKUP(H77,科目コード表!$C$4:$D$67,2,FALSE)))</f>
        <v/>
      </c>
      <c r="J77" s="40" t="n"/>
      <c r="L77" s="46">
        <f>IF($E77=L$3,$G77,0)-IF($H77=L$3,$J77,0)</f>
        <v/>
      </c>
      <c r="M77" s="47">
        <f>IF($E77=M$3,$G77,0)-IF($H77=M$3,$J77,0)</f>
        <v/>
      </c>
      <c r="N77" s="47">
        <f>IF($E77=N$3,$G77,0)-IF($H77=N$3,$J77,0)</f>
        <v/>
      </c>
      <c r="O77" s="47">
        <f>IF($E77=O$3,$G77,0)-IF($H77=O$3,$J77,0)</f>
        <v/>
      </c>
      <c r="P77" s="47">
        <f>IF($E77=P$3,$G77,0)-IF($H77=P$3,$J77,0)</f>
        <v/>
      </c>
      <c r="Q77" s="47">
        <f>IF($E77=Q$3,$G77,0)-IF($H77=Q$3,$J77,0)</f>
        <v/>
      </c>
      <c r="R77" s="47">
        <f>IF($E77=R$3,$G77,0)-IF($H77=R$3,$J77,0)</f>
        <v/>
      </c>
      <c r="S77" s="47">
        <f>IF($E77=S$3,$G77,0)-IF($H77=S$3,$J77,0)</f>
        <v/>
      </c>
      <c r="T77" s="47">
        <f>IF($E77=T$3,$G77,0)-IF($H77=T$3,$J77,0)</f>
        <v/>
      </c>
      <c r="U77" s="47">
        <f>IF($E77=U$3,$G77,0)-IF($H77=U$3,$J77,0)</f>
        <v/>
      </c>
      <c r="V77" s="47">
        <f>IF($E77=V$3,$G77,0)-IF($H77=V$3,$J77,0)</f>
        <v/>
      </c>
      <c r="W77" s="47">
        <f>IF($E77=W$3,$G77,0)-IF($H77=W$3,$J77,0)</f>
        <v/>
      </c>
      <c r="X77" s="47">
        <f>IF($E77=X$3,$G77,0)-IF($H77=X$3,$J77,0)</f>
        <v/>
      </c>
      <c r="Y77" s="47">
        <f>IF($E77=Y$3,$G77,0)-IF($H77=Y$3,$J77,0)</f>
        <v/>
      </c>
      <c r="Z77" s="47">
        <f>IF($E77=Z$3,$G77,0)-IF($H77=Z$3,$J77,0)</f>
        <v/>
      </c>
      <c r="AA77" s="47">
        <f>IF($E77=AA$3,$G77,0)-IF($H77=AA$3,$J77,0)</f>
        <v/>
      </c>
      <c r="AB77" s="47">
        <f>IF($E77=AB$3,$G77,0)-IF($H77=AB$3,$J77,0)</f>
        <v/>
      </c>
      <c r="AC77" s="47">
        <f>IF($E77=AC$3,$G77,0)-IF($H77=AC$3,$J77,0)</f>
        <v/>
      </c>
      <c r="AD77" s="47">
        <f>IF($E77=AD$3,$G77,0)-IF($H77=AD$3,$J77,0)</f>
        <v/>
      </c>
      <c r="AE77" s="47">
        <f>IF($E77=AE$3,$G77,0)-IF($H77=AE$3,$J77,0)</f>
        <v/>
      </c>
      <c r="AF77" s="47">
        <f>IF($E77=AF$3,$G77,0)-IF($H77=AF$3,$J77,0)</f>
        <v/>
      </c>
      <c r="AG77" s="47">
        <f>IF($E77=AG$3,$G77,0)-IF($H77=AG$3,$J77,0)</f>
        <v/>
      </c>
      <c r="AH77" s="47">
        <f>IF($E77=AH$3,$G77,0)-IF($H77=AH$3,$J77,0)</f>
        <v/>
      </c>
      <c r="AI77" s="47">
        <f>IF($E77=AI$3,$G77,0)-IF($H77=AI$3,$J77,0)</f>
        <v/>
      </c>
      <c r="AJ77" s="47">
        <f>IF($E77=AJ$3,$G77,0)-IF($H77=AJ$3,$J77,0)</f>
        <v/>
      </c>
      <c r="AK77" s="47">
        <f>IF($E77=AK$3,$G77,0)-IF($H77=AK$3,$J77,0)</f>
        <v/>
      </c>
      <c r="AL77" s="48">
        <f>IF($E77=AL$3,$G77,0)-IF($H77=AL$3,$J77,0)</f>
        <v/>
      </c>
      <c r="AM77" s="46">
        <f>-IF($E77=AM$3,$G77,0)+IF($H77=AM$3,$J77,0)</f>
        <v/>
      </c>
      <c r="AN77" s="47">
        <f>-IF($E77=AN$3,$G77,0)+IF($H77=AN$3,$J77,0)</f>
        <v/>
      </c>
      <c r="AO77" s="48">
        <f>-IF($E77=AO$3,$G77,0)+IF($H77=AO$3,$J77,0)</f>
        <v/>
      </c>
      <c r="AP77" s="46">
        <f>IF($E77=AP$3,$G77,0)-IF($H77=AP$3,$J77,0)</f>
        <v/>
      </c>
      <c r="AQ77" s="47">
        <f>IF($E77=AQ$3,$G77,0)-IF($H77=AQ$3,$J77,0)</f>
        <v/>
      </c>
      <c r="AR77" s="47">
        <f>IF($E77=AR$3,$G77,0)-IF($H77=AR$3,$J77,0)</f>
        <v/>
      </c>
      <c r="AS77" s="47">
        <f>IF($E77=AS$3,$G77,0)-IF($H77=AS$3,$J77,0)</f>
        <v/>
      </c>
      <c r="AT77" s="47">
        <f>IF($E77=AT$3,$G77,0)-IF($H77=AT$3,$J77,0)</f>
        <v/>
      </c>
      <c r="AU77" s="47">
        <f>IF($E77=AU$3,$G77,0)-IF($H77=AU$3,$J77,0)</f>
        <v/>
      </c>
      <c r="AV77" s="47">
        <f>IF($E77=AV$3,$G77,0)-IF($H77=AV$3,$J77,0)</f>
        <v/>
      </c>
      <c r="AW77" s="47">
        <f>IF($E77=AW$3,$G77,0)-IF($H77=AW$3,$J77,0)</f>
        <v/>
      </c>
      <c r="AX77" s="47">
        <f>IF($E77=AX$3,$G77,0)-IF($H77=AX$3,$J77,0)</f>
        <v/>
      </c>
      <c r="AY77" s="47">
        <f>IF($E77=AY$3,$G77,0)-IF($H77=AY$3,$J77,0)</f>
        <v/>
      </c>
      <c r="AZ77" s="47">
        <f>IF($E77=AZ$3,$G77,0)-IF($H77=AZ$3,$J77,0)</f>
        <v/>
      </c>
      <c r="BA77" s="47">
        <f>IF($E77=BA$3,$G77,0)-IF($H77=BA$3,$J77,0)</f>
        <v/>
      </c>
      <c r="BB77" s="47">
        <f>IF($E77=BB$3,$G77,0)-IF($H77=BB$3,$J77,0)</f>
        <v/>
      </c>
      <c r="BC77" s="47">
        <f>IF($E77=BC$3,$G77,0)-IF($H77=BC$3,$J77,0)</f>
        <v/>
      </c>
      <c r="BD77" s="47">
        <f>IF($E77=BD$3,$G77,0)-IF($H77=BD$3,$J77,0)</f>
        <v/>
      </c>
      <c r="BE77" s="47">
        <f>IF($E77=BE$3,$G77,0)-IF($H77=BE$3,$J77,0)</f>
        <v/>
      </c>
      <c r="BF77" s="47">
        <f>IF($E77=BF$3,$G77,0)-IF($H77=BF$3,$J77,0)</f>
        <v/>
      </c>
      <c r="BG77" s="47">
        <f>IF($E77=BG$3,$G77,0)-IF($H77=BG$3,$J77,0)</f>
        <v/>
      </c>
      <c r="BH77" s="47">
        <f>IF($E77=BH$3,$G77,0)-IF($H77=BH$3,$J77,0)</f>
        <v/>
      </c>
      <c r="BI77" s="47">
        <f>IF($E77=BI$3,$G77,0)-IF($H77=BI$3,$J77,0)</f>
        <v/>
      </c>
      <c r="BJ77" s="47">
        <f>IF($E77=BJ$3,$G77,0)-IF($H77=BJ$3,$J77,0)</f>
        <v/>
      </c>
      <c r="BK77" s="47">
        <f>IF($E77=BK$3,$G77,0)-IF($H77=BK$3,$J77,0)</f>
        <v/>
      </c>
      <c r="BL77" s="46">
        <f>-IF($E77=BL$3,$G77,0)+IF($H77=BL$3,$J77,0)</f>
        <v/>
      </c>
      <c r="BM77" s="47">
        <f>-IF($E77=BM$3,$G77,0)+IF($H77=BM$3,$J77,0)</f>
        <v/>
      </c>
      <c r="BN77" s="47">
        <f>-IF($E77=BN$3,$G77,0)+IF($H77=BN$3,$J77,0)</f>
        <v/>
      </c>
      <c r="BO77" s="47">
        <f>-IF($E77=BO$3,$G77,0)+IF($H77=BO$3,$J77,0)</f>
        <v/>
      </c>
      <c r="BP77" s="47">
        <f>-IF($E77=BP$3,$G77,0)+IF($H77=BP$3,$J77,0)</f>
        <v/>
      </c>
      <c r="BQ77" s="47">
        <f>-IF($E77=BQ$3,$G77,0)+IF($H77=BQ$3,$J77,0)</f>
        <v/>
      </c>
      <c r="BR77" s="47">
        <f>-IF($E77=BR$3,$G77,0)+IF($H77=BR$3,$J77,0)</f>
        <v/>
      </c>
      <c r="BS77" s="47">
        <f>-IF($E77=BS$3,$G77,0)+IF($H77=BS$3,$J77,0)</f>
        <v/>
      </c>
      <c r="BT77" s="47">
        <f>-IF($E77=BT$3,$G77,0)+IF($H77=BT$3,$J77,0)</f>
        <v/>
      </c>
      <c r="BU77" s="46">
        <f>+G77-J77</f>
        <v/>
      </c>
      <c r="BV77" s="48">
        <f>-IF($E77=BV$3,$G77,0)+IF($H77=BV$3,$J77,0)</f>
        <v/>
      </c>
      <c r="BW77" s="3" t="n"/>
    </row>
    <row r="78" ht="15.75" customHeight="1" s="214">
      <c r="A78" s="7" t="n"/>
      <c r="B78" s="8" t="n">
        <v>3</v>
      </c>
      <c r="C78" s="9" t="n">
        <v>8</v>
      </c>
      <c r="D78" s="10" t="inlineStr">
        <is>
          <t>ガソリン代</t>
        </is>
      </c>
      <c r="E78" s="247" t="n">
        <v>523</v>
      </c>
      <c r="F78" s="11">
        <f>IF(E78="","",IF(ISNA(VLOOKUP(E78,科目コード表!$C$4:$D$67,2,FALSE)),"該当科目なし",VLOOKUP(E78,科目コード表!$C$4:$D$67,2,FALSE)))</f>
        <v/>
      </c>
      <c r="G78" s="38" t="n">
        <v>2985</v>
      </c>
      <c r="H78" s="248" t="n"/>
      <c r="I78" s="11">
        <f>IF(H78="","",IF(ISNA(VLOOKUP(H78,科目コード表!$C$4:$D$67,2,FALSE)),"該当科目なし",VLOOKUP(H78,科目コード表!$C$4:$D$67,2,FALSE)))</f>
        <v/>
      </c>
      <c r="J78" s="40" t="n"/>
      <c r="L78" s="46">
        <f>IF($E78=L$3,$G78,0)-IF($H78=L$3,$J78,0)</f>
        <v/>
      </c>
      <c r="M78" s="47">
        <f>IF($E78=M$3,$G78,0)-IF($H78=M$3,$J78,0)</f>
        <v/>
      </c>
      <c r="N78" s="47">
        <f>IF($E78=N$3,$G78,0)-IF($H78=N$3,$J78,0)</f>
        <v/>
      </c>
      <c r="O78" s="47">
        <f>IF($E78=O$3,$G78,0)-IF($H78=O$3,$J78,0)</f>
        <v/>
      </c>
      <c r="P78" s="47">
        <f>IF($E78=P$3,$G78,0)-IF($H78=P$3,$J78,0)</f>
        <v/>
      </c>
      <c r="Q78" s="47">
        <f>IF($E78=Q$3,$G78,0)-IF($H78=Q$3,$J78,0)</f>
        <v/>
      </c>
      <c r="R78" s="47">
        <f>IF($E78=R$3,$G78,0)-IF($H78=R$3,$J78,0)</f>
        <v/>
      </c>
      <c r="S78" s="47">
        <f>IF($E78=S$3,$G78,0)-IF($H78=S$3,$J78,0)</f>
        <v/>
      </c>
      <c r="T78" s="47">
        <f>IF($E78=T$3,$G78,0)-IF($H78=T$3,$J78,0)</f>
        <v/>
      </c>
      <c r="U78" s="47">
        <f>IF($E78=U$3,$G78,0)-IF($H78=U$3,$J78,0)</f>
        <v/>
      </c>
      <c r="V78" s="47">
        <f>IF($E78=V$3,$G78,0)-IF($H78=V$3,$J78,0)</f>
        <v/>
      </c>
      <c r="W78" s="47">
        <f>IF($E78=W$3,$G78,0)-IF($H78=W$3,$J78,0)</f>
        <v/>
      </c>
      <c r="X78" s="47">
        <f>IF($E78=X$3,$G78,0)-IF($H78=X$3,$J78,0)</f>
        <v/>
      </c>
      <c r="Y78" s="47">
        <f>IF($E78=Y$3,$G78,0)-IF($H78=Y$3,$J78,0)</f>
        <v/>
      </c>
      <c r="Z78" s="47">
        <f>IF($E78=Z$3,$G78,0)-IF($H78=Z$3,$J78,0)</f>
        <v/>
      </c>
      <c r="AA78" s="47">
        <f>IF($E78=AA$3,$G78,0)-IF($H78=AA$3,$J78,0)</f>
        <v/>
      </c>
      <c r="AB78" s="47">
        <f>IF($E78=AB$3,$G78,0)-IF($H78=AB$3,$J78,0)</f>
        <v/>
      </c>
      <c r="AC78" s="47">
        <f>IF($E78=AC$3,$G78,0)-IF($H78=AC$3,$J78,0)</f>
        <v/>
      </c>
      <c r="AD78" s="47">
        <f>IF($E78=AD$3,$G78,0)-IF($H78=AD$3,$J78,0)</f>
        <v/>
      </c>
      <c r="AE78" s="47">
        <f>IF($E78=AE$3,$G78,0)-IF($H78=AE$3,$J78,0)</f>
        <v/>
      </c>
      <c r="AF78" s="47">
        <f>IF($E78=AF$3,$G78,0)-IF($H78=AF$3,$J78,0)</f>
        <v/>
      </c>
      <c r="AG78" s="47">
        <f>IF($E78=AG$3,$G78,0)-IF($H78=AG$3,$J78,0)</f>
        <v/>
      </c>
      <c r="AH78" s="47">
        <f>IF($E78=AH$3,$G78,0)-IF($H78=AH$3,$J78,0)</f>
        <v/>
      </c>
      <c r="AI78" s="47">
        <f>IF($E78=AI$3,$G78,0)-IF($H78=AI$3,$J78,0)</f>
        <v/>
      </c>
      <c r="AJ78" s="47">
        <f>IF($E78=AJ$3,$G78,0)-IF($H78=AJ$3,$J78,0)</f>
        <v/>
      </c>
      <c r="AK78" s="47">
        <f>IF($E78=AK$3,$G78,0)-IF($H78=AK$3,$J78,0)</f>
        <v/>
      </c>
      <c r="AL78" s="48">
        <f>IF($E78=AL$3,$G78,0)-IF($H78=AL$3,$J78,0)</f>
        <v/>
      </c>
      <c r="AM78" s="46">
        <f>-IF($E78=AM$3,$G78,0)+IF($H78=AM$3,$J78,0)</f>
        <v/>
      </c>
      <c r="AN78" s="47">
        <f>-IF($E78=AN$3,$G78,0)+IF($H78=AN$3,$J78,0)</f>
        <v/>
      </c>
      <c r="AO78" s="48">
        <f>-IF($E78=AO$3,$G78,0)+IF($H78=AO$3,$J78,0)</f>
        <v/>
      </c>
      <c r="AP78" s="46">
        <f>IF($E78=AP$3,$G78,0)-IF($H78=AP$3,$J78,0)</f>
        <v/>
      </c>
      <c r="AQ78" s="47">
        <f>IF($E78=AQ$3,$G78,0)-IF($H78=AQ$3,$J78,0)</f>
        <v/>
      </c>
      <c r="AR78" s="47">
        <f>IF($E78=AR$3,$G78,0)-IF($H78=AR$3,$J78,0)</f>
        <v/>
      </c>
      <c r="AS78" s="47">
        <f>IF($E78=AS$3,$G78,0)-IF($H78=AS$3,$J78,0)</f>
        <v/>
      </c>
      <c r="AT78" s="47">
        <f>IF($E78=AT$3,$G78,0)-IF($H78=AT$3,$J78,0)</f>
        <v/>
      </c>
      <c r="AU78" s="47">
        <f>IF($E78=AU$3,$G78,0)-IF($H78=AU$3,$J78,0)</f>
        <v/>
      </c>
      <c r="AV78" s="47">
        <f>IF($E78=AV$3,$G78,0)-IF($H78=AV$3,$J78,0)</f>
        <v/>
      </c>
      <c r="AW78" s="47">
        <f>IF($E78=AW$3,$G78,0)-IF($H78=AW$3,$J78,0)</f>
        <v/>
      </c>
      <c r="AX78" s="47">
        <f>IF($E78=AX$3,$G78,0)-IF($H78=AX$3,$J78,0)</f>
        <v/>
      </c>
      <c r="AY78" s="47">
        <f>IF($E78=AY$3,$G78,0)-IF($H78=AY$3,$J78,0)</f>
        <v/>
      </c>
      <c r="AZ78" s="47">
        <f>IF($E78=AZ$3,$G78,0)-IF($H78=AZ$3,$J78,0)</f>
        <v/>
      </c>
      <c r="BA78" s="47">
        <f>IF($E78=BA$3,$G78,0)-IF($H78=BA$3,$J78,0)</f>
        <v/>
      </c>
      <c r="BB78" s="47">
        <f>IF($E78=BB$3,$G78,0)-IF($H78=BB$3,$J78,0)</f>
        <v/>
      </c>
      <c r="BC78" s="47">
        <f>IF($E78=BC$3,$G78,0)-IF($H78=BC$3,$J78,0)</f>
        <v/>
      </c>
      <c r="BD78" s="47">
        <f>IF($E78=BD$3,$G78,0)-IF($H78=BD$3,$J78,0)</f>
        <v/>
      </c>
      <c r="BE78" s="47">
        <f>IF($E78=BE$3,$G78,0)-IF($H78=BE$3,$J78,0)</f>
        <v/>
      </c>
      <c r="BF78" s="47">
        <f>IF($E78=BF$3,$G78,0)-IF($H78=BF$3,$J78,0)</f>
        <v/>
      </c>
      <c r="BG78" s="47">
        <f>IF($E78=BG$3,$G78,0)-IF($H78=BG$3,$J78,0)</f>
        <v/>
      </c>
      <c r="BH78" s="47">
        <f>IF($E78=BH$3,$G78,0)-IF($H78=BH$3,$J78,0)</f>
        <v/>
      </c>
      <c r="BI78" s="47">
        <f>IF($E78=BI$3,$G78,0)-IF($H78=BI$3,$J78,0)</f>
        <v/>
      </c>
      <c r="BJ78" s="47">
        <f>IF($E78=BJ$3,$G78,0)-IF($H78=BJ$3,$J78,0)</f>
        <v/>
      </c>
      <c r="BK78" s="47">
        <f>IF($E78=BK$3,$G78,0)-IF($H78=BK$3,$J78,0)</f>
        <v/>
      </c>
      <c r="BL78" s="46">
        <f>-IF($E78=BL$3,$G78,0)+IF($H78=BL$3,$J78,0)</f>
        <v/>
      </c>
      <c r="BM78" s="47">
        <f>-IF($E78=BM$3,$G78,0)+IF($H78=BM$3,$J78,0)</f>
        <v/>
      </c>
      <c r="BN78" s="47">
        <f>-IF($E78=BN$3,$G78,0)+IF($H78=BN$3,$J78,0)</f>
        <v/>
      </c>
      <c r="BO78" s="47">
        <f>-IF($E78=BO$3,$G78,0)+IF($H78=BO$3,$J78,0)</f>
        <v/>
      </c>
      <c r="BP78" s="47">
        <f>-IF($E78=BP$3,$G78,0)+IF($H78=BP$3,$J78,0)</f>
        <v/>
      </c>
      <c r="BQ78" s="47">
        <f>-IF($E78=BQ$3,$G78,0)+IF($H78=BQ$3,$J78,0)</f>
        <v/>
      </c>
      <c r="BR78" s="47">
        <f>-IF($E78=BR$3,$G78,0)+IF($H78=BR$3,$J78,0)</f>
        <v/>
      </c>
      <c r="BS78" s="47">
        <f>-IF($E78=BS$3,$G78,0)+IF($H78=BS$3,$J78,0)</f>
        <v/>
      </c>
      <c r="BT78" s="47">
        <f>-IF($E78=BT$3,$G78,0)+IF($H78=BT$3,$J78,0)</f>
        <v/>
      </c>
      <c r="BU78" s="46">
        <f>+G78-J78</f>
        <v/>
      </c>
      <c r="BV78" s="48">
        <f>-IF($E78=BV$3,$G78,0)+IF($H78=BV$3,$J78,0)</f>
        <v/>
      </c>
      <c r="BW78" s="3" t="n"/>
    </row>
    <row r="79" ht="15.75" customHeight="1" s="214">
      <c r="A79" s="7" t="n"/>
      <c r="B79" s="8" t="n">
        <v>3</v>
      </c>
      <c r="C79" s="9" t="n">
        <v>8</v>
      </c>
      <c r="D79" s="10" t="inlineStr">
        <is>
          <t>洗車</t>
        </is>
      </c>
      <c r="E79" s="247" t="n">
        <v>523</v>
      </c>
      <c r="F79" s="11">
        <f>IF(E79="","",IF(ISNA(VLOOKUP(E79,科目コード表!$C$4:$D$67,2,FALSE)),"該当科目なし",VLOOKUP(E79,科目コード表!$C$4:$D$67,2,FALSE)))</f>
        <v/>
      </c>
      <c r="G79" s="38" t="n">
        <v>600</v>
      </c>
      <c r="H79" s="248" t="n"/>
      <c r="I79" s="11">
        <f>IF(H79="","",IF(ISNA(VLOOKUP(H79,科目コード表!$C$4:$D$67,2,FALSE)),"該当科目なし",VLOOKUP(H79,科目コード表!$C$4:$D$67,2,FALSE)))</f>
        <v/>
      </c>
      <c r="J79" s="40" t="n"/>
      <c r="L79" s="46">
        <f>IF($E79=L$3,$G79,0)-IF($H79=L$3,$J79,0)</f>
        <v/>
      </c>
      <c r="M79" s="47">
        <f>IF($E79=M$3,$G79,0)-IF($H79=M$3,$J79,0)</f>
        <v/>
      </c>
      <c r="N79" s="47">
        <f>IF($E79=N$3,$G79,0)-IF($H79=N$3,$J79,0)</f>
        <v/>
      </c>
      <c r="O79" s="47">
        <f>IF($E79=O$3,$G79,0)-IF($H79=O$3,$J79,0)</f>
        <v/>
      </c>
      <c r="P79" s="47">
        <f>IF($E79=P$3,$G79,0)-IF($H79=P$3,$J79,0)</f>
        <v/>
      </c>
      <c r="Q79" s="47">
        <f>IF($E79=Q$3,$G79,0)-IF($H79=Q$3,$J79,0)</f>
        <v/>
      </c>
      <c r="R79" s="47">
        <f>IF($E79=R$3,$G79,0)-IF($H79=R$3,$J79,0)</f>
        <v/>
      </c>
      <c r="S79" s="47">
        <f>IF($E79=S$3,$G79,0)-IF($H79=S$3,$J79,0)</f>
        <v/>
      </c>
      <c r="T79" s="47">
        <f>IF($E79=T$3,$G79,0)-IF($H79=T$3,$J79,0)</f>
        <v/>
      </c>
      <c r="U79" s="47">
        <f>IF($E79=U$3,$G79,0)-IF($H79=U$3,$J79,0)</f>
        <v/>
      </c>
      <c r="V79" s="47">
        <f>IF($E79=V$3,$G79,0)-IF($H79=V$3,$J79,0)</f>
        <v/>
      </c>
      <c r="W79" s="47">
        <f>IF($E79=W$3,$G79,0)-IF($H79=W$3,$J79,0)</f>
        <v/>
      </c>
      <c r="X79" s="47">
        <f>IF($E79=X$3,$G79,0)-IF($H79=X$3,$J79,0)</f>
        <v/>
      </c>
      <c r="Y79" s="47">
        <f>IF($E79=Y$3,$G79,0)-IF($H79=Y$3,$J79,0)</f>
        <v/>
      </c>
      <c r="Z79" s="47">
        <f>IF($E79=Z$3,$G79,0)-IF($H79=Z$3,$J79,0)</f>
        <v/>
      </c>
      <c r="AA79" s="47">
        <f>IF($E79=AA$3,$G79,0)-IF($H79=AA$3,$J79,0)</f>
        <v/>
      </c>
      <c r="AB79" s="47">
        <f>IF($E79=AB$3,$G79,0)-IF($H79=AB$3,$J79,0)</f>
        <v/>
      </c>
      <c r="AC79" s="47">
        <f>IF($E79=AC$3,$G79,0)-IF($H79=AC$3,$J79,0)</f>
        <v/>
      </c>
      <c r="AD79" s="47">
        <f>IF($E79=AD$3,$G79,0)-IF($H79=AD$3,$J79,0)</f>
        <v/>
      </c>
      <c r="AE79" s="47">
        <f>IF($E79=AE$3,$G79,0)-IF($H79=AE$3,$J79,0)</f>
        <v/>
      </c>
      <c r="AF79" s="47">
        <f>IF($E79=AF$3,$G79,0)-IF($H79=AF$3,$J79,0)</f>
        <v/>
      </c>
      <c r="AG79" s="47">
        <f>IF($E79=AG$3,$G79,0)-IF($H79=AG$3,$J79,0)</f>
        <v/>
      </c>
      <c r="AH79" s="47">
        <f>IF($E79=AH$3,$G79,0)-IF($H79=AH$3,$J79,0)</f>
        <v/>
      </c>
      <c r="AI79" s="47">
        <f>IF($E79=AI$3,$G79,0)-IF($H79=AI$3,$J79,0)</f>
        <v/>
      </c>
      <c r="AJ79" s="47">
        <f>IF($E79=AJ$3,$G79,0)-IF($H79=AJ$3,$J79,0)</f>
        <v/>
      </c>
      <c r="AK79" s="47">
        <f>IF($E79=AK$3,$G79,0)-IF($H79=AK$3,$J79,0)</f>
        <v/>
      </c>
      <c r="AL79" s="48">
        <f>IF($E79=AL$3,$G79,0)-IF($H79=AL$3,$J79,0)</f>
        <v/>
      </c>
      <c r="AM79" s="46">
        <f>-IF($E79=AM$3,$G79,0)+IF($H79=AM$3,$J79,0)</f>
        <v/>
      </c>
      <c r="AN79" s="47">
        <f>-IF($E79=AN$3,$G79,0)+IF($H79=AN$3,$J79,0)</f>
        <v/>
      </c>
      <c r="AO79" s="48">
        <f>-IF($E79=AO$3,$G79,0)+IF($H79=AO$3,$J79,0)</f>
        <v/>
      </c>
      <c r="AP79" s="46">
        <f>IF($E79=AP$3,$G79,0)-IF($H79=AP$3,$J79,0)</f>
        <v/>
      </c>
      <c r="AQ79" s="47">
        <f>IF($E79=AQ$3,$G79,0)-IF($H79=AQ$3,$J79,0)</f>
        <v/>
      </c>
      <c r="AR79" s="47">
        <f>IF($E79=AR$3,$G79,0)-IF($H79=AR$3,$J79,0)</f>
        <v/>
      </c>
      <c r="AS79" s="47">
        <f>IF($E79=AS$3,$G79,0)-IF($H79=AS$3,$J79,0)</f>
        <v/>
      </c>
      <c r="AT79" s="47">
        <f>IF($E79=AT$3,$G79,0)-IF($H79=AT$3,$J79,0)</f>
        <v/>
      </c>
      <c r="AU79" s="47">
        <f>IF($E79=AU$3,$G79,0)-IF($H79=AU$3,$J79,0)</f>
        <v/>
      </c>
      <c r="AV79" s="47">
        <f>IF($E79=AV$3,$G79,0)-IF($H79=AV$3,$J79,0)</f>
        <v/>
      </c>
      <c r="AW79" s="47">
        <f>IF($E79=AW$3,$G79,0)-IF($H79=AW$3,$J79,0)</f>
        <v/>
      </c>
      <c r="AX79" s="47">
        <f>IF($E79=AX$3,$G79,0)-IF($H79=AX$3,$J79,0)</f>
        <v/>
      </c>
      <c r="AY79" s="47">
        <f>IF($E79=AY$3,$G79,0)-IF($H79=AY$3,$J79,0)</f>
        <v/>
      </c>
      <c r="AZ79" s="47">
        <f>IF($E79=AZ$3,$G79,0)-IF($H79=AZ$3,$J79,0)</f>
        <v/>
      </c>
      <c r="BA79" s="47">
        <f>IF($E79=BA$3,$G79,0)-IF($H79=BA$3,$J79,0)</f>
        <v/>
      </c>
      <c r="BB79" s="47">
        <f>IF($E79=BB$3,$G79,0)-IF($H79=BB$3,$J79,0)</f>
        <v/>
      </c>
      <c r="BC79" s="47">
        <f>IF($E79=BC$3,$G79,0)-IF($H79=BC$3,$J79,0)</f>
        <v/>
      </c>
      <c r="BD79" s="47">
        <f>IF($E79=BD$3,$G79,0)-IF($H79=BD$3,$J79,0)</f>
        <v/>
      </c>
      <c r="BE79" s="47">
        <f>IF($E79=BE$3,$G79,0)-IF($H79=BE$3,$J79,0)</f>
        <v/>
      </c>
      <c r="BF79" s="47">
        <f>IF($E79=BF$3,$G79,0)-IF($H79=BF$3,$J79,0)</f>
        <v/>
      </c>
      <c r="BG79" s="47">
        <f>IF($E79=BG$3,$G79,0)-IF($H79=BG$3,$J79,0)</f>
        <v/>
      </c>
      <c r="BH79" s="47">
        <f>IF($E79=BH$3,$G79,0)-IF($H79=BH$3,$J79,0)</f>
        <v/>
      </c>
      <c r="BI79" s="47">
        <f>IF($E79=BI$3,$G79,0)-IF($H79=BI$3,$J79,0)</f>
        <v/>
      </c>
      <c r="BJ79" s="47">
        <f>IF($E79=BJ$3,$G79,0)-IF($H79=BJ$3,$J79,0)</f>
        <v/>
      </c>
      <c r="BK79" s="47">
        <f>IF($E79=BK$3,$G79,0)-IF($H79=BK$3,$J79,0)</f>
        <v/>
      </c>
      <c r="BL79" s="46">
        <f>-IF($E79=BL$3,$G79,0)+IF($H79=BL$3,$J79,0)</f>
        <v/>
      </c>
      <c r="BM79" s="47">
        <f>-IF($E79=BM$3,$G79,0)+IF($H79=BM$3,$J79,0)</f>
        <v/>
      </c>
      <c r="BN79" s="47">
        <f>-IF($E79=BN$3,$G79,0)+IF($H79=BN$3,$J79,0)</f>
        <v/>
      </c>
      <c r="BO79" s="47">
        <f>-IF($E79=BO$3,$G79,0)+IF($H79=BO$3,$J79,0)</f>
        <v/>
      </c>
      <c r="BP79" s="47">
        <f>-IF($E79=BP$3,$G79,0)+IF($H79=BP$3,$J79,0)</f>
        <v/>
      </c>
      <c r="BQ79" s="47">
        <f>-IF($E79=BQ$3,$G79,0)+IF($H79=BQ$3,$J79,0)</f>
        <v/>
      </c>
      <c r="BR79" s="47">
        <f>-IF($E79=BR$3,$G79,0)+IF($H79=BR$3,$J79,0)</f>
        <v/>
      </c>
      <c r="BS79" s="47">
        <f>-IF($E79=BS$3,$G79,0)+IF($H79=BS$3,$J79,0)</f>
        <v/>
      </c>
      <c r="BT79" s="47">
        <f>-IF($E79=BT$3,$G79,0)+IF($H79=BT$3,$J79,0)</f>
        <v/>
      </c>
      <c r="BU79" s="46">
        <f>+G79-J79</f>
        <v/>
      </c>
      <c r="BV79" s="48">
        <f>-IF($E79=BV$3,$G79,0)+IF($H79=BV$3,$J79,0)</f>
        <v/>
      </c>
      <c r="BW79" s="3" t="n"/>
    </row>
    <row r="80" ht="15.75" customHeight="1" s="214">
      <c r="A80" s="7" t="n"/>
      <c r="B80" s="8" t="n">
        <v>3</v>
      </c>
      <c r="C80" s="9" t="n">
        <v>9</v>
      </c>
      <c r="D80" s="10" t="inlineStr">
        <is>
          <t>書籍 超シンプルな青色申告、教えてもらいました!</t>
        </is>
      </c>
      <c r="E80" s="247" t="n">
        <v>524</v>
      </c>
      <c r="F80" s="11">
        <f>IF(E80="","",IF(ISNA(VLOOKUP(E80,科目コード表!$C$4:$D$67,2,FALSE)),"該当科目なし",VLOOKUP(E80,科目コード表!$C$4:$D$67,2,FALSE)))</f>
        <v/>
      </c>
      <c r="G80" s="38" t="n">
        <v>1870</v>
      </c>
      <c r="H80" s="248" t="n"/>
      <c r="I80" s="11">
        <f>IF(H80="","",IF(ISNA(VLOOKUP(H80,科目コード表!$C$4:$D$67,2,FALSE)),"該当科目なし",VLOOKUP(H80,科目コード表!$C$4:$D$67,2,FALSE)))</f>
        <v/>
      </c>
      <c r="J80" s="40" t="n"/>
      <c r="L80" s="46">
        <f>IF($E80=L$3,$G80,0)-IF($H80=L$3,$J80,0)</f>
        <v/>
      </c>
      <c r="M80" s="47">
        <f>IF($E80=M$3,$G80,0)-IF($H80=M$3,$J80,0)</f>
        <v/>
      </c>
      <c r="N80" s="47">
        <f>IF($E80=N$3,$G80,0)-IF($H80=N$3,$J80,0)</f>
        <v/>
      </c>
      <c r="O80" s="47">
        <f>IF($E80=O$3,$G80,0)-IF($H80=O$3,$J80,0)</f>
        <v/>
      </c>
      <c r="P80" s="47">
        <f>IF($E80=P$3,$G80,0)-IF($H80=P$3,$J80,0)</f>
        <v/>
      </c>
      <c r="Q80" s="47">
        <f>IF($E80=Q$3,$G80,0)-IF($H80=Q$3,$J80,0)</f>
        <v/>
      </c>
      <c r="R80" s="47">
        <f>IF($E80=R$3,$G80,0)-IF($H80=R$3,$J80,0)</f>
        <v/>
      </c>
      <c r="S80" s="47">
        <f>IF($E80=S$3,$G80,0)-IF($H80=S$3,$J80,0)</f>
        <v/>
      </c>
      <c r="T80" s="47">
        <f>IF($E80=T$3,$G80,0)-IF($H80=T$3,$J80,0)</f>
        <v/>
      </c>
      <c r="U80" s="47">
        <f>IF($E80=U$3,$G80,0)-IF($H80=U$3,$J80,0)</f>
        <v/>
      </c>
      <c r="V80" s="47">
        <f>IF($E80=V$3,$G80,0)-IF($H80=V$3,$J80,0)</f>
        <v/>
      </c>
      <c r="W80" s="47">
        <f>IF($E80=W$3,$G80,0)-IF($H80=W$3,$J80,0)</f>
        <v/>
      </c>
      <c r="X80" s="47">
        <f>IF($E80=X$3,$G80,0)-IF($H80=X$3,$J80,0)</f>
        <v/>
      </c>
      <c r="Y80" s="47">
        <f>IF($E80=Y$3,$G80,0)-IF($H80=Y$3,$J80,0)</f>
        <v/>
      </c>
      <c r="Z80" s="47">
        <f>IF($E80=Z$3,$G80,0)-IF($H80=Z$3,$J80,0)</f>
        <v/>
      </c>
      <c r="AA80" s="47">
        <f>IF($E80=AA$3,$G80,0)-IF($H80=AA$3,$J80,0)</f>
        <v/>
      </c>
      <c r="AB80" s="47">
        <f>IF($E80=AB$3,$G80,0)-IF($H80=AB$3,$J80,0)</f>
        <v/>
      </c>
      <c r="AC80" s="47">
        <f>IF($E80=AC$3,$G80,0)-IF($H80=AC$3,$J80,0)</f>
        <v/>
      </c>
      <c r="AD80" s="47">
        <f>IF($E80=AD$3,$G80,0)-IF($H80=AD$3,$J80,0)</f>
        <v/>
      </c>
      <c r="AE80" s="47">
        <f>IF($E80=AE$3,$G80,0)-IF($H80=AE$3,$J80,0)</f>
        <v/>
      </c>
      <c r="AF80" s="47">
        <f>IF($E80=AF$3,$G80,0)-IF($H80=AF$3,$J80,0)</f>
        <v/>
      </c>
      <c r="AG80" s="47">
        <f>IF($E80=AG$3,$G80,0)-IF($H80=AG$3,$J80,0)</f>
        <v/>
      </c>
      <c r="AH80" s="47">
        <f>IF($E80=AH$3,$G80,0)-IF($H80=AH$3,$J80,0)</f>
        <v/>
      </c>
      <c r="AI80" s="47">
        <f>IF($E80=AI$3,$G80,0)-IF($H80=AI$3,$J80,0)</f>
        <v/>
      </c>
      <c r="AJ80" s="47">
        <f>IF($E80=AJ$3,$G80,0)-IF($H80=AJ$3,$J80,0)</f>
        <v/>
      </c>
      <c r="AK80" s="47">
        <f>IF($E80=AK$3,$G80,0)-IF($H80=AK$3,$J80,0)</f>
        <v/>
      </c>
      <c r="AL80" s="48">
        <f>IF($E80=AL$3,$G80,0)-IF($H80=AL$3,$J80,0)</f>
        <v/>
      </c>
      <c r="AM80" s="46">
        <f>-IF($E80=AM$3,$G80,0)+IF($H80=AM$3,$J80,0)</f>
        <v/>
      </c>
      <c r="AN80" s="47">
        <f>-IF($E80=AN$3,$G80,0)+IF($H80=AN$3,$J80,0)</f>
        <v/>
      </c>
      <c r="AO80" s="48">
        <f>-IF($E80=AO$3,$G80,0)+IF($H80=AO$3,$J80,0)</f>
        <v/>
      </c>
      <c r="AP80" s="46">
        <f>IF($E80=AP$3,$G80,0)-IF($H80=AP$3,$J80,0)</f>
        <v/>
      </c>
      <c r="AQ80" s="47">
        <f>IF($E80=AQ$3,$G80,0)-IF($H80=AQ$3,$J80,0)</f>
        <v/>
      </c>
      <c r="AR80" s="47">
        <f>IF($E80=AR$3,$G80,0)-IF($H80=AR$3,$J80,0)</f>
        <v/>
      </c>
      <c r="AS80" s="47">
        <f>IF($E80=AS$3,$G80,0)-IF($H80=AS$3,$J80,0)</f>
        <v/>
      </c>
      <c r="AT80" s="47">
        <f>IF($E80=AT$3,$G80,0)-IF($H80=AT$3,$J80,0)</f>
        <v/>
      </c>
      <c r="AU80" s="47">
        <f>IF($E80=AU$3,$G80,0)-IF($H80=AU$3,$J80,0)</f>
        <v/>
      </c>
      <c r="AV80" s="47">
        <f>IF($E80=AV$3,$G80,0)-IF($H80=AV$3,$J80,0)</f>
        <v/>
      </c>
      <c r="AW80" s="47">
        <f>IF($E80=AW$3,$G80,0)-IF($H80=AW$3,$J80,0)</f>
        <v/>
      </c>
      <c r="AX80" s="47">
        <f>IF($E80=AX$3,$G80,0)-IF($H80=AX$3,$J80,0)</f>
        <v/>
      </c>
      <c r="AY80" s="47">
        <f>IF($E80=AY$3,$G80,0)-IF($H80=AY$3,$J80,0)</f>
        <v/>
      </c>
      <c r="AZ80" s="47">
        <f>IF($E80=AZ$3,$G80,0)-IF($H80=AZ$3,$J80,0)</f>
        <v/>
      </c>
      <c r="BA80" s="47">
        <f>IF($E80=BA$3,$G80,0)-IF($H80=BA$3,$J80,0)</f>
        <v/>
      </c>
      <c r="BB80" s="47">
        <f>IF($E80=BB$3,$G80,0)-IF($H80=BB$3,$J80,0)</f>
        <v/>
      </c>
      <c r="BC80" s="47">
        <f>IF($E80=BC$3,$G80,0)-IF($H80=BC$3,$J80,0)</f>
        <v/>
      </c>
      <c r="BD80" s="47">
        <f>IF($E80=BD$3,$G80,0)-IF($H80=BD$3,$J80,0)</f>
        <v/>
      </c>
      <c r="BE80" s="47">
        <f>IF($E80=BE$3,$G80,0)-IF($H80=BE$3,$J80,0)</f>
        <v/>
      </c>
      <c r="BF80" s="47">
        <f>IF($E80=BF$3,$G80,0)-IF($H80=BF$3,$J80,0)</f>
        <v/>
      </c>
      <c r="BG80" s="47">
        <f>IF($E80=BG$3,$G80,0)-IF($H80=BG$3,$J80,0)</f>
        <v/>
      </c>
      <c r="BH80" s="47">
        <f>IF($E80=BH$3,$G80,0)-IF($H80=BH$3,$J80,0)</f>
        <v/>
      </c>
      <c r="BI80" s="47">
        <f>IF($E80=BI$3,$G80,0)-IF($H80=BI$3,$J80,0)</f>
        <v/>
      </c>
      <c r="BJ80" s="47">
        <f>IF($E80=BJ$3,$G80,0)-IF($H80=BJ$3,$J80,0)</f>
        <v/>
      </c>
      <c r="BK80" s="47">
        <f>IF($E80=BK$3,$G80,0)-IF($H80=BK$3,$J80,0)</f>
        <v/>
      </c>
      <c r="BL80" s="46">
        <f>-IF($E80=BL$3,$G80,0)+IF($H80=BL$3,$J80,0)</f>
        <v/>
      </c>
      <c r="BM80" s="47">
        <f>-IF($E80=BM$3,$G80,0)+IF($H80=BM$3,$J80,0)</f>
        <v/>
      </c>
      <c r="BN80" s="47">
        <f>-IF($E80=BN$3,$G80,0)+IF($H80=BN$3,$J80,0)</f>
        <v/>
      </c>
      <c r="BO80" s="47">
        <f>-IF($E80=BO$3,$G80,0)+IF($H80=BO$3,$J80,0)</f>
        <v/>
      </c>
      <c r="BP80" s="47">
        <f>-IF($E80=BP$3,$G80,0)+IF($H80=BP$3,$J80,0)</f>
        <v/>
      </c>
      <c r="BQ80" s="47">
        <f>-IF($E80=BQ$3,$G80,0)+IF($H80=BQ$3,$J80,0)</f>
        <v/>
      </c>
      <c r="BR80" s="47">
        <f>-IF($E80=BR$3,$G80,0)+IF($H80=BR$3,$J80,0)</f>
        <v/>
      </c>
      <c r="BS80" s="47">
        <f>-IF($E80=BS$3,$G80,0)+IF($H80=BS$3,$J80,0)</f>
        <v/>
      </c>
      <c r="BT80" s="47">
        <f>-IF($E80=BT$3,$G80,0)+IF($H80=BT$3,$J80,0)</f>
        <v/>
      </c>
      <c r="BU80" s="46">
        <f>+G80-J80</f>
        <v/>
      </c>
      <c r="BV80" s="48">
        <f>-IF($E80=BV$3,$G80,0)+IF($H80=BV$3,$J80,0)</f>
        <v/>
      </c>
      <c r="BW80" s="3" t="n"/>
    </row>
    <row r="81" ht="15.75" customHeight="1" s="214">
      <c r="A81" s="7" t="n"/>
      <c r="B81" s="8" t="n">
        <v>3</v>
      </c>
      <c r="C81" s="9" t="n">
        <v>9</v>
      </c>
      <c r="D81" s="10" t="inlineStr">
        <is>
          <t>Kindle超シンプルな青色申告、教えてもらいました！</t>
        </is>
      </c>
      <c r="E81" s="247" t="n">
        <v>524</v>
      </c>
      <c r="F81" s="11">
        <f>IF(E81="","",IF(ISNA(VLOOKUP(E81,科目コード表!$C$4:$D$67,2,FALSE)),"該当科目なし",VLOOKUP(E81,科目コード表!$C$4:$D$67,2,FALSE)))</f>
        <v/>
      </c>
      <c r="G81" s="38" t="n">
        <v>1515</v>
      </c>
      <c r="H81" s="248" t="n"/>
      <c r="I81" s="11">
        <f>IF(H81="","",IF(ISNA(VLOOKUP(H81,科目コード表!$C$4:$D$67,2,FALSE)),"該当科目なし",VLOOKUP(H81,科目コード表!$C$4:$D$67,2,FALSE)))</f>
        <v/>
      </c>
      <c r="J81" s="40" t="n"/>
      <c r="L81" s="46">
        <f>IF($E81=L$3,$G81,0)-IF($H81=L$3,$J81,0)</f>
        <v/>
      </c>
      <c r="M81" s="47">
        <f>IF($E81=M$3,$G81,0)-IF($H81=M$3,$J81,0)</f>
        <v/>
      </c>
      <c r="N81" s="47">
        <f>IF($E81=N$3,$G81,0)-IF($H81=N$3,$J81,0)</f>
        <v/>
      </c>
      <c r="O81" s="47">
        <f>IF($E81=O$3,$G81,0)-IF($H81=O$3,$J81,0)</f>
        <v/>
      </c>
      <c r="P81" s="47">
        <f>IF($E81=P$3,$G81,0)-IF($H81=P$3,$J81,0)</f>
        <v/>
      </c>
      <c r="Q81" s="47">
        <f>IF($E81=Q$3,$G81,0)-IF($H81=Q$3,$J81,0)</f>
        <v/>
      </c>
      <c r="R81" s="47">
        <f>IF($E81=R$3,$G81,0)-IF($H81=R$3,$J81,0)</f>
        <v/>
      </c>
      <c r="S81" s="47">
        <f>IF($E81=S$3,$G81,0)-IF($H81=S$3,$J81,0)</f>
        <v/>
      </c>
      <c r="T81" s="47">
        <f>IF($E81=T$3,$G81,0)-IF($H81=T$3,$J81,0)</f>
        <v/>
      </c>
      <c r="U81" s="47">
        <f>IF($E81=U$3,$G81,0)-IF($H81=U$3,$J81,0)</f>
        <v/>
      </c>
      <c r="V81" s="47">
        <f>IF($E81=V$3,$G81,0)-IF($H81=V$3,$J81,0)</f>
        <v/>
      </c>
      <c r="W81" s="47">
        <f>IF($E81=W$3,$G81,0)-IF($H81=W$3,$J81,0)</f>
        <v/>
      </c>
      <c r="X81" s="47">
        <f>IF($E81=X$3,$G81,0)-IF($H81=X$3,$J81,0)</f>
        <v/>
      </c>
      <c r="Y81" s="47">
        <f>IF($E81=Y$3,$G81,0)-IF($H81=Y$3,$J81,0)</f>
        <v/>
      </c>
      <c r="Z81" s="47">
        <f>IF($E81=Z$3,$G81,0)-IF($H81=Z$3,$J81,0)</f>
        <v/>
      </c>
      <c r="AA81" s="47">
        <f>IF($E81=AA$3,$G81,0)-IF($H81=AA$3,$J81,0)</f>
        <v/>
      </c>
      <c r="AB81" s="47">
        <f>IF($E81=AB$3,$G81,0)-IF($H81=AB$3,$J81,0)</f>
        <v/>
      </c>
      <c r="AC81" s="47">
        <f>IF($E81=AC$3,$G81,0)-IF($H81=AC$3,$J81,0)</f>
        <v/>
      </c>
      <c r="AD81" s="47">
        <f>IF($E81=AD$3,$G81,0)-IF($H81=AD$3,$J81,0)</f>
        <v/>
      </c>
      <c r="AE81" s="47">
        <f>IF($E81=AE$3,$G81,0)-IF($H81=AE$3,$J81,0)</f>
        <v/>
      </c>
      <c r="AF81" s="47">
        <f>IF($E81=AF$3,$G81,0)-IF($H81=AF$3,$J81,0)</f>
        <v/>
      </c>
      <c r="AG81" s="47">
        <f>IF($E81=AG$3,$G81,0)-IF($H81=AG$3,$J81,0)</f>
        <v/>
      </c>
      <c r="AH81" s="47">
        <f>IF($E81=AH$3,$G81,0)-IF($H81=AH$3,$J81,0)</f>
        <v/>
      </c>
      <c r="AI81" s="47">
        <f>IF($E81=AI$3,$G81,0)-IF($H81=AI$3,$J81,0)</f>
        <v/>
      </c>
      <c r="AJ81" s="47">
        <f>IF($E81=AJ$3,$G81,0)-IF($H81=AJ$3,$J81,0)</f>
        <v/>
      </c>
      <c r="AK81" s="47">
        <f>IF($E81=AK$3,$G81,0)-IF($H81=AK$3,$J81,0)</f>
        <v/>
      </c>
      <c r="AL81" s="48">
        <f>IF($E81=AL$3,$G81,0)-IF($H81=AL$3,$J81,0)</f>
        <v/>
      </c>
      <c r="AM81" s="46">
        <f>-IF($E81=AM$3,$G81,0)+IF($H81=AM$3,$J81,0)</f>
        <v/>
      </c>
      <c r="AN81" s="47">
        <f>-IF($E81=AN$3,$G81,0)+IF($H81=AN$3,$J81,0)</f>
        <v/>
      </c>
      <c r="AO81" s="48">
        <f>-IF($E81=AO$3,$G81,0)+IF($H81=AO$3,$J81,0)</f>
        <v/>
      </c>
      <c r="AP81" s="46">
        <f>IF($E81=AP$3,$G81,0)-IF($H81=AP$3,$J81,0)</f>
        <v/>
      </c>
      <c r="AQ81" s="47">
        <f>IF($E81=AQ$3,$G81,0)-IF($H81=AQ$3,$J81,0)</f>
        <v/>
      </c>
      <c r="AR81" s="47">
        <f>IF($E81=AR$3,$G81,0)-IF($H81=AR$3,$J81,0)</f>
        <v/>
      </c>
      <c r="AS81" s="47">
        <f>IF($E81=AS$3,$G81,0)-IF($H81=AS$3,$J81,0)</f>
        <v/>
      </c>
      <c r="AT81" s="47">
        <f>IF($E81=AT$3,$G81,0)-IF($H81=AT$3,$J81,0)</f>
        <v/>
      </c>
      <c r="AU81" s="47">
        <f>IF($E81=AU$3,$G81,0)-IF($H81=AU$3,$J81,0)</f>
        <v/>
      </c>
      <c r="AV81" s="47">
        <f>IF($E81=AV$3,$G81,0)-IF($H81=AV$3,$J81,0)</f>
        <v/>
      </c>
      <c r="AW81" s="47">
        <f>IF($E81=AW$3,$G81,0)-IF($H81=AW$3,$J81,0)</f>
        <v/>
      </c>
      <c r="AX81" s="47">
        <f>IF($E81=AX$3,$G81,0)-IF($H81=AX$3,$J81,0)</f>
        <v/>
      </c>
      <c r="AY81" s="47">
        <f>IF($E81=AY$3,$G81,0)-IF($H81=AY$3,$J81,0)</f>
        <v/>
      </c>
      <c r="AZ81" s="47">
        <f>IF($E81=AZ$3,$G81,0)-IF($H81=AZ$3,$J81,0)</f>
        <v/>
      </c>
      <c r="BA81" s="47">
        <f>IF($E81=BA$3,$G81,0)-IF($H81=BA$3,$J81,0)</f>
        <v/>
      </c>
      <c r="BB81" s="47">
        <f>IF($E81=BB$3,$G81,0)-IF($H81=BB$3,$J81,0)</f>
        <v/>
      </c>
      <c r="BC81" s="47">
        <f>IF($E81=BC$3,$G81,0)-IF($H81=BC$3,$J81,0)</f>
        <v/>
      </c>
      <c r="BD81" s="47">
        <f>IF($E81=BD$3,$G81,0)-IF($H81=BD$3,$J81,0)</f>
        <v/>
      </c>
      <c r="BE81" s="47">
        <f>IF($E81=BE$3,$G81,0)-IF($H81=BE$3,$J81,0)</f>
        <v/>
      </c>
      <c r="BF81" s="47">
        <f>IF($E81=BF$3,$G81,0)-IF($H81=BF$3,$J81,0)</f>
        <v/>
      </c>
      <c r="BG81" s="47">
        <f>IF($E81=BG$3,$G81,0)-IF($H81=BG$3,$J81,0)</f>
        <v/>
      </c>
      <c r="BH81" s="47">
        <f>IF($E81=BH$3,$G81,0)-IF($H81=BH$3,$J81,0)</f>
        <v/>
      </c>
      <c r="BI81" s="47">
        <f>IF($E81=BI$3,$G81,0)-IF($H81=BI$3,$J81,0)</f>
        <v/>
      </c>
      <c r="BJ81" s="47">
        <f>IF($E81=BJ$3,$G81,0)-IF($H81=BJ$3,$J81,0)</f>
        <v/>
      </c>
      <c r="BK81" s="47">
        <f>IF($E81=BK$3,$G81,0)-IF($H81=BK$3,$J81,0)</f>
        <v/>
      </c>
      <c r="BL81" s="46">
        <f>-IF($E81=BL$3,$G81,0)+IF($H81=BL$3,$J81,0)</f>
        <v/>
      </c>
      <c r="BM81" s="47">
        <f>-IF($E81=BM$3,$G81,0)+IF($H81=BM$3,$J81,0)</f>
        <v/>
      </c>
      <c r="BN81" s="47">
        <f>-IF($E81=BN$3,$G81,0)+IF($H81=BN$3,$J81,0)</f>
        <v/>
      </c>
      <c r="BO81" s="47">
        <f>-IF($E81=BO$3,$G81,0)+IF($H81=BO$3,$J81,0)</f>
        <v/>
      </c>
      <c r="BP81" s="47">
        <f>-IF($E81=BP$3,$G81,0)+IF($H81=BP$3,$J81,0)</f>
        <v/>
      </c>
      <c r="BQ81" s="47">
        <f>-IF($E81=BQ$3,$G81,0)+IF($H81=BQ$3,$J81,0)</f>
        <v/>
      </c>
      <c r="BR81" s="47">
        <f>-IF($E81=BR$3,$G81,0)+IF($H81=BR$3,$J81,0)</f>
        <v/>
      </c>
      <c r="BS81" s="47">
        <f>-IF($E81=BS$3,$G81,0)+IF($H81=BS$3,$J81,0)</f>
        <v/>
      </c>
      <c r="BT81" s="47">
        <f>-IF($E81=BT$3,$G81,0)+IF($H81=BT$3,$J81,0)</f>
        <v/>
      </c>
      <c r="BU81" s="46">
        <f>+G81-J81</f>
        <v/>
      </c>
      <c r="BV81" s="48">
        <f>-IF($E81=BV$3,$G81,0)+IF($H81=BV$3,$J81,0)</f>
        <v/>
      </c>
      <c r="BW81" s="3" t="n"/>
    </row>
    <row r="82" ht="15.75" customHeight="1" s="214">
      <c r="A82" s="7" t="n"/>
      <c r="B82" s="8" t="n">
        <v>3</v>
      </c>
      <c r="C82" s="9" t="n">
        <v>10</v>
      </c>
      <c r="D82" s="10" t="inlineStr">
        <is>
          <t>ChatGPTで身につけるGoogle Apps Script</t>
        </is>
      </c>
      <c r="E82" s="247" t="n">
        <v>524</v>
      </c>
      <c r="F82" s="11">
        <f>IF(E82="","",IF(ISNA(VLOOKUP(E82,科目コード表!$C$4:$D$67,2,FALSE)),"該当科目なし",VLOOKUP(E82,科目コード表!$C$4:$D$67,2,FALSE)))</f>
        <v/>
      </c>
      <c r="G82" s="38" t="n">
        <v>2772</v>
      </c>
      <c r="H82" s="248" t="n"/>
      <c r="I82" s="11">
        <f>IF(H82="","",IF(ISNA(VLOOKUP(H82,科目コード表!$C$4:$D$67,2,FALSE)),"該当科目なし",VLOOKUP(H82,科目コード表!$C$4:$D$67,2,FALSE)))</f>
        <v/>
      </c>
      <c r="J82" s="40" t="n"/>
      <c r="L82" s="46">
        <f>IF($E82=L$3,$G82,0)-IF($H82=L$3,$J82,0)</f>
        <v/>
      </c>
      <c r="M82" s="47">
        <f>IF($E82=M$3,$G82,0)-IF($H82=M$3,$J82,0)</f>
        <v/>
      </c>
      <c r="N82" s="47">
        <f>IF($E82=N$3,$G82,0)-IF($H82=N$3,$J82,0)</f>
        <v/>
      </c>
      <c r="O82" s="47">
        <f>IF($E82=O$3,$G82,0)-IF($H82=O$3,$J82,0)</f>
        <v/>
      </c>
      <c r="P82" s="47">
        <f>IF($E82=P$3,$G82,0)-IF($H82=P$3,$J82,0)</f>
        <v/>
      </c>
      <c r="Q82" s="47">
        <f>IF($E82=Q$3,$G82,0)-IF($H82=Q$3,$J82,0)</f>
        <v/>
      </c>
      <c r="R82" s="47">
        <f>IF($E82=R$3,$G82,0)-IF($H82=R$3,$J82,0)</f>
        <v/>
      </c>
      <c r="S82" s="47">
        <f>IF($E82=S$3,$G82,0)-IF($H82=S$3,$J82,0)</f>
        <v/>
      </c>
      <c r="T82" s="47">
        <f>IF($E82=T$3,$G82,0)-IF($H82=T$3,$J82,0)</f>
        <v/>
      </c>
      <c r="U82" s="47">
        <f>IF($E82=U$3,$G82,0)-IF($H82=U$3,$J82,0)</f>
        <v/>
      </c>
      <c r="V82" s="47">
        <f>IF($E82=V$3,$G82,0)-IF($H82=V$3,$J82,0)</f>
        <v/>
      </c>
      <c r="W82" s="47">
        <f>IF($E82=W$3,$G82,0)-IF($H82=W$3,$J82,0)</f>
        <v/>
      </c>
      <c r="X82" s="47">
        <f>IF($E82=X$3,$G82,0)-IF($H82=X$3,$J82,0)</f>
        <v/>
      </c>
      <c r="Y82" s="47">
        <f>IF($E82=Y$3,$G82,0)-IF($H82=Y$3,$J82,0)</f>
        <v/>
      </c>
      <c r="Z82" s="47">
        <f>IF($E82=Z$3,$G82,0)-IF($H82=Z$3,$J82,0)</f>
        <v/>
      </c>
      <c r="AA82" s="47">
        <f>IF($E82=AA$3,$G82,0)-IF($H82=AA$3,$J82,0)</f>
        <v/>
      </c>
      <c r="AB82" s="47">
        <f>IF($E82=AB$3,$G82,0)-IF($H82=AB$3,$J82,0)</f>
        <v/>
      </c>
      <c r="AC82" s="47">
        <f>IF($E82=AC$3,$G82,0)-IF($H82=AC$3,$J82,0)</f>
        <v/>
      </c>
      <c r="AD82" s="47">
        <f>IF($E82=AD$3,$G82,0)-IF($H82=AD$3,$J82,0)</f>
        <v/>
      </c>
      <c r="AE82" s="47">
        <f>IF($E82=AE$3,$G82,0)-IF($H82=AE$3,$J82,0)</f>
        <v/>
      </c>
      <c r="AF82" s="47">
        <f>IF($E82=AF$3,$G82,0)-IF($H82=AF$3,$J82,0)</f>
        <v/>
      </c>
      <c r="AG82" s="47">
        <f>IF($E82=AG$3,$G82,0)-IF($H82=AG$3,$J82,0)</f>
        <v/>
      </c>
      <c r="AH82" s="47">
        <f>IF($E82=AH$3,$G82,0)-IF($H82=AH$3,$J82,0)</f>
        <v/>
      </c>
      <c r="AI82" s="47">
        <f>IF($E82=AI$3,$G82,0)-IF($H82=AI$3,$J82,0)</f>
        <v/>
      </c>
      <c r="AJ82" s="47">
        <f>IF($E82=AJ$3,$G82,0)-IF($H82=AJ$3,$J82,0)</f>
        <v/>
      </c>
      <c r="AK82" s="47">
        <f>IF($E82=AK$3,$G82,0)-IF($H82=AK$3,$J82,0)</f>
        <v/>
      </c>
      <c r="AL82" s="48">
        <f>IF($E82=AL$3,$G82,0)-IF($H82=AL$3,$J82,0)</f>
        <v/>
      </c>
      <c r="AM82" s="46">
        <f>-IF($E82=AM$3,$G82,0)+IF($H82=AM$3,$J82,0)</f>
        <v/>
      </c>
      <c r="AN82" s="47">
        <f>-IF($E82=AN$3,$G82,0)+IF($H82=AN$3,$J82,0)</f>
        <v/>
      </c>
      <c r="AO82" s="48">
        <f>-IF($E82=AO$3,$G82,0)+IF($H82=AO$3,$J82,0)</f>
        <v/>
      </c>
      <c r="AP82" s="46">
        <f>IF($E82=AP$3,$G82,0)-IF($H82=AP$3,$J82,0)</f>
        <v/>
      </c>
      <c r="AQ82" s="47">
        <f>IF($E82=AQ$3,$G82,0)-IF($H82=AQ$3,$J82,0)</f>
        <v/>
      </c>
      <c r="AR82" s="47">
        <f>IF($E82=AR$3,$G82,0)-IF($H82=AR$3,$J82,0)</f>
        <v/>
      </c>
      <c r="AS82" s="47">
        <f>IF($E82=AS$3,$G82,0)-IF($H82=AS$3,$J82,0)</f>
        <v/>
      </c>
      <c r="AT82" s="47">
        <f>IF($E82=AT$3,$G82,0)-IF($H82=AT$3,$J82,0)</f>
        <v/>
      </c>
      <c r="AU82" s="47">
        <f>IF($E82=AU$3,$G82,0)-IF($H82=AU$3,$J82,0)</f>
        <v/>
      </c>
      <c r="AV82" s="47">
        <f>IF($E82=AV$3,$G82,0)-IF($H82=AV$3,$J82,0)</f>
        <v/>
      </c>
      <c r="AW82" s="47">
        <f>IF($E82=AW$3,$G82,0)-IF($H82=AW$3,$J82,0)</f>
        <v/>
      </c>
      <c r="AX82" s="47">
        <f>IF($E82=AX$3,$G82,0)-IF($H82=AX$3,$J82,0)</f>
        <v/>
      </c>
      <c r="AY82" s="47">
        <f>IF($E82=AY$3,$G82,0)-IF($H82=AY$3,$J82,0)</f>
        <v/>
      </c>
      <c r="AZ82" s="47">
        <f>IF($E82=AZ$3,$G82,0)-IF($H82=AZ$3,$J82,0)</f>
        <v/>
      </c>
      <c r="BA82" s="47">
        <f>IF($E82=BA$3,$G82,0)-IF($H82=BA$3,$J82,0)</f>
        <v/>
      </c>
      <c r="BB82" s="47">
        <f>IF($E82=BB$3,$G82,0)-IF($H82=BB$3,$J82,0)</f>
        <v/>
      </c>
      <c r="BC82" s="47">
        <f>IF($E82=BC$3,$G82,0)-IF($H82=BC$3,$J82,0)</f>
        <v/>
      </c>
      <c r="BD82" s="47">
        <f>IF($E82=BD$3,$G82,0)-IF($H82=BD$3,$J82,0)</f>
        <v/>
      </c>
      <c r="BE82" s="47">
        <f>IF($E82=BE$3,$G82,0)-IF($H82=BE$3,$J82,0)</f>
        <v/>
      </c>
      <c r="BF82" s="47">
        <f>IF($E82=BF$3,$G82,0)-IF($H82=BF$3,$J82,0)</f>
        <v/>
      </c>
      <c r="BG82" s="47">
        <f>IF($E82=BG$3,$G82,0)-IF($H82=BG$3,$J82,0)</f>
        <v/>
      </c>
      <c r="BH82" s="47">
        <f>IF($E82=BH$3,$G82,0)-IF($H82=BH$3,$J82,0)</f>
        <v/>
      </c>
      <c r="BI82" s="47">
        <f>IF($E82=BI$3,$G82,0)-IF($H82=BI$3,$J82,0)</f>
        <v/>
      </c>
      <c r="BJ82" s="47">
        <f>IF($E82=BJ$3,$G82,0)-IF($H82=BJ$3,$J82,0)</f>
        <v/>
      </c>
      <c r="BK82" s="47">
        <f>IF($E82=BK$3,$G82,0)-IF($H82=BK$3,$J82,0)</f>
        <v/>
      </c>
      <c r="BL82" s="46">
        <f>-IF($E82=BL$3,$G82,0)+IF($H82=BL$3,$J82,0)</f>
        <v/>
      </c>
      <c r="BM82" s="47">
        <f>-IF($E82=BM$3,$G82,0)+IF($H82=BM$3,$J82,0)</f>
        <v/>
      </c>
      <c r="BN82" s="47">
        <f>-IF($E82=BN$3,$G82,0)+IF($H82=BN$3,$J82,0)</f>
        <v/>
      </c>
      <c r="BO82" s="47">
        <f>-IF($E82=BO$3,$G82,0)+IF($H82=BO$3,$J82,0)</f>
        <v/>
      </c>
      <c r="BP82" s="47">
        <f>-IF($E82=BP$3,$G82,0)+IF($H82=BP$3,$J82,0)</f>
        <v/>
      </c>
      <c r="BQ82" s="47">
        <f>-IF($E82=BQ$3,$G82,0)+IF($H82=BQ$3,$J82,0)</f>
        <v/>
      </c>
      <c r="BR82" s="47">
        <f>-IF($E82=BR$3,$G82,0)+IF($H82=BR$3,$J82,0)</f>
        <v/>
      </c>
      <c r="BS82" s="47">
        <f>-IF($E82=BS$3,$G82,0)+IF($H82=BS$3,$J82,0)</f>
        <v/>
      </c>
      <c r="BT82" s="47">
        <f>-IF($E82=BT$3,$G82,0)+IF($H82=BT$3,$J82,0)</f>
        <v/>
      </c>
      <c r="BU82" s="46">
        <f>+G82-J82</f>
        <v/>
      </c>
      <c r="BV82" s="48">
        <f>-IF($E82=BV$3,$G82,0)+IF($H82=BV$3,$J82,0)</f>
        <v/>
      </c>
      <c r="BW82" s="3" t="n"/>
    </row>
    <row r="83" ht="15.75" customHeight="1" s="214">
      <c r="A83" s="7" t="n"/>
      <c r="B83" s="8" t="n">
        <v>3</v>
      </c>
      <c r="C83" s="9" t="n">
        <v>10</v>
      </c>
      <c r="D83" s="10" t="inlineStr">
        <is>
          <t xml:space="preserve">できる 仕事がはかどるGoogle Apps Script自動処理 全部入り。 </t>
        </is>
      </c>
      <c r="E83" s="247" t="n">
        <v>524</v>
      </c>
      <c r="F83" s="11">
        <f>IF(E83="","",IF(ISNA(VLOOKUP(E83,科目コード表!$C$4:$D$67,2,FALSE)),"該当科目なし",VLOOKUP(E83,科目コード表!$C$4:$D$67,2,FALSE)))</f>
        <v/>
      </c>
      <c r="G83" s="38" t="n">
        <v>1105</v>
      </c>
      <c r="H83" s="248" t="n"/>
      <c r="I83" s="11">
        <f>IF(H83="","",IF(ISNA(VLOOKUP(H83,科目コード表!$C$4:$D$67,2,FALSE)),"該当科目なし",VLOOKUP(H83,科目コード表!$C$4:$D$67,2,FALSE)))</f>
        <v/>
      </c>
      <c r="J83" s="40" t="n"/>
      <c r="L83" s="46">
        <f>IF($E83=L$3,$G83,0)-IF($H83=L$3,$J83,0)</f>
        <v/>
      </c>
      <c r="M83" s="47">
        <f>IF($E83=M$3,$G83,0)-IF($H83=M$3,$J83,0)</f>
        <v/>
      </c>
      <c r="N83" s="47">
        <f>IF($E83=N$3,$G83,0)-IF($H83=N$3,$J83,0)</f>
        <v/>
      </c>
      <c r="O83" s="47">
        <f>IF($E83=O$3,$G83,0)-IF($H83=O$3,$J83,0)</f>
        <v/>
      </c>
      <c r="P83" s="47">
        <f>IF($E83=P$3,$G83,0)-IF($H83=P$3,$J83,0)</f>
        <v/>
      </c>
      <c r="Q83" s="47">
        <f>IF($E83=Q$3,$G83,0)-IF($H83=Q$3,$J83,0)</f>
        <v/>
      </c>
      <c r="R83" s="47">
        <f>IF($E83=R$3,$G83,0)-IF($H83=R$3,$J83,0)</f>
        <v/>
      </c>
      <c r="S83" s="47">
        <f>IF($E83=S$3,$G83,0)-IF($H83=S$3,$J83,0)</f>
        <v/>
      </c>
      <c r="T83" s="47">
        <f>IF($E83=T$3,$G83,0)-IF($H83=T$3,$J83,0)</f>
        <v/>
      </c>
      <c r="U83" s="47">
        <f>IF($E83=U$3,$G83,0)-IF($H83=U$3,$J83,0)</f>
        <v/>
      </c>
      <c r="V83" s="47">
        <f>IF($E83=V$3,$G83,0)-IF($H83=V$3,$J83,0)</f>
        <v/>
      </c>
      <c r="W83" s="47">
        <f>IF($E83=W$3,$G83,0)-IF($H83=W$3,$J83,0)</f>
        <v/>
      </c>
      <c r="X83" s="47">
        <f>IF($E83=X$3,$G83,0)-IF($H83=X$3,$J83,0)</f>
        <v/>
      </c>
      <c r="Y83" s="47">
        <f>IF($E83=Y$3,$G83,0)-IF($H83=Y$3,$J83,0)</f>
        <v/>
      </c>
      <c r="Z83" s="47">
        <f>IF($E83=Z$3,$G83,0)-IF($H83=Z$3,$J83,0)</f>
        <v/>
      </c>
      <c r="AA83" s="47">
        <f>IF($E83=AA$3,$G83,0)-IF($H83=AA$3,$J83,0)</f>
        <v/>
      </c>
      <c r="AB83" s="47">
        <f>IF($E83=AB$3,$G83,0)-IF($H83=AB$3,$J83,0)</f>
        <v/>
      </c>
      <c r="AC83" s="47">
        <f>IF($E83=AC$3,$G83,0)-IF($H83=AC$3,$J83,0)</f>
        <v/>
      </c>
      <c r="AD83" s="47">
        <f>IF($E83=AD$3,$G83,0)-IF($H83=AD$3,$J83,0)</f>
        <v/>
      </c>
      <c r="AE83" s="47">
        <f>IF($E83=AE$3,$G83,0)-IF($H83=AE$3,$J83,0)</f>
        <v/>
      </c>
      <c r="AF83" s="47">
        <f>IF($E83=AF$3,$G83,0)-IF($H83=AF$3,$J83,0)</f>
        <v/>
      </c>
      <c r="AG83" s="47">
        <f>IF($E83=AG$3,$G83,0)-IF($H83=AG$3,$J83,0)</f>
        <v/>
      </c>
      <c r="AH83" s="47">
        <f>IF($E83=AH$3,$G83,0)-IF($H83=AH$3,$J83,0)</f>
        <v/>
      </c>
      <c r="AI83" s="47">
        <f>IF($E83=AI$3,$G83,0)-IF($H83=AI$3,$J83,0)</f>
        <v/>
      </c>
      <c r="AJ83" s="47">
        <f>IF($E83=AJ$3,$G83,0)-IF($H83=AJ$3,$J83,0)</f>
        <v/>
      </c>
      <c r="AK83" s="47">
        <f>IF($E83=AK$3,$G83,0)-IF($H83=AK$3,$J83,0)</f>
        <v/>
      </c>
      <c r="AL83" s="48">
        <f>IF($E83=AL$3,$G83,0)-IF($H83=AL$3,$J83,0)</f>
        <v/>
      </c>
      <c r="AM83" s="46">
        <f>-IF($E83=AM$3,$G83,0)+IF($H83=AM$3,$J83,0)</f>
        <v/>
      </c>
      <c r="AN83" s="47">
        <f>-IF($E83=AN$3,$G83,0)+IF($H83=AN$3,$J83,0)</f>
        <v/>
      </c>
      <c r="AO83" s="48">
        <f>-IF($E83=AO$3,$G83,0)+IF($H83=AO$3,$J83,0)</f>
        <v/>
      </c>
      <c r="AP83" s="46">
        <f>IF($E83=AP$3,$G83,0)-IF($H83=AP$3,$J83,0)</f>
        <v/>
      </c>
      <c r="AQ83" s="47">
        <f>IF($E83=AQ$3,$G83,0)-IF($H83=AQ$3,$J83,0)</f>
        <v/>
      </c>
      <c r="AR83" s="47">
        <f>IF($E83=AR$3,$G83,0)-IF($H83=AR$3,$J83,0)</f>
        <v/>
      </c>
      <c r="AS83" s="47">
        <f>IF($E83=AS$3,$G83,0)-IF($H83=AS$3,$J83,0)</f>
        <v/>
      </c>
      <c r="AT83" s="47">
        <f>IF($E83=AT$3,$G83,0)-IF($H83=AT$3,$J83,0)</f>
        <v/>
      </c>
      <c r="AU83" s="47">
        <f>IF($E83=AU$3,$G83,0)-IF($H83=AU$3,$J83,0)</f>
        <v/>
      </c>
      <c r="AV83" s="47">
        <f>IF($E83=AV$3,$G83,0)-IF($H83=AV$3,$J83,0)</f>
        <v/>
      </c>
      <c r="AW83" s="47">
        <f>IF($E83=AW$3,$G83,0)-IF($H83=AW$3,$J83,0)</f>
        <v/>
      </c>
      <c r="AX83" s="47">
        <f>IF($E83=AX$3,$G83,0)-IF($H83=AX$3,$J83,0)</f>
        <v/>
      </c>
      <c r="AY83" s="47">
        <f>IF($E83=AY$3,$G83,0)-IF($H83=AY$3,$J83,0)</f>
        <v/>
      </c>
      <c r="AZ83" s="47">
        <f>IF($E83=AZ$3,$G83,0)-IF($H83=AZ$3,$J83,0)</f>
        <v/>
      </c>
      <c r="BA83" s="47">
        <f>IF($E83=BA$3,$G83,0)-IF($H83=BA$3,$J83,0)</f>
        <v/>
      </c>
      <c r="BB83" s="47">
        <f>IF($E83=BB$3,$G83,0)-IF($H83=BB$3,$J83,0)</f>
        <v/>
      </c>
      <c r="BC83" s="47">
        <f>IF($E83=BC$3,$G83,0)-IF($H83=BC$3,$J83,0)</f>
        <v/>
      </c>
      <c r="BD83" s="47">
        <f>IF($E83=BD$3,$G83,0)-IF($H83=BD$3,$J83,0)</f>
        <v/>
      </c>
      <c r="BE83" s="47">
        <f>IF($E83=BE$3,$G83,0)-IF($H83=BE$3,$J83,0)</f>
        <v/>
      </c>
      <c r="BF83" s="47">
        <f>IF($E83=BF$3,$G83,0)-IF($H83=BF$3,$J83,0)</f>
        <v/>
      </c>
      <c r="BG83" s="47">
        <f>IF($E83=BG$3,$G83,0)-IF($H83=BG$3,$J83,0)</f>
        <v/>
      </c>
      <c r="BH83" s="47">
        <f>IF($E83=BH$3,$G83,0)-IF($H83=BH$3,$J83,0)</f>
        <v/>
      </c>
      <c r="BI83" s="47">
        <f>IF($E83=BI$3,$G83,0)-IF($H83=BI$3,$J83,0)</f>
        <v/>
      </c>
      <c r="BJ83" s="47">
        <f>IF($E83=BJ$3,$G83,0)-IF($H83=BJ$3,$J83,0)</f>
        <v/>
      </c>
      <c r="BK83" s="47">
        <f>IF($E83=BK$3,$G83,0)-IF($H83=BK$3,$J83,0)</f>
        <v/>
      </c>
      <c r="BL83" s="46">
        <f>-IF($E83=BL$3,$G83,0)+IF($H83=BL$3,$J83,0)</f>
        <v/>
      </c>
      <c r="BM83" s="47">
        <f>-IF($E83=BM$3,$G83,0)+IF($H83=BM$3,$J83,0)</f>
        <v/>
      </c>
      <c r="BN83" s="47">
        <f>-IF($E83=BN$3,$G83,0)+IF($H83=BN$3,$J83,0)</f>
        <v/>
      </c>
      <c r="BO83" s="47">
        <f>-IF($E83=BO$3,$G83,0)+IF($H83=BO$3,$J83,0)</f>
        <v/>
      </c>
      <c r="BP83" s="47">
        <f>-IF($E83=BP$3,$G83,0)+IF($H83=BP$3,$J83,0)</f>
        <v/>
      </c>
      <c r="BQ83" s="47">
        <f>-IF($E83=BQ$3,$G83,0)+IF($H83=BQ$3,$J83,0)</f>
        <v/>
      </c>
      <c r="BR83" s="47">
        <f>-IF($E83=BR$3,$G83,0)+IF($H83=BR$3,$J83,0)</f>
        <v/>
      </c>
      <c r="BS83" s="47">
        <f>-IF($E83=BS$3,$G83,0)+IF($H83=BS$3,$J83,0)</f>
        <v/>
      </c>
      <c r="BT83" s="47">
        <f>-IF($E83=BT$3,$G83,0)+IF($H83=BT$3,$J83,0)</f>
        <v/>
      </c>
      <c r="BU83" s="46">
        <f>+G83-J83</f>
        <v/>
      </c>
      <c r="BV83" s="48">
        <f>-IF($E83=BV$3,$G83,0)+IF($H83=BV$3,$J83,0)</f>
        <v/>
      </c>
      <c r="BW83" s="3" t="n"/>
    </row>
    <row r="84" ht="15.75" customHeight="1" s="214">
      <c r="A84" s="7" t="n"/>
      <c r="B84" s="8" t="n">
        <v>3</v>
      </c>
      <c r="C84" s="9" t="n">
        <v>10</v>
      </c>
      <c r="D84" s="10" t="inlineStr">
        <is>
          <t>日経マネー 2026/4</t>
        </is>
      </c>
      <c r="E84" s="247" t="n">
        <v>524</v>
      </c>
      <c r="F84" s="11">
        <f>IF(E84="","",IF(ISNA(VLOOKUP(E84,科目コード表!$C$4:$D$67,2,FALSE)),"該当科目なし",VLOOKUP(E84,科目コード表!$C$4:$D$67,2,FALSE)))</f>
        <v/>
      </c>
      <c r="G84" s="38" t="n">
        <v>880</v>
      </c>
      <c r="H84" s="248" t="n"/>
      <c r="I84" s="11">
        <f>IF(H84="","",IF(ISNA(VLOOKUP(H84,科目コード表!$C$4:$D$67,2,FALSE)),"該当科目なし",VLOOKUP(H84,科目コード表!$C$4:$D$67,2,FALSE)))</f>
        <v/>
      </c>
      <c r="J84" s="40" t="n"/>
      <c r="L84" s="46">
        <f>IF($E84=L$3,$G84,0)-IF($H84=L$3,$J84,0)</f>
        <v/>
      </c>
      <c r="M84" s="47">
        <f>IF($E84=M$3,$G84,0)-IF($H84=M$3,$J84,0)</f>
        <v/>
      </c>
      <c r="N84" s="47">
        <f>IF($E84=N$3,$G84,0)-IF($H84=N$3,$J84,0)</f>
        <v/>
      </c>
      <c r="O84" s="47">
        <f>IF($E84=O$3,$G84,0)-IF($H84=O$3,$J84,0)</f>
        <v/>
      </c>
      <c r="P84" s="47">
        <f>IF($E84=P$3,$G84,0)-IF($H84=P$3,$J84,0)</f>
        <v/>
      </c>
      <c r="Q84" s="47">
        <f>IF($E84=Q$3,$G84,0)-IF($H84=Q$3,$J84,0)</f>
        <v/>
      </c>
      <c r="R84" s="47">
        <f>IF($E84=R$3,$G84,0)-IF($H84=R$3,$J84,0)</f>
        <v/>
      </c>
      <c r="S84" s="47">
        <f>IF($E84=S$3,$G84,0)-IF($H84=S$3,$J84,0)</f>
        <v/>
      </c>
      <c r="T84" s="47">
        <f>IF($E84=T$3,$G84,0)-IF($H84=T$3,$J84,0)</f>
        <v/>
      </c>
      <c r="U84" s="47">
        <f>IF($E84=U$3,$G84,0)-IF($H84=U$3,$J84,0)</f>
        <v/>
      </c>
      <c r="V84" s="47">
        <f>IF($E84=V$3,$G84,0)-IF($H84=V$3,$J84,0)</f>
        <v/>
      </c>
      <c r="W84" s="47">
        <f>IF($E84=W$3,$G84,0)-IF($H84=W$3,$J84,0)</f>
        <v/>
      </c>
      <c r="X84" s="47">
        <f>IF($E84=X$3,$G84,0)-IF($H84=X$3,$J84,0)</f>
        <v/>
      </c>
      <c r="Y84" s="47">
        <f>IF($E84=Y$3,$G84,0)-IF($H84=Y$3,$J84,0)</f>
        <v/>
      </c>
      <c r="Z84" s="47">
        <f>IF($E84=Z$3,$G84,0)-IF($H84=Z$3,$J84,0)</f>
        <v/>
      </c>
      <c r="AA84" s="47">
        <f>IF($E84=AA$3,$G84,0)-IF($H84=AA$3,$J84,0)</f>
        <v/>
      </c>
      <c r="AB84" s="47">
        <f>IF($E84=AB$3,$G84,0)-IF($H84=AB$3,$J84,0)</f>
        <v/>
      </c>
      <c r="AC84" s="47">
        <f>IF($E84=AC$3,$G84,0)-IF($H84=AC$3,$J84,0)</f>
        <v/>
      </c>
      <c r="AD84" s="47">
        <f>IF($E84=AD$3,$G84,0)-IF($H84=AD$3,$J84,0)</f>
        <v/>
      </c>
      <c r="AE84" s="47">
        <f>IF($E84=AE$3,$G84,0)-IF($H84=AE$3,$J84,0)</f>
        <v/>
      </c>
      <c r="AF84" s="47">
        <f>IF($E84=AF$3,$G84,0)-IF($H84=AF$3,$J84,0)</f>
        <v/>
      </c>
      <c r="AG84" s="47">
        <f>IF($E84=AG$3,$G84,0)-IF($H84=AG$3,$J84,0)</f>
        <v/>
      </c>
      <c r="AH84" s="47">
        <f>IF($E84=AH$3,$G84,0)-IF($H84=AH$3,$J84,0)</f>
        <v/>
      </c>
      <c r="AI84" s="47">
        <f>IF($E84=AI$3,$G84,0)-IF($H84=AI$3,$J84,0)</f>
        <v/>
      </c>
      <c r="AJ84" s="47">
        <f>IF($E84=AJ$3,$G84,0)-IF($H84=AJ$3,$J84,0)</f>
        <v/>
      </c>
      <c r="AK84" s="47">
        <f>IF($E84=AK$3,$G84,0)-IF($H84=AK$3,$J84,0)</f>
        <v/>
      </c>
      <c r="AL84" s="48">
        <f>IF($E84=AL$3,$G84,0)-IF($H84=AL$3,$J84,0)</f>
        <v/>
      </c>
      <c r="AM84" s="46">
        <f>-IF($E84=AM$3,$G84,0)+IF($H84=AM$3,$J84,0)</f>
        <v/>
      </c>
      <c r="AN84" s="47">
        <f>-IF($E84=AN$3,$G84,0)+IF($H84=AN$3,$J84,0)</f>
        <v/>
      </c>
      <c r="AO84" s="48">
        <f>-IF($E84=AO$3,$G84,0)+IF($H84=AO$3,$J84,0)</f>
        <v/>
      </c>
      <c r="AP84" s="46">
        <f>IF($E84=AP$3,$G84,0)-IF($H84=AP$3,$J84,0)</f>
        <v/>
      </c>
      <c r="AQ84" s="47">
        <f>IF($E84=AQ$3,$G84,0)-IF($H84=AQ$3,$J84,0)</f>
        <v/>
      </c>
      <c r="AR84" s="47">
        <f>IF($E84=AR$3,$G84,0)-IF($H84=AR$3,$J84,0)</f>
        <v/>
      </c>
      <c r="AS84" s="47">
        <f>IF($E84=AS$3,$G84,0)-IF($H84=AS$3,$J84,0)</f>
        <v/>
      </c>
      <c r="AT84" s="47">
        <f>IF($E84=AT$3,$G84,0)-IF($H84=AT$3,$J84,0)</f>
        <v/>
      </c>
      <c r="AU84" s="47">
        <f>IF($E84=AU$3,$G84,0)-IF($H84=AU$3,$J84,0)</f>
        <v/>
      </c>
      <c r="AV84" s="47">
        <f>IF($E84=AV$3,$G84,0)-IF($H84=AV$3,$J84,0)</f>
        <v/>
      </c>
      <c r="AW84" s="47">
        <f>IF($E84=AW$3,$G84,0)-IF($H84=AW$3,$J84,0)</f>
        <v/>
      </c>
      <c r="AX84" s="47">
        <f>IF($E84=AX$3,$G84,0)-IF($H84=AX$3,$J84,0)</f>
        <v/>
      </c>
      <c r="AY84" s="47">
        <f>IF($E84=AY$3,$G84,0)-IF($H84=AY$3,$J84,0)</f>
        <v/>
      </c>
      <c r="AZ84" s="47">
        <f>IF($E84=AZ$3,$G84,0)-IF($H84=AZ$3,$J84,0)</f>
        <v/>
      </c>
      <c r="BA84" s="47">
        <f>IF($E84=BA$3,$G84,0)-IF($H84=BA$3,$J84,0)</f>
        <v/>
      </c>
      <c r="BB84" s="47">
        <f>IF($E84=BB$3,$G84,0)-IF($H84=BB$3,$J84,0)</f>
        <v/>
      </c>
      <c r="BC84" s="47">
        <f>IF($E84=BC$3,$G84,0)-IF($H84=BC$3,$J84,0)</f>
        <v/>
      </c>
      <c r="BD84" s="47">
        <f>IF($E84=BD$3,$G84,0)-IF($H84=BD$3,$J84,0)</f>
        <v/>
      </c>
      <c r="BE84" s="47">
        <f>IF($E84=BE$3,$G84,0)-IF($H84=BE$3,$J84,0)</f>
        <v/>
      </c>
      <c r="BF84" s="47">
        <f>IF($E84=BF$3,$G84,0)-IF($H84=BF$3,$J84,0)</f>
        <v/>
      </c>
      <c r="BG84" s="47">
        <f>IF($E84=BG$3,$G84,0)-IF($H84=BG$3,$J84,0)</f>
        <v/>
      </c>
      <c r="BH84" s="47">
        <f>IF($E84=BH$3,$G84,0)-IF($H84=BH$3,$J84,0)</f>
        <v/>
      </c>
      <c r="BI84" s="47">
        <f>IF($E84=BI$3,$G84,0)-IF($H84=BI$3,$J84,0)</f>
        <v/>
      </c>
      <c r="BJ84" s="47">
        <f>IF($E84=BJ$3,$G84,0)-IF($H84=BJ$3,$J84,0)</f>
        <v/>
      </c>
      <c r="BK84" s="47">
        <f>IF($E84=BK$3,$G84,0)-IF($H84=BK$3,$J84,0)</f>
        <v/>
      </c>
      <c r="BL84" s="46">
        <f>-IF($E84=BL$3,$G84,0)+IF($H84=BL$3,$J84,0)</f>
        <v/>
      </c>
      <c r="BM84" s="47">
        <f>-IF($E84=BM$3,$G84,0)+IF($H84=BM$3,$J84,0)</f>
        <v/>
      </c>
      <c r="BN84" s="47">
        <f>-IF($E84=BN$3,$G84,0)+IF($H84=BN$3,$J84,0)</f>
        <v/>
      </c>
      <c r="BO84" s="47">
        <f>-IF($E84=BO$3,$G84,0)+IF($H84=BO$3,$J84,0)</f>
        <v/>
      </c>
      <c r="BP84" s="47">
        <f>-IF($E84=BP$3,$G84,0)+IF($H84=BP$3,$J84,0)</f>
        <v/>
      </c>
      <c r="BQ84" s="47">
        <f>-IF($E84=BQ$3,$G84,0)+IF($H84=BQ$3,$J84,0)</f>
        <v/>
      </c>
      <c r="BR84" s="47">
        <f>-IF($E84=BR$3,$G84,0)+IF($H84=BR$3,$J84,0)</f>
        <v/>
      </c>
      <c r="BS84" s="47">
        <f>-IF($E84=BS$3,$G84,0)+IF($H84=BS$3,$J84,0)</f>
        <v/>
      </c>
      <c r="BT84" s="47">
        <f>-IF($E84=BT$3,$G84,0)+IF($H84=BT$3,$J84,0)</f>
        <v/>
      </c>
      <c r="BU84" s="46">
        <f>+G84-J84</f>
        <v/>
      </c>
      <c r="BV84" s="48">
        <f>-IF($E84=BV$3,$G84,0)+IF($H84=BV$3,$J84,0)</f>
        <v/>
      </c>
      <c r="BW84" s="3" t="n"/>
    </row>
    <row r="85" ht="15.75" customHeight="1" s="214">
      <c r="A85" s="7" t="n"/>
      <c r="B85" s="8" t="n">
        <v>3</v>
      </c>
      <c r="C85" s="9" t="n">
        <v>10</v>
      </c>
      <c r="D85" s="10" t="inlineStr">
        <is>
          <t>５年で１億貯める株式投資</t>
        </is>
      </c>
      <c r="E85" s="247" t="n">
        <v>524</v>
      </c>
      <c r="F85" s="11">
        <f>IF(E85="","",IF(ISNA(VLOOKUP(E85,科目コード表!$C$4:$D$67,2,FALSE)),"該当科目なし",VLOOKUP(E85,科目コード表!$C$4:$D$67,2,FALSE)))</f>
        <v/>
      </c>
      <c r="G85" s="38" t="n">
        <v>1870</v>
      </c>
      <c r="H85" s="248" t="n"/>
      <c r="I85" s="11">
        <f>IF(H85="","",IF(ISNA(VLOOKUP(H85,科目コード表!$C$4:$D$67,2,FALSE)),"該当科目なし",VLOOKUP(H85,科目コード表!$C$4:$D$67,2,FALSE)))</f>
        <v/>
      </c>
      <c r="J85" s="40" t="n"/>
      <c r="L85" s="46">
        <f>IF($E85=L$3,$G85,0)-IF($H85=L$3,$J85,0)</f>
        <v/>
      </c>
      <c r="M85" s="47">
        <f>IF($E85=M$3,$G85,0)-IF($H85=M$3,$J85,0)</f>
        <v/>
      </c>
      <c r="N85" s="47">
        <f>IF($E85=N$3,$G85,0)-IF($H85=N$3,$J85,0)</f>
        <v/>
      </c>
      <c r="O85" s="47">
        <f>IF($E85=O$3,$G85,0)-IF($H85=O$3,$J85,0)</f>
        <v/>
      </c>
      <c r="P85" s="47">
        <f>IF($E85=P$3,$G85,0)-IF($H85=P$3,$J85,0)</f>
        <v/>
      </c>
      <c r="Q85" s="47">
        <f>IF($E85=Q$3,$G85,0)-IF($H85=Q$3,$J85,0)</f>
        <v/>
      </c>
      <c r="R85" s="47">
        <f>IF($E85=R$3,$G85,0)-IF($H85=R$3,$J85,0)</f>
        <v/>
      </c>
      <c r="S85" s="47">
        <f>IF($E85=S$3,$G85,0)-IF($H85=S$3,$J85,0)</f>
        <v/>
      </c>
      <c r="T85" s="47">
        <f>IF($E85=T$3,$G85,0)-IF($H85=T$3,$J85,0)</f>
        <v/>
      </c>
      <c r="U85" s="47">
        <f>IF($E85=U$3,$G85,0)-IF($H85=U$3,$J85,0)</f>
        <v/>
      </c>
      <c r="V85" s="47">
        <f>IF($E85=V$3,$G85,0)-IF($H85=V$3,$J85,0)</f>
        <v/>
      </c>
      <c r="W85" s="47">
        <f>IF($E85=W$3,$G85,0)-IF($H85=W$3,$J85,0)</f>
        <v/>
      </c>
      <c r="X85" s="47">
        <f>IF($E85=X$3,$G85,0)-IF($H85=X$3,$J85,0)</f>
        <v/>
      </c>
      <c r="Y85" s="47">
        <f>IF($E85=Y$3,$G85,0)-IF($H85=Y$3,$J85,0)</f>
        <v/>
      </c>
      <c r="Z85" s="47">
        <f>IF($E85=Z$3,$G85,0)-IF($H85=Z$3,$J85,0)</f>
        <v/>
      </c>
      <c r="AA85" s="47">
        <f>IF($E85=AA$3,$G85,0)-IF($H85=AA$3,$J85,0)</f>
        <v/>
      </c>
      <c r="AB85" s="47">
        <f>IF($E85=AB$3,$G85,0)-IF($H85=AB$3,$J85,0)</f>
        <v/>
      </c>
      <c r="AC85" s="47">
        <f>IF($E85=AC$3,$G85,0)-IF($H85=AC$3,$J85,0)</f>
        <v/>
      </c>
      <c r="AD85" s="47">
        <f>IF($E85=AD$3,$G85,0)-IF($H85=AD$3,$J85,0)</f>
        <v/>
      </c>
      <c r="AE85" s="47">
        <f>IF($E85=AE$3,$G85,0)-IF($H85=AE$3,$J85,0)</f>
        <v/>
      </c>
      <c r="AF85" s="47">
        <f>IF($E85=AF$3,$G85,0)-IF($H85=AF$3,$J85,0)</f>
        <v/>
      </c>
      <c r="AG85" s="47">
        <f>IF($E85=AG$3,$G85,0)-IF($H85=AG$3,$J85,0)</f>
        <v/>
      </c>
      <c r="AH85" s="47">
        <f>IF($E85=AH$3,$G85,0)-IF($H85=AH$3,$J85,0)</f>
        <v/>
      </c>
      <c r="AI85" s="47">
        <f>IF($E85=AI$3,$G85,0)-IF($H85=AI$3,$J85,0)</f>
        <v/>
      </c>
      <c r="AJ85" s="47">
        <f>IF($E85=AJ$3,$G85,0)-IF($H85=AJ$3,$J85,0)</f>
        <v/>
      </c>
      <c r="AK85" s="47">
        <f>IF($E85=AK$3,$G85,0)-IF($H85=AK$3,$J85,0)</f>
        <v/>
      </c>
      <c r="AL85" s="48">
        <f>IF($E85=AL$3,$G85,0)-IF($H85=AL$3,$J85,0)</f>
        <v/>
      </c>
      <c r="AM85" s="46">
        <f>-IF($E85=AM$3,$G85,0)+IF($H85=AM$3,$J85,0)</f>
        <v/>
      </c>
      <c r="AN85" s="47">
        <f>-IF($E85=AN$3,$G85,0)+IF($H85=AN$3,$J85,0)</f>
        <v/>
      </c>
      <c r="AO85" s="48">
        <f>-IF($E85=AO$3,$G85,0)+IF($H85=AO$3,$J85,0)</f>
        <v/>
      </c>
      <c r="AP85" s="46">
        <f>IF($E85=AP$3,$G85,0)-IF($H85=AP$3,$J85,0)</f>
        <v/>
      </c>
      <c r="AQ85" s="47">
        <f>IF($E85=AQ$3,$G85,0)-IF($H85=AQ$3,$J85,0)</f>
        <v/>
      </c>
      <c r="AR85" s="47">
        <f>IF($E85=AR$3,$G85,0)-IF($H85=AR$3,$J85,0)</f>
        <v/>
      </c>
      <c r="AS85" s="47">
        <f>IF($E85=AS$3,$G85,0)-IF($H85=AS$3,$J85,0)</f>
        <v/>
      </c>
      <c r="AT85" s="47">
        <f>IF($E85=AT$3,$G85,0)-IF($H85=AT$3,$J85,0)</f>
        <v/>
      </c>
      <c r="AU85" s="47">
        <f>IF($E85=AU$3,$G85,0)-IF($H85=AU$3,$J85,0)</f>
        <v/>
      </c>
      <c r="AV85" s="47">
        <f>IF($E85=AV$3,$G85,0)-IF($H85=AV$3,$J85,0)</f>
        <v/>
      </c>
      <c r="AW85" s="47">
        <f>IF($E85=AW$3,$G85,0)-IF($H85=AW$3,$J85,0)</f>
        <v/>
      </c>
      <c r="AX85" s="47">
        <f>IF($E85=AX$3,$G85,0)-IF($H85=AX$3,$J85,0)</f>
        <v/>
      </c>
      <c r="AY85" s="47">
        <f>IF($E85=AY$3,$G85,0)-IF($H85=AY$3,$J85,0)</f>
        <v/>
      </c>
      <c r="AZ85" s="47">
        <f>IF($E85=AZ$3,$G85,0)-IF($H85=AZ$3,$J85,0)</f>
        <v/>
      </c>
      <c r="BA85" s="47">
        <f>IF($E85=BA$3,$G85,0)-IF($H85=BA$3,$J85,0)</f>
        <v/>
      </c>
      <c r="BB85" s="47">
        <f>IF($E85=BB$3,$G85,0)-IF($H85=BB$3,$J85,0)</f>
        <v/>
      </c>
      <c r="BC85" s="47">
        <f>IF($E85=BC$3,$G85,0)-IF($H85=BC$3,$J85,0)</f>
        <v/>
      </c>
      <c r="BD85" s="47">
        <f>IF($E85=BD$3,$G85,0)-IF($H85=BD$3,$J85,0)</f>
        <v/>
      </c>
      <c r="BE85" s="47">
        <f>IF($E85=BE$3,$G85,0)-IF($H85=BE$3,$J85,0)</f>
        <v/>
      </c>
      <c r="BF85" s="47">
        <f>IF($E85=BF$3,$G85,0)-IF($H85=BF$3,$J85,0)</f>
        <v/>
      </c>
      <c r="BG85" s="47">
        <f>IF($E85=BG$3,$G85,0)-IF($H85=BG$3,$J85,0)</f>
        <v/>
      </c>
      <c r="BH85" s="47">
        <f>IF($E85=BH$3,$G85,0)-IF($H85=BH$3,$J85,0)</f>
        <v/>
      </c>
      <c r="BI85" s="47">
        <f>IF($E85=BI$3,$G85,0)-IF($H85=BI$3,$J85,0)</f>
        <v/>
      </c>
      <c r="BJ85" s="47">
        <f>IF($E85=BJ$3,$G85,0)-IF($H85=BJ$3,$J85,0)</f>
        <v/>
      </c>
      <c r="BK85" s="47">
        <f>IF($E85=BK$3,$G85,0)-IF($H85=BK$3,$J85,0)</f>
        <v/>
      </c>
      <c r="BL85" s="46">
        <f>-IF($E85=BL$3,$G85,0)+IF($H85=BL$3,$J85,0)</f>
        <v/>
      </c>
      <c r="BM85" s="47">
        <f>-IF($E85=BM$3,$G85,0)+IF($H85=BM$3,$J85,0)</f>
        <v/>
      </c>
      <c r="BN85" s="47">
        <f>-IF($E85=BN$3,$G85,0)+IF($H85=BN$3,$J85,0)</f>
        <v/>
      </c>
      <c r="BO85" s="47">
        <f>-IF($E85=BO$3,$G85,0)+IF($H85=BO$3,$J85,0)</f>
        <v/>
      </c>
      <c r="BP85" s="47">
        <f>-IF($E85=BP$3,$G85,0)+IF($H85=BP$3,$J85,0)</f>
        <v/>
      </c>
      <c r="BQ85" s="47">
        <f>-IF($E85=BQ$3,$G85,0)+IF($H85=BQ$3,$J85,0)</f>
        <v/>
      </c>
      <c r="BR85" s="47">
        <f>-IF($E85=BR$3,$G85,0)+IF($H85=BR$3,$J85,0)</f>
        <v/>
      </c>
      <c r="BS85" s="47">
        <f>-IF($E85=BS$3,$G85,0)+IF($H85=BS$3,$J85,0)</f>
        <v/>
      </c>
      <c r="BT85" s="47">
        <f>-IF($E85=BT$3,$G85,0)+IF($H85=BT$3,$J85,0)</f>
        <v/>
      </c>
      <c r="BU85" s="46">
        <f>+G85-J85</f>
        <v/>
      </c>
      <c r="BV85" s="48">
        <f>-IF($E85=BV$3,$G85,0)+IF($H85=BV$3,$J85,0)</f>
        <v/>
      </c>
      <c r="BW85" s="3" t="n"/>
    </row>
    <row r="86" ht="15.75" customHeight="1" s="214">
      <c r="A86" s="7" t="n"/>
      <c r="B86" s="8" t="n"/>
      <c r="C86" s="9" t="n"/>
      <c r="D86" s="10" t="n"/>
      <c r="E86" s="247" t="n"/>
      <c r="F86" s="11">
        <f>IF(E86="","",IF(ISNA(VLOOKUP(E86,科目コード表!$C$4:$D$67,2,FALSE)),"該当科目なし",VLOOKUP(E86,科目コード表!$C$4:$D$67,2,FALSE)))</f>
        <v/>
      </c>
      <c r="G86" s="38" t="n"/>
      <c r="H86" s="248" t="n"/>
      <c r="I86" s="11">
        <f>IF(H86="","",IF(ISNA(VLOOKUP(H86,科目コード表!$C$4:$D$67,2,FALSE)),"該当科目なし",VLOOKUP(H86,科目コード表!$C$4:$D$67,2,FALSE)))</f>
        <v/>
      </c>
      <c r="J86" s="40" t="n"/>
      <c r="L86" s="46">
        <f>IF($E86=L$3,$G86,0)-IF($H86=L$3,$J86,0)</f>
        <v/>
      </c>
      <c r="M86" s="47">
        <f>IF($E86=M$3,$G86,0)-IF($H86=M$3,$J86,0)</f>
        <v/>
      </c>
      <c r="N86" s="47">
        <f>IF($E86=N$3,$G86,0)-IF($H86=N$3,$J86,0)</f>
        <v/>
      </c>
      <c r="O86" s="47">
        <f>IF($E86=O$3,$G86,0)-IF($H86=O$3,$J86,0)</f>
        <v/>
      </c>
      <c r="P86" s="47">
        <f>IF($E86=P$3,$G86,0)-IF($H86=P$3,$J86,0)</f>
        <v/>
      </c>
      <c r="Q86" s="47">
        <f>IF($E86=Q$3,$G86,0)-IF($H86=Q$3,$J86,0)</f>
        <v/>
      </c>
      <c r="R86" s="47">
        <f>IF($E86=R$3,$G86,0)-IF($H86=R$3,$J86,0)</f>
        <v/>
      </c>
      <c r="S86" s="47">
        <f>IF($E86=S$3,$G86,0)-IF($H86=S$3,$J86,0)</f>
        <v/>
      </c>
      <c r="T86" s="47">
        <f>IF($E86=T$3,$G86,0)-IF($H86=T$3,$J86,0)</f>
        <v/>
      </c>
      <c r="U86" s="47">
        <f>IF($E86=U$3,$G86,0)-IF($H86=U$3,$J86,0)</f>
        <v/>
      </c>
      <c r="V86" s="47">
        <f>IF($E86=V$3,$G86,0)-IF($H86=V$3,$J86,0)</f>
        <v/>
      </c>
      <c r="W86" s="47">
        <f>IF($E86=W$3,$G86,0)-IF($H86=W$3,$J86,0)</f>
        <v/>
      </c>
      <c r="X86" s="47">
        <f>IF($E86=X$3,$G86,0)-IF($H86=X$3,$J86,0)</f>
        <v/>
      </c>
      <c r="Y86" s="47">
        <f>IF($E86=Y$3,$G86,0)-IF($H86=Y$3,$J86,0)</f>
        <v/>
      </c>
      <c r="Z86" s="47">
        <f>IF($E86=Z$3,$G86,0)-IF($H86=Z$3,$J86,0)</f>
        <v/>
      </c>
      <c r="AA86" s="47">
        <f>IF($E86=AA$3,$G86,0)-IF($H86=AA$3,$J86,0)</f>
        <v/>
      </c>
      <c r="AB86" s="47">
        <f>IF($E86=AB$3,$G86,0)-IF($H86=AB$3,$J86,0)</f>
        <v/>
      </c>
      <c r="AC86" s="47">
        <f>IF($E86=AC$3,$G86,0)-IF($H86=AC$3,$J86,0)</f>
        <v/>
      </c>
      <c r="AD86" s="47">
        <f>IF($E86=AD$3,$G86,0)-IF($H86=AD$3,$J86,0)</f>
        <v/>
      </c>
      <c r="AE86" s="47">
        <f>IF($E86=AE$3,$G86,0)-IF($H86=AE$3,$J86,0)</f>
        <v/>
      </c>
      <c r="AF86" s="47">
        <f>IF($E86=AF$3,$G86,0)-IF($H86=AF$3,$J86,0)</f>
        <v/>
      </c>
      <c r="AG86" s="47">
        <f>IF($E86=AG$3,$G86,0)-IF($H86=AG$3,$J86,0)</f>
        <v/>
      </c>
      <c r="AH86" s="47">
        <f>IF($E86=AH$3,$G86,0)-IF($H86=AH$3,$J86,0)</f>
        <v/>
      </c>
      <c r="AI86" s="47">
        <f>IF($E86=AI$3,$G86,0)-IF($H86=AI$3,$J86,0)</f>
        <v/>
      </c>
      <c r="AJ86" s="47">
        <f>IF($E86=AJ$3,$G86,0)-IF($H86=AJ$3,$J86,0)</f>
        <v/>
      </c>
      <c r="AK86" s="47">
        <f>IF($E86=AK$3,$G86,0)-IF($H86=AK$3,$J86,0)</f>
        <v/>
      </c>
      <c r="AL86" s="48">
        <f>IF($E86=AL$3,$G86,0)-IF($H86=AL$3,$J86,0)</f>
        <v/>
      </c>
      <c r="AM86" s="46">
        <f>-IF($E86=AM$3,$G86,0)+IF($H86=AM$3,$J86,0)</f>
        <v/>
      </c>
      <c r="AN86" s="47">
        <f>-IF($E86=AN$3,$G86,0)+IF($H86=AN$3,$J86,0)</f>
        <v/>
      </c>
      <c r="AO86" s="48">
        <f>-IF($E86=AO$3,$G86,0)+IF($H86=AO$3,$J86,0)</f>
        <v/>
      </c>
      <c r="AP86" s="46">
        <f>IF($E86=AP$3,$G86,0)-IF($H86=AP$3,$J86,0)</f>
        <v/>
      </c>
      <c r="AQ86" s="47">
        <f>IF($E86=AQ$3,$G86,0)-IF($H86=AQ$3,$J86,0)</f>
        <v/>
      </c>
      <c r="AR86" s="47">
        <f>IF($E86=AR$3,$G86,0)-IF($H86=AR$3,$J86,0)</f>
        <v/>
      </c>
      <c r="AS86" s="47">
        <f>IF($E86=AS$3,$G86,0)-IF($H86=AS$3,$J86,0)</f>
        <v/>
      </c>
      <c r="AT86" s="47">
        <f>IF($E86=AT$3,$G86,0)-IF($H86=AT$3,$J86,0)</f>
        <v/>
      </c>
      <c r="AU86" s="47">
        <f>IF($E86=AU$3,$G86,0)-IF($H86=AU$3,$J86,0)</f>
        <v/>
      </c>
      <c r="AV86" s="47">
        <f>IF($E86=AV$3,$G86,0)-IF($H86=AV$3,$J86,0)</f>
        <v/>
      </c>
      <c r="AW86" s="47">
        <f>IF($E86=AW$3,$G86,0)-IF($H86=AW$3,$J86,0)</f>
        <v/>
      </c>
      <c r="AX86" s="47">
        <f>IF($E86=AX$3,$G86,0)-IF($H86=AX$3,$J86,0)</f>
        <v/>
      </c>
      <c r="AY86" s="47">
        <f>IF($E86=AY$3,$G86,0)-IF($H86=AY$3,$J86,0)</f>
        <v/>
      </c>
      <c r="AZ86" s="47">
        <f>IF($E86=AZ$3,$G86,0)-IF($H86=AZ$3,$J86,0)</f>
        <v/>
      </c>
      <c r="BA86" s="47">
        <f>IF($E86=BA$3,$G86,0)-IF($H86=BA$3,$J86,0)</f>
        <v/>
      </c>
      <c r="BB86" s="47">
        <f>IF($E86=BB$3,$G86,0)-IF($H86=BB$3,$J86,0)</f>
        <v/>
      </c>
      <c r="BC86" s="47">
        <f>IF($E86=BC$3,$G86,0)-IF($H86=BC$3,$J86,0)</f>
        <v/>
      </c>
      <c r="BD86" s="47">
        <f>IF($E86=BD$3,$G86,0)-IF($H86=BD$3,$J86,0)</f>
        <v/>
      </c>
      <c r="BE86" s="47">
        <f>IF($E86=BE$3,$G86,0)-IF($H86=BE$3,$J86,0)</f>
        <v/>
      </c>
      <c r="BF86" s="47">
        <f>IF($E86=BF$3,$G86,0)-IF($H86=BF$3,$J86,0)</f>
        <v/>
      </c>
      <c r="BG86" s="47">
        <f>IF($E86=BG$3,$G86,0)-IF($H86=BG$3,$J86,0)</f>
        <v/>
      </c>
      <c r="BH86" s="47">
        <f>IF($E86=BH$3,$G86,0)-IF($H86=BH$3,$J86,0)</f>
        <v/>
      </c>
      <c r="BI86" s="47">
        <f>IF($E86=BI$3,$G86,0)-IF($H86=BI$3,$J86,0)</f>
        <v/>
      </c>
      <c r="BJ86" s="47">
        <f>IF($E86=BJ$3,$G86,0)-IF($H86=BJ$3,$J86,0)</f>
        <v/>
      </c>
      <c r="BK86" s="47">
        <f>IF($E86=BK$3,$G86,0)-IF($H86=BK$3,$J86,0)</f>
        <v/>
      </c>
      <c r="BL86" s="46">
        <f>-IF($E86=BL$3,$G86,0)+IF($H86=BL$3,$J86,0)</f>
        <v/>
      </c>
      <c r="BM86" s="47">
        <f>-IF($E86=BM$3,$G86,0)+IF($H86=BM$3,$J86,0)</f>
        <v/>
      </c>
      <c r="BN86" s="47">
        <f>-IF($E86=BN$3,$G86,0)+IF($H86=BN$3,$J86,0)</f>
        <v/>
      </c>
      <c r="BO86" s="47">
        <f>-IF($E86=BO$3,$G86,0)+IF($H86=BO$3,$J86,0)</f>
        <v/>
      </c>
      <c r="BP86" s="47">
        <f>-IF($E86=BP$3,$G86,0)+IF($H86=BP$3,$J86,0)</f>
        <v/>
      </c>
      <c r="BQ86" s="47">
        <f>-IF($E86=BQ$3,$G86,0)+IF($H86=BQ$3,$J86,0)</f>
        <v/>
      </c>
      <c r="BR86" s="47">
        <f>-IF($E86=BR$3,$G86,0)+IF($H86=BR$3,$J86,0)</f>
        <v/>
      </c>
      <c r="BS86" s="47">
        <f>-IF($E86=BS$3,$G86,0)+IF($H86=BS$3,$J86,0)</f>
        <v/>
      </c>
      <c r="BT86" s="47">
        <f>-IF($E86=BT$3,$G86,0)+IF($H86=BT$3,$J86,0)</f>
        <v/>
      </c>
      <c r="BU86" s="46">
        <f>+G86-J86</f>
        <v/>
      </c>
      <c r="BV86" s="48">
        <f>-IF($E86=BV$3,$G86,0)+IF($H86=BV$3,$J86,0)</f>
        <v/>
      </c>
      <c r="BW86" s="3" t="n"/>
    </row>
    <row r="87" ht="15.75" customHeight="1" s="214">
      <c r="A87" s="7" t="n"/>
      <c r="B87" s="8" t="n"/>
      <c r="C87" s="9" t="n"/>
      <c r="D87" s="10" t="n"/>
      <c r="E87" s="247" t="n"/>
      <c r="F87" s="11">
        <f>IF(E87="","",IF(ISNA(VLOOKUP(E87,科目コード表!$C$4:$D$67,2,FALSE)),"該当科目なし",VLOOKUP(E87,科目コード表!$C$4:$D$67,2,FALSE)))</f>
        <v/>
      </c>
      <c r="G87" s="38" t="n"/>
      <c r="H87" s="248" t="n"/>
      <c r="I87" s="11">
        <f>IF(H87="","",IF(ISNA(VLOOKUP(H87,科目コード表!$C$4:$D$67,2,FALSE)),"該当科目なし",VLOOKUP(H87,科目コード表!$C$4:$D$67,2,FALSE)))</f>
        <v/>
      </c>
      <c r="J87" s="40" t="n"/>
      <c r="L87" s="46">
        <f>IF($E87=L$3,$G87,0)-IF($H87=L$3,$J87,0)</f>
        <v/>
      </c>
      <c r="M87" s="47">
        <f>IF($E87=M$3,$G87,0)-IF($H87=M$3,$J87,0)</f>
        <v/>
      </c>
      <c r="N87" s="47">
        <f>IF($E87=N$3,$G87,0)-IF($H87=N$3,$J87,0)</f>
        <v/>
      </c>
      <c r="O87" s="47">
        <f>IF($E87=O$3,$G87,0)-IF($H87=O$3,$J87,0)</f>
        <v/>
      </c>
      <c r="P87" s="47">
        <f>IF($E87=P$3,$G87,0)-IF($H87=P$3,$J87,0)</f>
        <v/>
      </c>
      <c r="Q87" s="47">
        <f>IF($E87=Q$3,$G87,0)-IF($H87=Q$3,$J87,0)</f>
        <v/>
      </c>
      <c r="R87" s="47">
        <f>IF($E87=R$3,$G87,0)-IF($H87=R$3,$J87,0)</f>
        <v/>
      </c>
      <c r="S87" s="47">
        <f>IF($E87=S$3,$G87,0)-IF($H87=S$3,$J87,0)</f>
        <v/>
      </c>
      <c r="T87" s="47">
        <f>IF($E87=T$3,$G87,0)-IF($H87=T$3,$J87,0)</f>
        <v/>
      </c>
      <c r="U87" s="47">
        <f>IF($E87=U$3,$G87,0)-IF($H87=U$3,$J87,0)</f>
        <v/>
      </c>
      <c r="V87" s="47">
        <f>IF($E87=V$3,$G87,0)-IF($H87=V$3,$J87,0)</f>
        <v/>
      </c>
      <c r="W87" s="47">
        <f>IF($E87=W$3,$G87,0)-IF($H87=W$3,$J87,0)</f>
        <v/>
      </c>
      <c r="X87" s="47">
        <f>IF($E87=X$3,$G87,0)-IF($H87=X$3,$J87,0)</f>
        <v/>
      </c>
      <c r="Y87" s="47">
        <f>IF($E87=Y$3,$G87,0)-IF($H87=Y$3,$J87,0)</f>
        <v/>
      </c>
      <c r="Z87" s="47">
        <f>IF($E87=Z$3,$G87,0)-IF($H87=Z$3,$J87,0)</f>
        <v/>
      </c>
      <c r="AA87" s="47">
        <f>IF($E87=AA$3,$G87,0)-IF($H87=AA$3,$J87,0)</f>
        <v/>
      </c>
      <c r="AB87" s="47">
        <f>IF($E87=AB$3,$G87,0)-IF($H87=AB$3,$J87,0)</f>
        <v/>
      </c>
      <c r="AC87" s="47">
        <f>IF($E87=AC$3,$G87,0)-IF($H87=AC$3,$J87,0)</f>
        <v/>
      </c>
      <c r="AD87" s="47">
        <f>IF($E87=AD$3,$G87,0)-IF($H87=AD$3,$J87,0)</f>
        <v/>
      </c>
      <c r="AE87" s="47">
        <f>IF($E87=AE$3,$G87,0)-IF($H87=AE$3,$J87,0)</f>
        <v/>
      </c>
      <c r="AF87" s="47">
        <f>IF($E87=AF$3,$G87,0)-IF($H87=AF$3,$J87,0)</f>
        <v/>
      </c>
      <c r="AG87" s="47">
        <f>IF($E87=AG$3,$G87,0)-IF($H87=AG$3,$J87,0)</f>
        <v/>
      </c>
      <c r="AH87" s="47">
        <f>IF($E87=AH$3,$G87,0)-IF($H87=AH$3,$J87,0)</f>
        <v/>
      </c>
      <c r="AI87" s="47">
        <f>IF($E87=AI$3,$G87,0)-IF($H87=AI$3,$J87,0)</f>
        <v/>
      </c>
      <c r="AJ87" s="47">
        <f>IF($E87=AJ$3,$G87,0)-IF($H87=AJ$3,$J87,0)</f>
        <v/>
      </c>
      <c r="AK87" s="47">
        <f>IF($E87=AK$3,$G87,0)-IF($H87=AK$3,$J87,0)</f>
        <v/>
      </c>
      <c r="AL87" s="48">
        <f>IF($E87=AL$3,$G87,0)-IF($H87=AL$3,$J87,0)</f>
        <v/>
      </c>
      <c r="AM87" s="46">
        <f>-IF($E87=AM$3,$G87,0)+IF($H87=AM$3,$J87,0)</f>
        <v/>
      </c>
      <c r="AN87" s="47">
        <f>-IF($E87=AN$3,$G87,0)+IF($H87=AN$3,$J87,0)</f>
        <v/>
      </c>
      <c r="AO87" s="48">
        <f>-IF($E87=AO$3,$G87,0)+IF($H87=AO$3,$J87,0)</f>
        <v/>
      </c>
      <c r="AP87" s="46">
        <f>IF($E87=AP$3,$G87,0)-IF($H87=AP$3,$J87,0)</f>
        <v/>
      </c>
      <c r="AQ87" s="47">
        <f>IF($E87=AQ$3,$G87,0)-IF($H87=AQ$3,$J87,0)</f>
        <v/>
      </c>
      <c r="AR87" s="47">
        <f>IF($E87=AR$3,$G87,0)-IF($H87=AR$3,$J87,0)</f>
        <v/>
      </c>
      <c r="AS87" s="47">
        <f>IF($E87=AS$3,$G87,0)-IF($H87=AS$3,$J87,0)</f>
        <v/>
      </c>
      <c r="AT87" s="47">
        <f>IF($E87=AT$3,$G87,0)-IF($H87=AT$3,$J87,0)</f>
        <v/>
      </c>
      <c r="AU87" s="47">
        <f>IF($E87=AU$3,$G87,0)-IF($H87=AU$3,$J87,0)</f>
        <v/>
      </c>
      <c r="AV87" s="47">
        <f>IF($E87=AV$3,$G87,0)-IF($H87=AV$3,$J87,0)</f>
        <v/>
      </c>
      <c r="AW87" s="47">
        <f>IF($E87=AW$3,$G87,0)-IF($H87=AW$3,$J87,0)</f>
        <v/>
      </c>
      <c r="AX87" s="47">
        <f>IF($E87=AX$3,$G87,0)-IF($H87=AX$3,$J87,0)</f>
        <v/>
      </c>
      <c r="AY87" s="47">
        <f>IF($E87=AY$3,$G87,0)-IF($H87=AY$3,$J87,0)</f>
        <v/>
      </c>
      <c r="AZ87" s="47">
        <f>IF($E87=AZ$3,$G87,0)-IF($H87=AZ$3,$J87,0)</f>
        <v/>
      </c>
      <c r="BA87" s="47">
        <f>IF($E87=BA$3,$G87,0)-IF($H87=BA$3,$J87,0)</f>
        <v/>
      </c>
      <c r="BB87" s="47">
        <f>IF($E87=BB$3,$G87,0)-IF($H87=BB$3,$J87,0)</f>
        <v/>
      </c>
      <c r="BC87" s="47">
        <f>IF($E87=BC$3,$G87,0)-IF($H87=BC$3,$J87,0)</f>
        <v/>
      </c>
      <c r="BD87" s="47">
        <f>IF($E87=BD$3,$G87,0)-IF($H87=BD$3,$J87,0)</f>
        <v/>
      </c>
      <c r="BE87" s="47">
        <f>IF($E87=BE$3,$G87,0)-IF($H87=BE$3,$J87,0)</f>
        <v/>
      </c>
      <c r="BF87" s="47">
        <f>IF($E87=BF$3,$G87,0)-IF($H87=BF$3,$J87,0)</f>
        <v/>
      </c>
      <c r="BG87" s="47">
        <f>IF($E87=BG$3,$G87,0)-IF($H87=BG$3,$J87,0)</f>
        <v/>
      </c>
      <c r="BH87" s="47">
        <f>IF($E87=BH$3,$G87,0)-IF($H87=BH$3,$J87,0)</f>
        <v/>
      </c>
      <c r="BI87" s="47">
        <f>IF($E87=BI$3,$G87,0)-IF($H87=BI$3,$J87,0)</f>
        <v/>
      </c>
      <c r="BJ87" s="47">
        <f>IF($E87=BJ$3,$G87,0)-IF($H87=BJ$3,$J87,0)</f>
        <v/>
      </c>
      <c r="BK87" s="47">
        <f>IF($E87=BK$3,$G87,0)-IF($H87=BK$3,$J87,0)</f>
        <v/>
      </c>
      <c r="BL87" s="46">
        <f>-IF($E87=BL$3,$G87,0)+IF($H87=BL$3,$J87,0)</f>
        <v/>
      </c>
      <c r="BM87" s="47">
        <f>-IF($E87=BM$3,$G87,0)+IF($H87=BM$3,$J87,0)</f>
        <v/>
      </c>
      <c r="BN87" s="47">
        <f>-IF($E87=BN$3,$G87,0)+IF($H87=BN$3,$J87,0)</f>
        <v/>
      </c>
      <c r="BO87" s="47">
        <f>-IF($E87=BO$3,$G87,0)+IF($H87=BO$3,$J87,0)</f>
        <v/>
      </c>
      <c r="BP87" s="47">
        <f>-IF($E87=BP$3,$G87,0)+IF($H87=BP$3,$J87,0)</f>
        <v/>
      </c>
      <c r="BQ87" s="47">
        <f>-IF($E87=BQ$3,$G87,0)+IF($H87=BQ$3,$J87,0)</f>
        <v/>
      </c>
      <c r="BR87" s="47">
        <f>-IF($E87=BR$3,$G87,0)+IF($H87=BR$3,$J87,0)</f>
        <v/>
      </c>
      <c r="BS87" s="47">
        <f>-IF($E87=BS$3,$G87,0)+IF($H87=BS$3,$J87,0)</f>
        <v/>
      </c>
      <c r="BT87" s="47">
        <f>-IF($E87=BT$3,$G87,0)+IF($H87=BT$3,$J87,0)</f>
        <v/>
      </c>
      <c r="BU87" s="46">
        <f>+G87-J87</f>
        <v/>
      </c>
      <c r="BV87" s="48">
        <f>-IF($E87=BV$3,$G87,0)+IF($H87=BV$3,$J87,0)</f>
        <v/>
      </c>
      <c r="BW87" s="3" t="n"/>
    </row>
    <row r="88" ht="15.75" customHeight="1" s="214">
      <c r="A88" s="7" t="n"/>
      <c r="B88" s="8" t="n"/>
      <c r="C88" s="9" t="n"/>
      <c r="D88" s="10" t="n"/>
      <c r="E88" s="247" t="n"/>
      <c r="F88" s="11">
        <f>IF(E88="","",IF(ISNA(VLOOKUP(E88,科目コード表!$C$4:$D$67,2,FALSE)),"該当科目なし",VLOOKUP(E88,科目コード表!$C$4:$D$67,2,FALSE)))</f>
        <v/>
      </c>
      <c r="G88" s="38" t="n"/>
      <c r="H88" s="248" t="n"/>
      <c r="I88" s="11">
        <f>IF(H88="","",IF(ISNA(VLOOKUP(H88,科目コード表!$C$4:$D$67,2,FALSE)),"該当科目なし",VLOOKUP(H88,科目コード表!$C$4:$D$67,2,FALSE)))</f>
        <v/>
      </c>
      <c r="J88" s="40" t="n"/>
      <c r="L88" s="46">
        <f>IF($E88=L$3,$G88,0)-IF($H88=L$3,$J88,0)</f>
        <v/>
      </c>
      <c r="M88" s="47">
        <f>IF($E88=M$3,$G88,0)-IF($H88=M$3,$J88,0)</f>
        <v/>
      </c>
      <c r="N88" s="47">
        <f>IF($E88=N$3,$G88,0)-IF($H88=N$3,$J88,0)</f>
        <v/>
      </c>
      <c r="O88" s="47">
        <f>IF($E88=O$3,$G88,0)-IF($H88=O$3,$J88,0)</f>
        <v/>
      </c>
      <c r="P88" s="47">
        <f>IF($E88=P$3,$G88,0)-IF($H88=P$3,$J88,0)</f>
        <v/>
      </c>
      <c r="Q88" s="47">
        <f>IF($E88=Q$3,$G88,0)-IF($H88=Q$3,$J88,0)</f>
        <v/>
      </c>
      <c r="R88" s="47">
        <f>IF($E88=R$3,$G88,0)-IF($H88=R$3,$J88,0)</f>
        <v/>
      </c>
      <c r="S88" s="47">
        <f>IF($E88=S$3,$G88,0)-IF($H88=S$3,$J88,0)</f>
        <v/>
      </c>
      <c r="T88" s="47">
        <f>IF($E88=T$3,$G88,0)-IF($H88=T$3,$J88,0)</f>
        <v/>
      </c>
      <c r="U88" s="47">
        <f>IF($E88=U$3,$G88,0)-IF($H88=U$3,$J88,0)</f>
        <v/>
      </c>
      <c r="V88" s="47">
        <f>IF($E88=V$3,$G88,0)-IF($H88=V$3,$J88,0)</f>
        <v/>
      </c>
      <c r="W88" s="47">
        <f>IF($E88=W$3,$G88,0)-IF($H88=W$3,$J88,0)</f>
        <v/>
      </c>
      <c r="X88" s="47">
        <f>IF($E88=X$3,$G88,0)-IF($H88=X$3,$J88,0)</f>
        <v/>
      </c>
      <c r="Y88" s="47">
        <f>IF($E88=Y$3,$G88,0)-IF($H88=Y$3,$J88,0)</f>
        <v/>
      </c>
      <c r="Z88" s="47">
        <f>IF($E88=Z$3,$G88,0)-IF($H88=Z$3,$J88,0)</f>
        <v/>
      </c>
      <c r="AA88" s="47">
        <f>IF($E88=AA$3,$G88,0)-IF($H88=AA$3,$J88,0)</f>
        <v/>
      </c>
      <c r="AB88" s="47">
        <f>IF($E88=AB$3,$G88,0)-IF($H88=AB$3,$J88,0)</f>
        <v/>
      </c>
      <c r="AC88" s="47">
        <f>IF($E88=AC$3,$G88,0)-IF($H88=AC$3,$J88,0)</f>
        <v/>
      </c>
      <c r="AD88" s="47">
        <f>IF($E88=AD$3,$G88,0)-IF($H88=AD$3,$J88,0)</f>
        <v/>
      </c>
      <c r="AE88" s="47">
        <f>IF($E88=AE$3,$G88,0)-IF($H88=AE$3,$J88,0)</f>
        <v/>
      </c>
      <c r="AF88" s="47">
        <f>IF($E88=AF$3,$G88,0)-IF($H88=AF$3,$J88,0)</f>
        <v/>
      </c>
      <c r="AG88" s="47">
        <f>IF($E88=AG$3,$G88,0)-IF($H88=AG$3,$J88,0)</f>
        <v/>
      </c>
      <c r="AH88" s="47">
        <f>IF($E88=AH$3,$G88,0)-IF($H88=AH$3,$J88,0)</f>
        <v/>
      </c>
      <c r="AI88" s="47">
        <f>IF($E88=AI$3,$G88,0)-IF($H88=AI$3,$J88,0)</f>
        <v/>
      </c>
      <c r="AJ88" s="47">
        <f>IF($E88=AJ$3,$G88,0)-IF($H88=AJ$3,$J88,0)</f>
        <v/>
      </c>
      <c r="AK88" s="47">
        <f>IF($E88=AK$3,$G88,0)-IF($H88=AK$3,$J88,0)</f>
        <v/>
      </c>
      <c r="AL88" s="48">
        <f>IF($E88=AL$3,$G88,0)-IF($H88=AL$3,$J88,0)</f>
        <v/>
      </c>
      <c r="AM88" s="46">
        <f>-IF($E88=AM$3,$G88,0)+IF($H88=AM$3,$J88,0)</f>
        <v/>
      </c>
      <c r="AN88" s="47">
        <f>-IF($E88=AN$3,$G88,0)+IF($H88=AN$3,$J88,0)</f>
        <v/>
      </c>
      <c r="AO88" s="48">
        <f>-IF($E88=AO$3,$G88,0)+IF($H88=AO$3,$J88,0)</f>
        <v/>
      </c>
      <c r="AP88" s="46">
        <f>IF($E88=AP$3,$G88,0)-IF($H88=AP$3,$J88,0)</f>
        <v/>
      </c>
      <c r="AQ88" s="47">
        <f>IF($E88=AQ$3,$G88,0)-IF($H88=AQ$3,$J88,0)</f>
        <v/>
      </c>
      <c r="AR88" s="47">
        <f>IF($E88=AR$3,$G88,0)-IF($H88=AR$3,$J88,0)</f>
        <v/>
      </c>
      <c r="AS88" s="47">
        <f>IF($E88=AS$3,$G88,0)-IF($H88=AS$3,$J88,0)</f>
        <v/>
      </c>
      <c r="AT88" s="47">
        <f>IF($E88=AT$3,$G88,0)-IF($H88=AT$3,$J88,0)</f>
        <v/>
      </c>
      <c r="AU88" s="47">
        <f>IF($E88=AU$3,$G88,0)-IF($H88=AU$3,$J88,0)</f>
        <v/>
      </c>
      <c r="AV88" s="47">
        <f>IF($E88=AV$3,$G88,0)-IF($H88=AV$3,$J88,0)</f>
        <v/>
      </c>
      <c r="AW88" s="47">
        <f>IF($E88=AW$3,$G88,0)-IF($H88=AW$3,$J88,0)</f>
        <v/>
      </c>
      <c r="AX88" s="47">
        <f>IF($E88=AX$3,$G88,0)-IF($H88=AX$3,$J88,0)</f>
        <v/>
      </c>
      <c r="AY88" s="47">
        <f>IF($E88=AY$3,$G88,0)-IF($H88=AY$3,$J88,0)</f>
        <v/>
      </c>
      <c r="AZ88" s="47">
        <f>IF($E88=AZ$3,$G88,0)-IF($H88=AZ$3,$J88,0)</f>
        <v/>
      </c>
      <c r="BA88" s="47">
        <f>IF($E88=BA$3,$G88,0)-IF($H88=BA$3,$J88,0)</f>
        <v/>
      </c>
      <c r="BB88" s="47">
        <f>IF($E88=BB$3,$G88,0)-IF($H88=BB$3,$J88,0)</f>
        <v/>
      </c>
      <c r="BC88" s="47">
        <f>IF($E88=BC$3,$G88,0)-IF($H88=BC$3,$J88,0)</f>
        <v/>
      </c>
      <c r="BD88" s="47">
        <f>IF($E88=BD$3,$G88,0)-IF($H88=BD$3,$J88,0)</f>
        <v/>
      </c>
      <c r="BE88" s="47">
        <f>IF($E88=BE$3,$G88,0)-IF($H88=BE$3,$J88,0)</f>
        <v/>
      </c>
      <c r="BF88" s="47">
        <f>IF($E88=BF$3,$G88,0)-IF($H88=BF$3,$J88,0)</f>
        <v/>
      </c>
      <c r="BG88" s="47">
        <f>IF($E88=BG$3,$G88,0)-IF($H88=BG$3,$J88,0)</f>
        <v/>
      </c>
      <c r="BH88" s="47">
        <f>IF($E88=BH$3,$G88,0)-IF($H88=BH$3,$J88,0)</f>
        <v/>
      </c>
      <c r="BI88" s="47">
        <f>IF($E88=BI$3,$G88,0)-IF($H88=BI$3,$J88,0)</f>
        <v/>
      </c>
      <c r="BJ88" s="47">
        <f>IF($E88=BJ$3,$G88,0)-IF($H88=BJ$3,$J88,0)</f>
        <v/>
      </c>
      <c r="BK88" s="47">
        <f>IF($E88=BK$3,$G88,0)-IF($H88=BK$3,$J88,0)</f>
        <v/>
      </c>
      <c r="BL88" s="46">
        <f>-IF($E88=BL$3,$G88,0)+IF($H88=BL$3,$J88,0)</f>
        <v/>
      </c>
      <c r="BM88" s="47">
        <f>-IF($E88=BM$3,$G88,0)+IF($H88=BM$3,$J88,0)</f>
        <v/>
      </c>
      <c r="BN88" s="47">
        <f>-IF($E88=BN$3,$G88,0)+IF($H88=BN$3,$J88,0)</f>
        <v/>
      </c>
      <c r="BO88" s="47">
        <f>-IF($E88=BO$3,$G88,0)+IF($H88=BO$3,$J88,0)</f>
        <v/>
      </c>
      <c r="BP88" s="47">
        <f>-IF($E88=BP$3,$G88,0)+IF($H88=BP$3,$J88,0)</f>
        <v/>
      </c>
      <c r="BQ88" s="47">
        <f>-IF($E88=BQ$3,$G88,0)+IF($H88=BQ$3,$J88,0)</f>
        <v/>
      </c>
      <c r="BR88" s="47">
        <f>-IF($E88=BR$3,$G88,0)+IF($H88=BR$3,$J88,0)</f>
        <v/>
      </c>
      <c r="BS88" s="47">
        <f>-IF($E88=BS$3,$G88,0)+IF($H88=BS$3,$J88,0)</f>
        <v/>
      </c>
      <c r="BT88" s="47">
        <f>-IF($E88=BT$3,$G88,0)+IF($H88=BT$3,$J88,0)</f>
        <v/>
      </c>
      <c r="BU88" s="46">
        <f>+G88-J88</f>
        <v/>
      </c>
      <c r="BV88" s="48">
        <f>-IF($E88=BV$3,$G88,0)+IF($H88=BV$3,$J88,0)</f>
        <v/>
      </c>
      <c r="BW88" s="3" t="n"/>
    </row>
    <row r="89" ht="15.75" customHeight="1" s="214">
      <c r="A89" s="7" t="n"/>
      <c r="B89" s="8" t="n"/>
      <c r="C89" s="9" t="n"/>
      <c r="D89" s="10" t="n"/>
      <c r="E89" s="247" t="n"/>
      <c r="F89" s="11">
        <f>IF(E89="","",IF(ISNA(VLOOKUP(E89,科目コード表!$C$4:$D$67,2,FALSE)),"該当科目なし",VLOOKUP(E89,科目コード表!$C$4:$D$67,2,FALSE)))</f>
        <v/>
      </c>
      <c r="G89" s="38" t="n"/>
      <c r="H89" s="248" t="n"/>
      <c r="I89" s="11">
        <f>IF(H89="","",IF(ISNA(VLOOKUP(H89,科目コード表!$C$4:$D$67,2,FALSE)),"該当科目なし",VLOOKUP(H89,科目コード表!$C$4:$D$67,2,FALSE)))</f>
        <v/>
      </c>
      <c r="J89" s="40" t="n"/>
      <c r="L89" s="46">
        <f>IF($E89=L$3,$G89,0)-IF($H89=L$3,$J89,0)</f>
        <v/>
      </c>
      <c r="M89" s="47">
        <f>IF($E89=M$3,$G89,0)-IF($H89=M$3,$J89,0)</f>
        <v/>
      </c>
      <c r="N89" s="47">
        <f>IF($E89=N$3,$G89,0)-IF($H89=N$3,$J89,0)</f>
        <v/>
      </c>
      <c r="O89" s="47">
        <f>IF($E89=O$3,$G89,0)-IF($H89=O$3,$J89,0)</f>
        <v/>
      </c>
      <c r="P89" s="47">
        <f>IF($E89=P$3,$G89,0)-IF($H89=P$3,$J89,0)</f>
        <v/>
      </c>
      <c r="Q89" s="47">
        <f>IF($E89=Q$3,$G89,0)-IF($H89=Q$3,$J89,0)</f>
        <v/>
      </c>
      <c r="R89" s="47">
        <f>IF($E89=R$3,$G89,0)-IF($H89=R$3,$J89,0)</f>
        <v/>
      </c>
      <c r="S89" s="47">
        <f>IF($E89=S$3,$G89,0)-IF($H89=S$3,$J89,0)</f>
        <v/>
      </c>
      <c r="T89" s="47">
        <f>IF($E89=T$3,$G89,0)-IF($H89=T$3,$J89,0)</f>
        <v/>
      </c>
      <c r="U89" s="47">
        <f>IF($E89=U$3,$G89,0)-IF($H89=U$3,$J89,0)</f>
        <v/>
      </c>
      <c r="V89" s="47">
        <f>IF($E89=V$3,$G89,0)-IF($H89=V$3,$J89,0)</f>
        <v/>
      </c>
      <c r="W89" s="47">
        <f>IF($E89=W$3,$G89,0)-IF($H89=W$3,$J89,0)</f>
        <v/>
      </c>
      <c r="X89" s="47">
        <f>IF($E89=X$3,$G89,0)-IF($H89=X$3,$J89,0)</f>
        <v/>
      </c>
      <c r="Y89" s="47">
        <f>IF($E89=Y$3,$G89,0)-IF($H89=Y$3,$J89,0)</f>
        <v/>
      </c>
      <c r="Z89" s="47">
        <f>IF($E89=Z$3,$G89,0)-IF($H89=Z$3,$J89,0)</f>
        <v/>
      </c>
      <c r="AA89" s="47">
        <f>IF($E89=AA$3,$G89,0)-IF($H89=AA$3,$J89,0)</f>
        <v/>
      </c>
      <c r="AB89" s="47">
        <f>IF($E89=AB$3,$G89,0)-IF($H89=AB$3,$J89,0)</f>
        <v/>
      </c>
      <c r="AC89" s="47">
        <f>IF($E89=AC$3,$G89,0)-IF($H89=AC$3,$J89,0)</f>
        <v/>
      </c>
      <c r="AD89" s="47">
        <f>IF($E89=AD$3,$G89,0)-IF($H89=AD$3,$J89,0)</f>
        <v/>
      </c>
      <c r="AE89" s="47">
        <f>IF($E89=AE$3,$G89,0)-IF($H89=AE$3,$J89,0)</f>
        <v/>
      </c>
      <c r="AF89" s="47">
        <f>IF($E89=AF$3,$G89,0)-IF($H89=AF$3,$J89,0)</f>
        <v/>
      </c>
      <c r="AG89" s="47">
        <f>IF($E89=AG$3,$G89,0)-IF($H89=AG$3,$J89,0)</f>
        <v/>
      </c>
      <c r="AH89" s="47">
        <f>IF($E89=AH$3,$G89,0)-IF($H89=AH$3,$J89,0)</f>
        <v/>
      </c>
      <c r="AI89" s="47">
        <f>IF($E89=AI$3,$G89,0)-IF($H89=AI$3,$J89,0)</f>
        <v/>
      </c>
      <c r="AJ89" s="47">
        <f>IF($E89=AJ$3,$G89,0)-IF($H89=AJ$3,$J89,0)</f>
        <v/>
      </c>
      <c r="AK89" s="47">
        <f>IF($E89=AK$3,$G89,0)-IF($H89=AK$3,$J89,0)</f>
        <v/>
      </c>
      <c r="AL89" s="48">
        <f>IF($E89=AL$3,$G89,0)-IF($H89=AL$3,$J89,0)</f>
        <v/>
      </c>
      <c r="AM89" s="46">
        <f>-IF($E89=AM$3,$G89,0)+IF($H89=AM$3,$J89,0)</f>
        <v/>
      </c>
      <c r="AN89" s="47">
        <f>-IF($E89=AN$3,$G89,0)+IF($H89=AN$3,$J89,0)</f>
        <v/>
      </c>
      <c r="AO89" s="48">
        <f>-IF($E89=AO$3,$G89,0)+IF($H89=AO$3,$J89,0)</f>
        <v/>
      </c>
      <c r="AP89" s="46">
        <f>IF($E89=AP$3,$G89,0)-IF($H89=AP$3,$J89,0)</f>
        <v/>
      </c>
      <c r="AQ89" s="47">
        <f>IF($E89=AQ$3,$G89,0)-IF($H89=AQ$3,$J89,0)</f>
        <v/>
      </c>
      <c r="AR89" s="47">
        <f>IF($E89=AR$3,$G89,0)-IF($H89=AR$3,$J89,0)</f>
        <v/>
      </c>
      <c r="AS89" s="47">
        <f>IF($E89=AS$3,$G89,0)-IF($H89=AS$3,$J89,0)</f>
        <v/>
      </c>
      <c r="AT89" s="47">
        <f>IF($E89=AT$3,$G89,0)-IF($H89=AT$3,$J89,0)</f>
        <v/>
      </c>
      <c r="AU89" s="47">
        <f>IF($E89=AU$3,$G89,0)-IF($H89=AU$3,$J89,0)</f>
        <v/>
      </c>
      <c r="AV89" s="47">
        <f>IF($E89=AV$3,$G89,0)-IF($H89=AV$3,$J89,0)</f>
        <v/>
      </c>
      <c r="AW89" s="47">
        <f>IF($E89=AW$3,$G89,0)-IF($H89=AW$3,$J89,0)</f>
        <v/>
      </c>
      <c r="AX89" s="47">
        <f>IF($E89=AX$3,$G89,0)-IF($H89=AX$3,$J89,0)</f>
        <v/>
      </c>
      <c r="AY89" s="47">
        <f>IF($E89=AY$3,$G89,0)-IF($H89=AY$3,$J89,0)</f>
        <v/>
      </c>
      <c r="AZ89" s="47">
        <f>IF($E89=AZ$3,$G89,0)-IF($H89=AZ$3,$J89,0)</f>
        <v/>
      </c>
      <c r="BA89" s="47">
        <f>IF($E89=BA$3,$G89,0)-IF($H89=BA$3,$J89,0)</f>
        <v/>
      </c>
      <c r="BB89" s="47">
        <f>IF($E89=BB$3,$G89,0)-IF($H89=BB$3,$J89,0)</f>
        <v/>
      </c>
      <c r="BC89" s="47">
        <f>IF($E89=BC$3,$G89,0)-IF($H89=BC$3,$J89,0)</f>
        <v/>
      </c>
      <c r="BD89" s="47">
        <f>IF($E89=BD$3,$G89,0)-IF($H89=BD$3,$J89,0)</f>
        <v/>
      </c>
      <c r="BE89" s="47">
        <f>IF($E89=BE$3,$G89,0)-IF($H89=BE$3,$J89,0)</f>
        <v/>
      </c>
      <c r="BF89" s="47">
        <f>IF($E89=BF$3,$G89,0)-IF($H89=BF$3,$J89,0)</f>
        <v/>
      </c>
      <c r="BG89" s="47">
        <f>IF($E89=BG$3,$G89,0)-IF($H89=BG$3,$J89,0)</f>
        <v/>
      </c>
      <c r="BH89" s="47">
        <f>IF($E89=BH$3,$G89,0)-IF($H89=BH$3,$J89,0)</f>
        <v/>
      </c>
      <c r="BI89" s="47">
        <f>IF($E89=BI$3,$G89,0)-IF($H89=BI$3,$J89,0)</f>
        <v/>
      </c>
      <c r="BJ89" s="47">
        <f>IF($E89=BJ$3,$G89,0)-IF($H89=BJ$3,$J89,0)</f>
        <v/>
      </c>
      <c r="BK89" s="47">
        <f>IF($E89=BK$3,$G89,0)-IF($H89=BK$3,$J89,0)</f>
        <v/>
      </c>
      <c r="BL89" s="46">
        <f>-IF($E89=BL$3,$G89,0)+IF($H89=BL$3,$J89,0)</f>
        <v/>
      </c>
      <c r="BM89" s="47">
        <f>-IF($E89=BM$3,$G89,0)+IF($H89=BM$3,$J89,0)</f>
        <v/>
      </c>
      <c r="BN89" s="47">
        <f>-IF($E89=BN$3,$G89,0)+IF($H89=BN$3,$J89,0)</f>
        <v/>
      </c>
      <c r="BO89" s="47">
        <f>-IF($E89=BO$3,$G89,0)+IF($H89=BO$3,$J89,0)</f>
        <v/>
      </c>
      <c r="BP89" s="47">
        <f>-IF($E89=BP$3,$G89,0)+IF($H89=BP$3,$J89,0)</f>
        <v/>
      </c>
      <c r="BQ89" s="47">
        <f>-IF($E89=BQ$3,$G89,0)+IF($H89=BQ$3,$J89,0)</f>
        <v/>
      </c>
      <c r="BR89" s="47">
        <f>-IF($E89=BR$3,$G89,0)+IF($H89=BR$3,$J89,0)</f>
        <v/>
      </c>
      <c r="BS89" s="47">
        <f>-IF($E89=BS$3,$G89,0)+IF($H89=BS$3,$J89,0)</f>
        <v/>
      </c>
      <c r="BT89" s="47">
        <f>-IF($E89=BT$3,$G89,0)+IF($H89=BT$3,$J89,0)</f>
        <v/>
      </c>
      <c r="BU89" s="46">
        <f>+G89-J89</f>
        <v/>
      </c>
      <c r="BV89" s="48">
        <f>-IF($E89=BV$3,$G89,0)+IF($H89=BV$3,$J89,0)</f>
        <v/>
      </c>
      <c r="BW89" s="3" t="n"/>
    </row>
    <row r="90" ht="15.75" customHeight="1" s="214">
      <c r="A90" s="7" t="n"/>
      <c r="B90" s="8" t="n"/>
      <c r="C90" s="9" t="n"/>
      <c r="D90" s="10" t="n"/>
      <c r="E90" s="247" t="n"/>
      <c r="F90" s="11">
        <f>IF(E90="","",IF(ISNA(VLOOKUP(E90,科目コード表!$C$4:$D$67,2,FALSE)),"該当科目なし",VLOOKUP(E90,科目コード表!$C$4:$D$67,2,FALSE)))</f>
        <v/>
      </c>
      <c r="G90" s="38" t="n"/>
      <c r="H90" s="248" t="n"/>
      <c r="I90" s="11">
        <f>IF(H90="","",IF(ISNA(VLOOKUP(H90,科目コード表!$C$4:$D$67,2,FALSE)),"該当科目なし",VLOOKUP(H90,科目コード表!$C$4:$D$67,2,FALSE)))</f>
        <v/>
      </c>
      <c r="J90" s="40" t="n"/>
      <c r="L90" s="46">
        <f>IF($E90=L$3,$G90,0)-IF($H90=L$3,$J90,0)</f>
        <v/>
      </c>
      <c r="M90" s="47">
        <f>IF($E90=M$3,$G90,0)-IF($H90=M$3,$J90,0)</f>
        <v/>
      </c>
      <c r="N90" s="47">
        <f>IF($E90=N$3,$G90,0)-IF($H90=N$3,$J90,0)</f>
        <v/>
      </c>
      <c r="O90" s="47">
        <f>IF($E90=O$3,$G90,0)-IF($H90=O$3,$J90,0)</f>
        <v/>
      </c>
      <c r="P90" s="47">
        <f>IF($E90=P$3,$G90,0)-IF($H90=P$3,$J90,0)</f>
        <v/>
      </c>
      <c r="Q90" s="47">
        <f>IF($E90=Q$3,$G90,0)-IF($H90=Q$3,$J90,0)</f>
        <v/>
      </c>
      <c r="R90" s="47">
        <f>IF($E90=R$3,$G90,0)-IF($H90=R$3,$J90,0)</f>
        <v/>
      </c>
      <c r="S90" s="47">
        <f>IF($E90=S$3,$G90,0)-IF($H90=S$3,$J90,0)</f>
        <v/>
      </c>
      <c r="T90" s="47">
        <f>IF($E90=T$3,$G90,0)-IF($H90=T$3,$J90,0)</f>
        <v/>
      </c>
      <c r="U90" s="47">
        <f>IF($E90=U$3,$G90,0)-IF($H90=U$3,$J90,0)</f>
        <v/>
      </c>
      <c r="V90" s="47">
        <f>IF($E90=V$3,$G90,0)-IF($H90=V$3,$J90,0)</f>
        <v/>
      </c>
      <c r="W90" s="47">
        <f>IF($E90=W$3,$G90,0)-IF($H90=W$3,$J90,0)</f>
        <v/>
      </c>
      <c r="X90" s="47">
        <f>IF($E90=X$3,$G90,0)-IF($H90=X$3,$J90,0)</f>
        <v/>
      </c>
      <c r="Y90" s="47">
        <f>IF($E90=Y$3,$G90,0)-IF($H90=Y$3,$J90,0)</f>
        <v/>
      </c>
      <c r="Z90" s="47">
        <f>IF($E90=Z$3,$G90,0)-IF($H90=Z$3,$J90,0)</f>
        <v/>
      </c>
      <c r="AA90" s="47">
        <f>IF($E90=AA$3,$G90,0)-IF($H90=AA$3,$J90,0)</f>
        <v/>
      </c>
      <c r="AB90" s="47">
        <f>IF($E90=AB$3,$G90,0)-IF($H90=AB$3,$J90,0)</f>
        <v/>
      </c>
      <c r="AC90" s="47">
        <f>IF($E90=AC$3,$G90,0)-IF($H90=AC$3,$J90,0)</f>
        <v/>
      </c>
      <c r="AD90" s="47">
        <f>IF($E90=AD$3,$G90,0)-IF($H90=AD$3,$J90,0)</f>
        <v/>
      </c>
      <c r="AE90" s="47">
        <f>IF($E90=AE$3,$G90,0)-IF($H90=AE$3,$J90,0)</f>
        <v/>
      </c>
      <c r="AF90" s="47">
        <f>IF($E90=AF$3,$G90,0)-IF($H90=AF$3,$J90,0)</f>
        <v/>
      </c>
      <c r="AG90" s="47">
        <f>IF($E90=AG$3,$G90,0)-IF($H90=AG$3,$J90,0)</f>
        <v/>
      </c>
      <c r="AH90" s="47">
        <f>IF($E90=AH$3,$G90,0)-IF($H90=AH$3,$J90,0)</f>
        <v/>
      </c>
      <c r="AI90" s="47">
        <f>IF($E90=AI$3,$G90,0)-IF($H90=AI$3,$J90,0)</f>
        <v/>
      </c>
      <c r="AJ90" s="47">
        <f>IF($E90=AJ$3,$G90,0)-IF($H90=AJ$3,$J90,0)</f>
        <v/>
      </c>
      <c r="AK90" s="47">
        <f>IF($E90=AK$3,$G90,0)-IF($H90=AK$3,$J90,0)</f>
        <v/>
      </c>
      <c r="AL90" s="48">
        <f>IF($E90=AL$3,$G90,0)-IF($H90=AL$3,$J90,0)</f>
        <v/>
      </c>
      <c r="AM90" s="46">
        <f>-IF($E90=AM$3,$G90,0)+IF($H90=AM$3,$J90,0)</f>
        <v/>
      </c>
      <c r="AN90" s="47">
        <f>-IF($E90=AN$3,$G90,0)+IF($H90=AN$3,$J90,0)</f>
        <v/>
      </c>
      <c r="AO90" s="48">
        <f>-IF($E90=AO$3,$G90,0)+IF($H90=AO$3,$J90,0)</f>
        <v/>
      </c>
      <c r="AP90" s="46">
        <f>IF($E90=AP$3,$G90,0)-IF($H90=AP$3,$J90,0)</f>
        <v/>
      </c>
      <c r="AQ90" s="47">
        <f>IF($E90=AQ$3,$G90,0)-IF($H90=AQ$3,$J90,0)</f>
        <v/>
      </c>
      <c r="AR90" s="47">
        <f>IF($E90=AR$3,$G90,0)-IF($H90=AR$3,$J90,0)</f>
        <v/>
      </c>
      <c r="AS90" s="47">
        <f>IF($E90=AS$3,$G90,0)-IF($H90=AS$3,$J90,0)</f>
        <v/>
      </c>
      <c r="AT90" s="47">
        <f>IF($E90=AT$3,$G90,0)-IF($H90=AT$3,$J90,0)</f>
        <v/>
      </c>
      <c r="AU90" s="47">
        <f>IF($E90=AU$3,$G90,0)-IF($H90=AU$3,$J90,0)</f>
        <v/>
      </c>
      <c r="AV90" s="47">
        <f>IF($E90=AV$3,$G90,0)-IF($H90=AV$3,$J90,0)</f>
        <v/>
      </c>
      <c r="AW90" s="47">
        <f>IF($E90=AW$3,$G90,0)-IF($H90=AW$3,$J90,0)</f>
        <v/>
      </c>
      <c r="AX90" s="47">
        <f>IF($E90=AX$3,$G90,0)-IF($H90=AX$3,$J90,0)</f>
        <v/>
      </c>
      <c r="AY90" s="47">
        <f>IF($E90=AY$3,$G90,0)-IF($H90=AY$3,$J90,0)</f>
        <v/>
      </c>
      <c r="AZ90" s="47">
        <f>IF($E90=AZ$3,$G90,0)-IF($H90=AZ$3,$J90,0)</f>
        <v/>
      </c>
      <c r="BA90" s="47">
        <f>IF($E90=BA$3,$G90,0)-IF($H90=BA$3,$J90,0)</f>
        <v/>
      </c>
      <c r="BB90" s="47">
        <f>IF($E90=BB$3,$G90,0)-IF($H90=BB$3,$J90,0)</f>
        <v/>
      </c>
      <c r="BC90" s="47">
        <f>IF($E90=BC$3,$G90,0)-IF($H90=BC$3,$J90,0)</f>
        <v/>
      </c>
      <c r="BD90" s="47">
        <f>IF($E90=BD$3,$G90,0)-IF($H90=BD$3,$J90,0)</f>
        <v/>
      </c>
      <c r="BE90" s="47">
        <f>IF($E90=BE$3,$G90,0)-IF($H90=BE$3,$J90,0)</f>
        <v/>
      </c>
      <c r="BF90" s="47">
        <f>IF($E90=BF$3,$G90,0)-IF($H90=BF$3,$J90,0)</f>
        <v/>
      </c>
      <c r="BG90" s="47">
        <f>IF($E90=BG$3,$G90,0)-IF($H90=BG$3,$J90,0)</f>
        <v/>
      </c>
      <c r="BH90" s="47">
        <f>IF($E90=BH$3,$G90,0)-IF($H90=BH$3,$J90,0)</f>
        <v/>
      </c>
      <c r="BI90" s="47">
        <f>IF($E90=BI$3,$G90,0)-IF($H90=BI$3,$J90,0)</f>
        <v/>
      </c>
      <c r="BJ90" s="47">
        <f>IF($E90=BJ$3,$G90,0)-IF($H90=BJ$3,$J90,0)</f>
        <v/>
      </c>
      <c r="BK90" s="47">
        <f>IF($E90=BK$3,$G90,0)-IF($H90=BK$3,$J90,0)</f>
        <v/>
      </c>
      <c r="BL90" s="46">
        <f>-IF($E90=BL$3,$G90,0)+IF($H90=BL$3,$J90,0)</f>
        <v/>
      </c>
      <c r="BM90" s="47">
        <f>-IF($E90=BM$3,$G90,0)+IF($H90=BM$3,$J90,0)</f>
        <v/>
      </c>
      <c r="BN90" s="47">
        <f>-IF($E90=BN$3,$G90,0)+IF($H90=BN$3,$J90,0)</f>
        <v/>
      </c>
      <c r="BO90" s="47">
        <f>-IF($E90=BO$3,$G90,0)+IF($H90=BO$3,$J90,0)</f>
        <v/>
      </c>
      <c r="BP90" s="47">
        <f>-IF($E90=BP$3,$G90,0)+IF($H90=BP$3,$J90,0)</f>
        <v/>
      </c>
      <c r="BQ90" s="47">
        <f>-IF($E90=BQ$3,$G90,0)+IF($H90=BQ$3,$J90,0)</f>
        <v/>
      </c>
      <c r="BR90" s="47">
        <f>-IF($E90=BR$3,$G90,0)+IF($H90=BR$3,$J90,0)</f>
        <v/>
      </c>
      <c r="BS90" s="47">
        <f>-IF($E90=BS$3,$G90,0)+IF($H90=BS$3,$J90,0)</f>
        <v/>
      </c>
      <c r="BT90" s="47">
        <f>-IF($E90=BT$3,$G90,0)+IF($H90=BT$3,$J90,0)</f>
        <v/>
      </c>
      <c r="BU90" s="46">
        <f>+G90-J90</f>
        <v/>
      </c>
      <c r="BV90" s="48">
        <f>-IF($E90=BV$3,$G90,0)+IF($H90=BV$3,$J90,0)</f>
        <v/>
      </c>
      <c r="BW90" s="3" t="n"/>
    </row>
    <row r="91" ht="15.75" customHeight="1" s="214">
      <c r="A91" s="7" t="n"/>
      <c r="B91" s="8" t="n"/>
      <c r="C91" s="9" t="n"/>
      <c r="D91" s="10" t="n"/>
      <c r="E91" s="247" t="n"/>
      <c r="F91" s="11">
        <f>IF(E91="","",IF(ISNA(VLOOKUP(E91,科目コード表!$C$4:$D$67,2,FALSE)),"該当科目なし",VLOOKUP(E91,科目コード表!$C$4:$D$67,2,FALSE)))</f>
        <v/>
      </c>
      <c r="G91" s="38" t="n"/>
      <c r="H91" s="248" t="n"/>
      <c r="I91" s="11">
        <f>IF(H91="","",IF(ISNA(VLOOKUP(H91,科目コード表!$C$4:$D$67,2,FALSE)),"該当科目なし",VLOOKUP(H91,科目コード表!$C$4:$D$67,2,FALSE)))</f>
        <v/>
      </c>
      <c r="J91" s="40" t="n"/>
      <c r="L91" s="46">
        <f>IF($E91=L$3,$G91,0)-IF($H91=L$3,$J91,0)</f>
        <v/>
      </c>
      <c r="M91" s="47">
        <f>IF($E91=M$3,$G91,0)-IF($H91=M$3,$J91,0)</f>
        <v/>
      </c>
      <c r="N91" s="47">
        <f>IF($E91=N$3,$G91,0)-IF($H91=N$3,$J91,0)</f>
        <v/>
      </c>
      <c r="O91" s="47">
        <f>IF($E91=O$3,$G91,0)-IF($H91=O$3,$J91,0)</f>
        <v/>
      </c>
      <c r="P91" s="47">
        <f>IF($E91=P$3,$G91,0)-IF($H91=P$3,$J91,0)</f>
        <v/>
      </c>
      <c r="Q91" s="47">
        <f>IF($E91=Q$3,$G91,0)-IF($H91=Q$3,$J91,0)</f>
        <v/>
      </c>
      <c r="R91" s="47">
        <f>IF($E91=R$3,$G91,0)-IF($H91=R$3,$J91,0)</f>
        <v/>
      </c>
      <c r="S91" s="47">
        <f>IF($E91=S$3,$G91,0)-IF($H91=S$3,$J91,0)</f>
        <v/>
      </c>
      <c r="T91" s="47">
        <f>IF($E91=T$3,$G91,0)-IF($H91=T$3,$J91,0)</f>
        <v/>
      </c>
      <c r="U91" s="47">
        <f>IF($E91=U$3,$G91,0)-IF($H91=U$3,$J91,0)</f>
        <v/>
      </c>
      <c r="V91" s="47">
        <f>IF($E91=V$3,$G91,0)-IF($H91=V$3,$J91,0)</f>
        <v/>
      </c>
      <c r="W91" s="47">
        <f>IF($E91=W$3,$G91,0)-IF($H91=W$3,$J91,0)</f>
        <v/>
      </c>
      <c r="X91" s="47">
        <f>IF($E91=X$3,$G91,0)-IF($H91=X$3,$J91,0)</f>
        <v/>
      </c>
      <c r="Y91" s="47">
        <f>IF($E91=Y$3,$G91,0)-IF($H91=Y$3,$J91,0)</f>
        <v/>
      </c>
      <c r="Z91" s="47">
        <f>IF($E91=Z$3,$G91,0)-IF($H91=Z$3,$J91,0)</f>
        <v/>
      </c>
      <c r="AA91" s="47">
        <f>IF($E91=AA$3,$G91,0)-IF($H91=AA$3,$J91,0)</f>
        <v/>
      </c>
      <c r="AB91" s="47">
        <f>IF($E91=AB$3,$G91,0)-IF($H91=AB$3,$J91,0)</f>
        <v/>
      </c>
      <c r="AC91" s="47">
        <f>IF($E91=AC$3,$G91,0)-IF($H91=AC$3,$J91,0)</f>
        <v/>
      </c>
      <c r="AD91" s="47">
        <f>IF($E91=AD$3,$G91,0)-IF($H91=AD$3,$J91,0)</f>
        <v/>
      </c>
      <c r="AE91" s="47">
        <f>IF($E91=AE$3,$G91,0)-IF($H91=AE$3,$J91,0)</f>
        <v/>
      </c>
      <c r="AF91" s="47">
        <f>IF($E91=AF$3,$G91,0)-IF($H91=AF$3,$J91,0)</f>
        <v/>
      </c>
      <c r="AG91" s="47">
        <f>IF($E91=AG$3,$G91,0)-IF($H91=AG$3,$J91,0)</f>
        <v/>
      </c>
      <c r="AH91" s="47">
        <f>IF($E91=AH$3,$G91,0)-IF($H91=AH$3,$J91,0)</f>
        <v/>
      </c>
      <c r="AI91" s="47">
        <f>IF($E91=AI$3,$G91,0)-IF($H91=AI$3,$J91,0)</f>
        <v/>
      </c>
      <c r="AJ91" s="47">
        <f>IF($E91=AJ$3,$G91,0)-IF($H91=AJ$3,$J91,0)</f>
        <v/>
      </c>
      <c r="AK91" s="47">
        <f>IF($E91=AK$3,$G91,0)-IF($H91=AK$3,$J91,0)</f>
        <v/>
      </c>
      <c r="AL91" s="48">
        <f>IF($E91=AL$3,$G91,0)-IF($H91=AL$3,$J91,0)</f>
        <v/>
      </c>
      <c r="AM91" s="46">
        <f>-IF($E91=AM$3,$G91,0)+IF($H91=AM$3,$J91,0)</f>
        <v/>
      </c>
      <c r="AN91" s="47">
        <f>-IF($E91=AN$3,$G91,0)+IF($H91=AN$3,$J91,0)</f>
        <v/>
      </c>
      <c r="AO91" s="48">
        <f>-IF($E91=AO$3,$G91,0)+IF($H91=AO$3,$J91,0)</f>
        <v/>
      </c>
      <c r="AP91" s="46">
        <f>IF($E91=AP$3,$G91,0)-IF($H91=AP$3,$J91,0)</f>
        <v/>
      </c>
      <c r="AQ91" s="47">
        <f>IF($E91=AQ$3,$G91,0)-IF($H91=AQ$3,$J91,0)</f>
        <v/>
      </c>
      <c r="AR91" s="47">
        <f>IF($E91=AR$3,$G91,0)-IF($H91=AR$3,$J91,0)</f>
        <v/>
      </c>
      <c r="AS91" s="47">
        <f>IF($E91=AS$3,$G91,0)-IF($H91=AS$3,$J91,0)</f>
        <v/>
      </c>
      <c r="AT91" s="47">
        <f>IF($E91=AT$3,$G91,0)-IF($H91=AT$3,$J91,0)</f>
        <v/>
      </c>
      <c r="AU91" s="47">
        <f>IF($E91=AU$3,$G91,0)-IF($H91=AU$3,$J91,0)</f>
        <v/>
      </c>
      <c r="AV91" s="47">
        <f>IF($E91=AV$3,$G91,0)-IF($H91=AV$3,$J91,0)</f>
        <v/>
      </c>
      <c r="AW91" s="47">
        <f>IF($E91=AW$3,$G91,0)-IF($H91=AW$3,$J91,0)</f>
        <v/>
      </c>
      <c r="AX91" s="47">
        <f>IF($E91=AX$3,$G91,0)-IF($H91=AX$3,$J91,0)</f>
        <v/>
      </c>
      <c r="AY91" s="47">
        <f>IF($E91=AY$3,$G91,0)-IF($H91=AY$3,$J91,0)</f>
        <v/>
      </c>
      <c r="AZ91" s="47">
        <f>IF($E91=AZ$3,$G91,0)-IF($H91=AZ$3,$J91,0)</f>
        <v/>
      </c>
      <c r="BA91" s="47">
        <f>IF($E91=BA$3,$G91,0)-IF($H91=BA$3,$J91,0)</f>
        <v/>
      </c>
      <c r="BB91" s="47">
        <f>IF($E91=BB$3,$G91,0)-IF($H91=BB$3,$J91,0)</f>
        <v/>
      </c>
      <c r="BC91" s="47">
        <f>IF($E91=BC$3,$G91,0)-IF($H91=BC$3,$J91,0)</f>
        <v/>
      </c>
      <c r="BD91" s="47">
        <f>IF($E91=BD$3,$G91,0)-IF($H91=BD$3,$J91,0)</f>
        <v/>
      </c>
      <c r="BE91" s="47">
        <f>IF($E91=BE$3,$G91,0)-IF($H91=BE$3,$J91,0)</f>
        <v/>
      </c>
      <c r="BF91" s="47">
        <f>IF($E91=BF$3,$G91,0)-IF($H91=BF$3,$J91,0)</f>
        <v/>
      </c>
      <c r="BG91" s="47">
        <f>IF($E91=BG$3,$G91,0)-IF($H91=BG$3,$J91,0)</f>
        <v/>
      </c>
      <c r="BH91" s="47">
        <f>IF($E91=BH$3,$G91,0)-IF($H91=BH$3,$J91,0)</f>
        <v/>
      </c>
      <c r="BI91" s="47">
        <f>IF($E91=BI$3,$G91,0)-IF($H91=BI$3,$J91,0)</f>
        <v/>
      </c>
      <c r="BJ91" s="47">
        <f>IF($E91=BJ$3,$G91,0)-IF($H91=BJ$3,$J91,0)</f>
        <v/>
      </c>
      <c r="BK91" s="47">
        <f>IF($E91=BK$3,$G91,0)-IF($H91=BK$3,$J91,0)</f>
        <v/>
      </c>
      <c r="BL91" s="46">
        <f>-IF($E91=BL$3,$G91,0)+IF($H91=BL$3,$J91,0)</f>
        <v/>
      </c>
      <c r="BM91" s="47">
        <f>-IF($E91=BM$3,$G91,0)+IF($H91=BM$3,$J91,0)</f>
        <v/>
      </c>
      <c r="BN91" s="47">
        <f>-IF($E91=BN$3,$G91,0)+IF($H91=BN$3,$J91,0)</f>
        <v/>
      </c>
      <c r="BO91" s="47">
        <f>-IF($E91=BO$3,$G91,0)+IF($H91=BO$3,$J91,0)</f>
        <v/>
      </c>
      <c r="BP91" s="47">
        <f>-IF($E91=BP$3,$G91,0)+IF($H91=BP$3,$J91,0)</f>
        <v/>
      </c>
      <c r="BQ91" s="47">
        <f>-IF($E91=BQ$3,$G91,0)+IF($H91=BQ$3,$J91,0)</f>
        <v/>
      </c>
      <c r="BR91" s="47">
        <f>-IF($E91=BR$3,$G91,0)+IF($H91=BR$3,$J91,0)</f>
        <v/>
      </c>
      <c r="BS91" s="47">
        <f>-IF($E91=BS$3,$G91,0)+IF($H91=BS$3,$J91,0)</f>
        <v/>
      </c>
      <c r="BT91" s="47">
        <f>-IF($E91=BT$3,$G91,0)+IF($H91=BT$3,$J91,0)</f>
        <v/>
      </c>
      <c r="BU91" s="46">
        <f>+G91-J91</f>
        <v/>
      </c>
      <c r="BV91" s="48">
        <f>-IF($E91=BV$3,$G91,0)+IF($H91=BV$3,$J91,0)</f>
        <v/>
      </c>
      <c r="BW91" s="3" t="n"/>
    </row>
    <row r="92" ht="15.75" customHeight="1" s="214">
      <c r="A92" s="7" t="n"/>
      <c r="B92" s="8" t="n"/>
      <c r="C92" s="9" t="n"/>
      <c r="D92" s="10" t="n"/>
      <c r="E92" s="247" t="n"/>
      <c r="F92" s="11">
        <f>IF(E92="","",IF(ISNA(VLOOKUP(E92,科目コード表!$C$4:$D$67,2,FALSE)),"該当科目なし",VLOOKUP(E92,科目コード表!$C$4:$D$67,2,FALSE)))</f>
        <v/>
      </c>
      <c r="G92" s="38" t="n"/>
      <c r="H92" s="248" t="n"/>
      <c r="I92" s="11">
        <f>IF(H92="","",IF(ISNA(VLOOKUP(H92,科目コード表!$C$4:$D$67,2,FALSE)),"該当科目なし",VLOOKUP(H92,科目コード表!$C$4:$D$67,2,FALSE)))</f>
        <v/>
      </c>
      <c r="J92" s="40" t="n"/>
      <c r="L92" s="46">
        <f>IF($E92=L$3,$G92,0)-IF($H92=L$3,$J92,0)</f>
        <v/>
      </c>
      <c r="M92" s="47">
        <f>IF($E92=M$3,$G92,0)-IF($H92=M$3,$J92,0)</f>
        <v/>
      </c>
      <c r="N92" s="47">
        <f>IF($E92=N$3,$G92,0)-IF($H92=N$3,$J92,0)</f>
        <v/>
      </c>
      <c r="O92" s="47">
        <f>IF($E92=O$3,$G92,0)-IF($H92=O$3,$J92,0)</f>
        <v/>
      </c>
      <c r="P92" s="47">
        <f>IF($E92=P$3,$G92,0)-IF($H92=P$3,$J92,0)</f>
        <v/>
      </c>
      <c r="Q92" s="47">
        <f>IF($E92=Q$3,$G92,0)-IF($H92=Q$3,$J92,0)</f>
        <v/>
      </c>
      <c r="R92" s="47">
        <f>IF($E92=R$3,$G92,0)-IF($H92=R$3,$J92,0)</f>
        <v/>
      </c>
      <c r="S92" s="47">
        <f>IF($E92=S$3,$G92,0)-IF($H92=S$3,$J92,0)</f>
        <v/>
      </c>
      <c r="T92" s="47">
        <f>IF($E92=T$3,$G92,0)-IF($H92=T$3,$J92,0)</f>
        <v/>
      </c>
      <c r="U92" s="47">
        <f>IF($E92=U$3,$G92,0)-IF($H92=U$3,$J92,0)</f>
        <v/>
      </c>
      <c r="V92" s="47">
        <f>IF($E92=V$3,$G92,0)-IF($H92=V$3,$J92,0)</f>
        <v/>
      </c>
      <c r="W92" s="47">
        <f>IF($E92=W$3,$G92,0)-IF($H92=W$3,$J92,0)</f>
        <v/>
      </c>
      <c r="X92" s="47">
        <f>IF($E92=X$3,$G92,0)-IF($H92=X$3,$J92,0)</f>
        <v/>
      </c>
      <c r="Y92" s="47">
        <f>IF($E92=Y$3,$G92,0)-IF($H92=Y$3,$J92,0)</f>
        <v/>
      </c>
      <c r="Z92" s="47">
        <f>IF($E92=Z$3,$G92,0)-IF($H92=Z$3,$J92,0)</f>
        <v/>
      </c>
      <c r="AA92" s="47">
        <f>IF($E92=AA$3,$G92,0)-IF($H92=AA$3,$J92,0)</f>
        <v/>
      </c>
      <c r="AB92" s="47">
        <f>IF($E92=AB$3,$G92,0)-IF($H92=AB$3,$J92,0)</f>
        <v/>
      </c>
      <c r="AC92" s="47">
        <f>IF($E92=AC$3,$G92,0)-IF($H92=AC$3,$J92,0)</f>
        <v/>
      </c>
      <c r="AD92" s="47">
        <f>IF($E92=AD$3,$G92,0)-IF($H92=AD$3,$J92,0)</f>
        <v/>
      </c>
      <c r="AE92" s="47">
        <f>IF($E92=AE$3,$G92,0)-IF($H92=AE$3,$J92,0)</f>
        <v/>
      </c>
      <c r="AF92" s="47">
        <f>IF($E92=AF$3,$G92,0)-IF($H92=AF$3,$J92,0)</f>
        <v/>
      </c>
      <c r="AG92" s="47">
        <f>IF($E92=AG$3,$G92,0)-IF($H92=AG$3,$J92,0)</f>
        <v/>
      </c>
      <c r="AH92" s="47">
        <f>IF($E92=AH$3,$G92,0)-IF($H92=AH$3,$J92,0)</f>
        <v/>
      </c>
      <c r="AI92" s="47">
        <f>IF($E92=AI$3,$G92,0)-IF($H92=AI$3,$J92,0)</f>
        <v/>
      </c>
      <c r="AJ92" s="47">
        <f>IF($E92=AJ$3,$G92,0)-IF($H92=AJ$3,$J92,0)</f>
        <v/>
      </c>
      <c r="AK92" s="47">
        <f>IF($E92=AK$3,$G92,0)-IF($H92=AK$3,$J92,0)</f>
        <v/>
      </c>
      <c r="AL92" s="48">
        <f>IF($E92=AL$3,$G92,0)-IF($H92=AL$3,$J92,0)</f>
        <v/>
      </c>
      <c r="AM92" s="46">
        <f>-IF($E92=AM$3,$G92,0)+IF($H92=AM$3,$J92,0)</f>
        <v/>
      </c>
      <c r="AN92" s="47">
        <f>-IF($E92=AN$3,$G92,0)+IF($H92=AN$3,$J92,0)</f>
        <v/>
      </c>
      <c r="AO92" s="48">
        <f>-IF($E92=AO$3,$G92,0)+IF($H92=AO$3,$J92,0)</f>
        <v/>
      </c>
      <c r="AP92" s="46">
        <f>IF($E92=AP$3,$G92,0)-IF($H92=AP$3,$J92,0)</f>
        <v/>
      </c>
      <c r="AQ92" s="47">
        <f>IF($E92=AQ$3,$G92,0)-IF($H92=AQ$3,$J92,0)</f>
        <v/>
      </c>
      <c r="AR92" s="47">
        <f>IF($E92=AR$3,$G92,0)-IF($H92=AR$3,$J92,0)</f>
        <v/>
      </c>
      <c r="AS92" s="47">
        <f>IF($E92=AS$3,$G92,0)-IF($H92=AS$3,$J92,0)</f>
        <v/>
      </c>
      <c r="AT92" s="47">
        <f>IF($E92=AT$3,$G92,0)-IF($H92=AT$3,$J92,0)</f>
        <v/>
      </c>
      <c r="AU92" s="47">
        <f>IF($E92=AU$3,$G92,0)-IF($H92=AU$3,$J92,0)</f>
        <v/>
      </c>
      <c r="AV92" s="47">
        <f>IF($E92=AV$3,$G92,0)-IF($H92=AV$3,$J92,0)</f>
        <v/>
      </c>
      <c r="AW92" s="47">
        <f>IF($E92=AW$3,$G92,0)-IF($H92=AW$3,$J92,0)</f>
        <v/>
      </c>
      <c r="AX92" s="47">
        <f>IF($E92=AX$3,$G92,0)-IF($H92=AX$3,$J92,0)</f>
        <v/>
      </c>
      <c r="AY92" s="47">
        <f>IF($E92=AY$3,$G92,0)-IF($H92=AY$3,$J92,0)</f>
        <v/>
      </c>
      <c r="AZ92" s="47">
        <f>IF($E92=AZ$3,$G92,0)-IF($H92=AZ$3,$J92,0)</f>
        <v/>
      </c>
      <c r="BA92" s="47">
        <f>IF($E92=BA$3,$G92,0)-IF($H92=BA$3,$J92,0)</f>
        <v/>
      </c>
      <c r="BB92" s="47">
        <f>IF($E92=BB$3,$G92,0)-IF($H92=BB$3,$J92,0)</f>
        <v/>
      </c>
      <c r="BC92" s="47">
        <f>IF($E92=BC$3,$G92,0)-IF($H92=BC$3,$J92,0)</f>
        <v/>
      </c>
      <c r="BD92" s="47">
        <f>IF($E92=BD$3,$G92,0)-IF($H92=BD$3,$J92,0)</f>
        <v/>
      </c>
      <c r="BE92" s="47">
        <f>IF($E92=BE$3,$G92,0)-IF($H92=BE$3,$J92,0)</f>
        <v/>
      </c>
      <c r="BF92" s="47">
        <f>IF($E92=BF$3,$G92,0)-IF($H92=BF$3,$J92,0)</f>
        <v/>
      </c>
      <c r="BG92" s="47">
        <f>IF($E92=BG$3,$G92,0)-IF($H92=BG$3,$J92,0)</f>
        <v/>
      </c>
      <c r="BH92" s="47">
        <f>IF($E92=BH$3,$G92,0)-IF($H92=BH$3,$J92,0)</f>
        <v/>
      </c>
      <c r="BI92" s="47">
        <f>IF($E92=BI$3,$G92,0)-IF($H92=BI$3,$J92,0)</f>
        <v/>
      </c>
      <c r="BJ92" s="47">
        <f>IF($E92=BJ$3,$G92,0)-IF($H92=BJ$3,$J92,0)</f>
        <v/>
      </c>
      <c r="BK92" s="47">
        <f>IF($E92=BK$3,$G92,0)-IF($H92=BK$3,$J92,0)</f>
        <v/>
      </c>
      <c r="BL92" s="46">
        <f>-IF($E92=BL$3,$G92,0)+IF($H92=BL$3,$J92,0)</f>
        <v/>
      </c>
      <c r="BM92" s="47">
        <f>-IF($E92=BM$3,$G92,0)+IF($H92=BM$3,$J92,0)</f>
        <v/>
      </c>
      <c r="BN92" s="47">
        <f>-IF($E92=BN$3,$G92,0)+IF($H92=BN$3,$J92,0)</f>
        <v/>
      </c>
      <c r="BO92" s="47">
        <f>-IF($E92=BO$3,$G92,0)+IF($H92=BO$3,$J92,0)</f>
        <v/>
      </c>
      <c r="BP92" s="47">
        <f>-IF($E92=BP$3,$G92,0)+IF($H92=BP$3,$J92,0)</f>
        <v/>
      </c>
      <c r="BQ92" s="47">
        <f>-IF($E92=BQ$3,$G92,0)+IF($H92=BQ$3,$J92,0)</f>
        <v/>
      </c>
      <c r="BR92" s="47">
        <f>-IF($E92=BR$3,$G92,0)+IF($H92=BR$3,$J92,0)</f>
        <v/>
      </c>
      <c r="BS92" s="47">
        <f>-IF($E92=BS$3,$G92,0)+IF($H92=BS$3,$J92,0)</f>
        <v/>
      </c>
      <c r="BT92" s="47">
        <f>-IF($E92=BT$3,$G92,0)+IF($H92=BT$3,$J92,0)</f>
        <v/>
      </c>
      <c r="BU92" s="46">
        <f>+G92-J92</f>
        <v/>
      </c>
      <c r="BV92" s="48">
        <f>-IF($E92=BV$3,$G92,0)+IF($H92=BV$3,$J92,0)</f>
        <v/>
      </c>
      <c r="BW92" s="3" t="n"/>
    </row>
    <row r="93" ht="15.75" customHeight="1" s="214">
      <c r="A93" s="7" t="n"/>
      <c r="B93" s="8" t="n"/>
      <c r="C93" s="9" t="n"/>
      <c r="D93" s="10" t="n"/>
      <c r="E93" s="247" t="n"/>
      <c r="F93" s="11">
        <f>IF(E93="","",IF(ISNA(VLOOKUP(E93,科目コード表!$C$4:$D$67,2,FALSE)),"該当科目なし",VLOOKUP(E93,科目コード表!$C$4:$D$67,2,FALSE)))</f>
        <v/>
      </c>
      <c r="G93" s="38" t="n"/>
      <c r="H93" s="248" t="n"/>
      <c r="I93" s="11">
        <f>IF(H93="","",IF(ISNA(VLOOKUP(H93,科目コード表!$C$4:$D$67,2,FALSE)),"該当科目なし",VLOOKUP(H93,科目コード表!$C$4:$D$67,2,FALSE)))</f>
        <v/>
      </c>
      <c r="J93" s="40" t="n"/>
      <c r="L93" s="46">
        <f>IF($E93=L$3,$G93,0)-IF($H93=L$3,$J93,0)</f>
        <v/>
      </c>
      <c r="M93" s="47">
        <f>IF($E93=M$3,$G93,0)-IF($H93=M$3,$J93,0)</f>
        <v/>
      </c>
      <c r="N93" s="47">
        <f>IF($E93=N$3,$G93,0)-IF($H93=N$3,$J93,0)</f>
        <v/>
      </c>
      <c r="O93" s="47">
        <f>IF($E93=O$3,$G93,0)-IF($H93=O$3,$J93,0)</f>
        <v/>
      </c>
      <c r="P93" s="47">
        <f>IF($E93=P$3,$G93,0)-IF($H93=P$3,$J93,0)</f>
        <v/>
      </c>
      <c r="Q93" s="47">
        <f>IF($E93=Q$3,$G93,0)-IF($H93=Q$3,$J93,0)</f>
        <v/>
      </c>
      <c r="R93" s="47">
        <f>IF($E93=R$3,$G93,0)-IF($H93=R$3,$J93,0)</f>
        <v/>
      </c>
      <c r="S93" s="47">
        <f>IF($E93=S$3,$G93,0)-IF($H93=S$3,$J93,0)</f>
        <v/>
      </c>
      <c r="T93" s="47">
        <f>IF($E93=T$3,$G93,0)-IF($H93=T$3,$J93,0)</f>
        <v/>
      </c>
      <c r="U93" s="47">
        <f>IF($E93=U$3,$G93,0)-IF($H93=U$3,$J93,0)</f>
        <v/>
      </c>
      <c r="V93" s="47">
        <f>IF($E93=V$3,$G93,0)-IF($H93=V$3,$J93,0)</f>
        <v/>
      </c>
      <c r="W93" s="47">
        <f>IF($E93=W$3,$G93,0)-IF($H93=W$3,$J93,0)</f>
        <v/>
      </c>
      <c r="X93" s="47">
        <f>IF($E93=X$3,$G93,0)-IF($H93=X$3,$J93,0)</f>
        <v/>
      </c>
      <c r="Y93" s="47">
        <f>IF($E93=Y$3,$G93,0)-IF($H93=Y$3,$J93,0)</f>
        <v/>
      </c>
      <c r="Z93" s="47">
        <f>IF($E93=Z$3,$G93,0)-IF($H93=Z$3,$J93,0)</f>
        <v/>
      </c>
      <c r="AA93" s="47">
        <f>IF($E93=AA$3,$G93,0)-IF($H93=AA$3,$J93,0)</f>
        <v/>
      </c>
      <c r="AB93" s="47">
        <f>IF($E93=AB$3,$G93,0)-IF($H93=AB$3,$J93,0)</f>
        <v/>
      </c>
      <c r="AC93" s="47">
        <f>IF($E93=AC$3,$G93,0)-IF($H93=AC$3,$J93,0)</f>
        <v/>
      </c>
      <c r="AD93" s="47">
        <f>IF($E93=AD$3,$G93,0)-IF($H93=AD$3,$J93,0)</f>
        <v/>
      </c>
      <c r="AE93" s="47">
        <f>IF($E93=AE$3,$G93,0)-IF($H93=AE$3,$J93,0)</f>
        <v/>
      </c>
      <c r="AF93" s="47">
        <f>IF($E93=AF$3,$G93,0)-IF($H93=AF$3,$J93,0)</f>
        <v/>
      </c>
      <c r="AG93" s="47">
        <f>IF($E93=AG$3,$G93,0)-IF($H93=AG$3,$J93,0)</f>
        <v/>
      </c>
      <c r="AH93" s="47">
        <f>IF($E93=AH$3,$G93,0)-IF($H93=AH$3,$J93,0)</f>
        <v/>
      </c>
      <c r="AI93" s="47">
        <f>IF($E93=AI$3,$G93,0)-IF($H93=AI$3,$J93,0)</f>
        <v/>
      </c>
      <c r="AJ93" s="47">
        <f>IF($E93=AJ$3,$G93,0)-IF($H93=AJ$3,$J93,0)</f>
        <v/>
      </c>
      <c r="AK93" s="47">
        <f>IF($E93=AK$3,$G93,0)-IF($H93=AK$3,$J93,0)</f>
        <v/>
      </c>
      <c r="AL93" s="48">
        <f>IF($E93=AL$3,$G93,0)-IF($H93=AL$3,$J93,0)</f>
        <v/>
      </c>
      <c r="AM93" s="46">
        <f>-IF($E93=AM$3,$G93,0)+IF($H93=AM$3,$J93,0)</f>
        <v/>
      </c>
      <c r="AN93" s="47">
        <f>-IF($E93=AN$3,$G93,0)+IF($H93=AN$3,$J93,0)</f>
        <v/>
      </c>
      <c r="AO93" s="48">
        <f>-IF($E93=AO$3,$G93,0)+IF($H93=AO$3,$J93,0)</f>
        <v/>
      </c>
      <c r="AP93" s="46">
        <f>IF($E93=AP$3,$G93,0)-IF($H93=AP$3,$J93,0)</f>
        <v/>
      </c>
      <c r="AQ93" s="47">
        <f>IF($E93=AQ$3,$G93,0)-IF($H93=AQ$3,$J93,0)</f>
        <v/>
      </c>
      <c r="AR93" s="47">
        <f>IF($E93=AR$3,$G93,0)-IF($H93=AR$3,$J93,0)</f>
        <v/>
      </c>
      <c r="AS93" s="47">
        <f>IF($E93=AS$3,$G93,0)-IF($H93=AS$3,$J93,0)</f>
        <v/>
      </c>
      <c r="AT93" s="47">
        <f>IF($E93=AT$3,$G93,0)-IF($H93=AT$3,$J93,0)</f>
        <v/>
      </c>
      <c r="AU93" s="47">
        <f>IF($E93=AU$3,$G93,0)-IF($H93=AU$3,$J93,0)</f>
        <v/>
      </c>
      <c r="AV93" s="47">
        <f>IF($E93=AV$3,$G93,0)-IF($H93=AV$3,$J93,0)</f>
        <v/>
      </c>
      <c r="AW93" s="47">
        <f>IF($E93=AW$3,$G93,0)-IF($H93=AW$3,$J93,0)</f>
        <v/>
      </c>
      <c r="AX93" s="47">
        <f>IF($E93=AX$3,$G93,0)-IF($H93=AX$3,$J93,0)</f>
        <v/>
      </c>
      <c r="AY93" s="47">
        <f>IF($E93=AY$3,$G93,0)-IF($H93=AY$3,$J93,0)</f>
        <v/>
      </c>
      <c r="AZ93" s="47">
        <f>IF($E93=AZ$3,$G93,0)-IF($H93=AZ$3,$J93,0)</f>
        <v/>
      </c>
      <c r="BA93" s="47">
        <f>IF($E93=BA$3,$G93,0)-IF($H93=BA$3,$J93,0)</f>
        <v/>
      </c>
      <c r="BB93" s="47">
        <f>IF($E93=BB$3,$G93,0)-IF($H93=BB$3,$J93,0)</f>
        <v/>
      </c>
      <c r="BC93" s="47">
        <f>IF($E93=BC$3,$G93,0)-IF($H93=BC$3,$J93,0)</f>
        <v/>
      </c>
      <c r="BD93" s="47">
        <f>IF($E93=BD$3,$G93,0)-IF($H93=BD$3,$J93,0)</f>
        <v/>
      </c>
      <c r="BE93" s="47">
        <f>IF($E93=BE$3,$G93,0)-IF($H93=BE$3,$J93,0)</f>
        <v/>
      </c>
      <c r="BF93" s="47">
        <f>IF($E93=BF$3,$G93,0)-IF($H93=BF$3,$J93,0)</f>
        <v/>
      </c>
      <c r="BG93" s="47">
        <f>IF($E93=BG$3,$G93,0)-IF($H93=BG$3,$J93,0)</f>
        <v/>
      </c>
      <c r="BH93" s="47">
        <f>IF($E93=BH$3,$G93,0)-IF($H93=BH$3,$J93,0)</f>
        <v/>
      </c>
      <c r="BI93" s="47">
        <f>IF($E93=BI$3,$G93,0)-IF($H93=BI$3,$J93,0)</f>
        <v/>
      </c>
      <c r="BJ93" s="47">
        <f>IF($E93=BJ$3,$G93,0)-IF($H93=BJ$3,$J93,0)</f>
        <v/>
      </c>
      <c r="BK93" s="47">
        <f>IF($E93=BK$3,$G93,0)-IF($H93=BK$3,$J93,0)</f>
        <v/>
      </c>
      <c r="BL93" s="46">
        <f>-IF($E93=BL$3,$G93,0)+IF($H93=BL$3,$J93,0)</f>
        <v/>
      </c>
      <c r="BM93" s="47">
        <f>-IF($E93=BM$3,$G93,0)+IF($H93=BM$3,$J93,0)</f>
        <v/>
      </c>
      <c r="BN93" s="47">
        <f>-IF($E93=BN$3,$G93,0)+IF($H93=BN$3,$J93,0)</f>
        <v/>
      </c>
      <c r="BO93" s="47">
        <f>-IF($E93=BO$3,$G93,0)+IF($H93=BO$3,$J93,0)</f>
        <v/>
      </c>
      <c r="BP93" s="47">
        <f>-IF($E93=BP$3,$G93,0)+IF($H93=BP$3,$J93,0)</f>
        <v/>
      </c>
      <c r="BQ93" s="47">
        <f>-IF($E93=BQ$3,$G93,0)+IF($H93=BQ$3,$J93,0)</f>
        <v/>
      </c>
      <c r="BR93" s="47">
        <f>-IF($E93=BR$3,$G93,0)+IF($H93=BR$3,$J93,0)</f>
        <v/>
      </c>
      <c r="BS93" s="47">
        <f>-IF($E93=BS$3,$G93,0)+IF($H93=BS$3,$J93,0)</f>
        <v/>
      </c>
      <c r="BT93" s="47">
        <f>-IF($E93=BT$3,$G93,0)+IF($H93=BT$3,$J93,0)</f>
        <v/>
      </c>
      <c r="BU93" s="46">
        <f>+G93-J93</f>
        <v/>
      </c>
      <c r="BV93" s="48">
        <f>-IF($E93=BV$3,$G93,0)+IF($H93=BV$3,$J93,0)</f>
        <v/>
      </c>
      <c r="BW93" s="3" t="n"/>
    </row>
    <row r="94" ht="15.75" customHeight="1" s="214">
      <c r="A94" s="7" t="n"/>
      <c r="B94" s="8" t="n"/>
      <c r="C94" s="9" t="n"/>
      <c r="D94" s="10" t="n"/>
      <c r="E94" s="247" t="n"/>
      <c r="F94" s="11">
        <f>IF(E94="","",IF(ISNA(VLOOKUP(E94,科目コード表!$C$4:$D$67,2,FALSE)),"該当科目なし",VLOOKUP(E94,科目コード表!$C$4:$D$67,2,FALSE)))</f>
        <v/>
      </c>
      <c r="G94" s="38" t="n"/>
      <c r="H94" s="248" t="n"/>
      <c r="I94" s="11">
        <f>IF(H94="","",IF(ISNA(VLOOKUP(H94,科目コード表!$C$4:$D$67,2,FALSE)),"該当科目なし",VLOOKUP(H94,科目コード表!$C$4:$D$67,2,FALSE)))</f>
        <v/>
      </c>
      <c r="J94" s="40" t="n"/>
      <c r="L94" s="46">
        <f>IF($E94=L$3,$G94,0)-IF($H94=L$3,$J94,0)</f>
        <v/>
      </c>
      <c r="M94" s="47">
        <f>IF($E94=M$3,$G94,0)-IF($H94=M$3,$J94,0)</f>
        <v/>
      </c>
      <c r="N94" s="47">
        <f>IF($E94=N$3,$G94,0)-IF($H94=N$3,$J94,0)</f>
        <v/>
      </c>
      <c r="O94" s="47">
        <f>IF($E94=O$3,$G94,0)-IF($H94=O$3,$J94,0)</f>
        <v/>
      </c>
      <c r="P94" s="47">
        <f>IF($E94=P$3,$G94,0)-IF($H94=P$3,$J94,0)</f>
        <v/>
      </c>
      <c r="Q94" s="47">
        <f>IF($E94=Q$3,$G94,0)-IF($H94=Q$3,$J94,0)</f>
        <v/>
      </c>
      <c r="R94" s="47">
        <f>IF($E94=R$3,$G94,0)-IF($H94=R$3,$J94,0)</f>
        <v/>
      </c>
      <c r="S94" s="47">
        <f>IF($E94=S$3,$G94,0)-IF($H94=S$3,$J94,0)</f>
        <v/>
      </c>
      <c r="T94" s="47">
        <f>IF($E94=T$3,$G94,0)-IF($H94=T$3,$J94,0)</f>
        <v/>
      </c>
      <c r="U94" s="47">
        <f>IF($E94=U$3,$G94,0)-IF($H94=U$3,$J94,0)</f>
        <v/>
      </c>
      <c r="V94" s="47">
        <f>IF($E94=V$3,$G94,0)-IF($H94=V$3,$J94,0)</f>
        <v/>
      </c>
      <c r="W94" s="47">
        <f>IF($E94=W$3,$G94,0)-IF($H94=W$3,$J94,0)</f>
        <v/>
      </c>
      <c r="X94" s="47">
        <f>IF($E94=X$3,$G94,0)-IF($H94=X$3,$J94,0)</f>
        <v/>
      </c>
      <c r="Y94" s="47">
        <f>IF($E94=Y$3,$G94,0)-IF($H94=Y$3,$J94,0)</f>
        <v/>
      </c>
      <c r="Z94" s="47">
        <f>IF($E94=Z$3,$G94,0)-IF($H94=Z$3,$J94,0)</f>
        <v/>
      </c>
      <c r="AA94" s="47">
        <f>IF($E94=AA$3,$G94,0)-IF($H94=AA$3,$J94,0)</f>
        <v/>
      </c>
      <c r="AB94" s="47">
        <f>IF($E94=AB$3,$G94,0)-IF($H94=AB$3,$J94,0)</f>
        <v/>
      </c>
      <c r="AC94" s="47">
        <f>IF($E94=AC$3,$G94,0)-IF($H94=AC$3,$J94,0)</f>
        <v/>
      </c>
      <c r="AD94" s="47">
        <f>IF($E94=AD$3,$G94,0)-IF($H94=AD$3,$J94,0)</f>
        <v/>
      </c>
      <c r="AE94" s="47">
        <f>IF($E94=AE$3,$G94,0)-IF($H94=AE$3,$J94,0)</f>
        <v/>
      </c>
      <c r="AF94" s="47">
        <f>IF($E94=AF$3,$G94,0)-IF($H94=AF$3,$J94,0)</f>
        <v/>
      </c>
      <c r="AG94" s="47">
        <f>IF($E94=AG$3,$G94,0)-IF($H94=AG$3,$J94,0)</f>
        <v/>
      </c>
      <c r="AH94" s="47">
        <f>IF($E94=AH$3,$G94,0)-IF($H94=AH$3,$J94,0)</f>
        <v/>
      </c>
      <c r="AI94" s="47">
        <f>IF($E94=AI$3,$G94,0)-IF($H94=AI$3,$J94,0)</f>
        <v/>
      </c>
      <c r="AJ94" s="47">
        <f>IF($E94=AJ$3,$G94,0)-IF($H94=AJ$3,$J94,0)</f>
        <v/>
      </c>
      <c r="AK94" s="47">
        <f>IF($E94=AK$3,$G94,0)-IF($H94=AK$3,$J94,0)</f>
        <v/>
      </c>
      <c r="AL94" s="48">
        <f>IF($E94=AL$3,$G94,0)-IF($H94=AL$3,$J94,0)</f>
        <v/>
      </c>
      <c r="AM94" s="46">
        <f>-IF($E94=AM$3,$G94,0)+IF($H94=AM$3,$J94,0)</f>
        <v/>
      </c>
      <c r="AN94" s="47">
        <f>-IF($E94=AN$3,$G94,0)+IF($H94=AN$3,$J94,0)</f>
        <v/>
      </c>
      <c r="AO94" s="48">
        <f>-IF($E94=AO$3,$G94,0)+IF($H94=AO$3,$J94,0)</f>
        <v/>
      </c>
      <c r="AP94" s="46">
        <f>IF($E94=AP$3,$G94,0)-IF($H94=AP$3,$J94,0)</f>
        <v/>
      </c>
      <c r="AQ94" s="47">
        <f>IF($E94=AQ$3,$G94,0)-IF($H94=AQ$3,$J94,0)</f>
        <v/>
      </c>
      <c r="AR94" s="47">
        <f>IF($E94=AR$3,$G94,0)-IF($H94=AR$3,$J94,0)</f>
        <v/>
      </c>
      <c r="AS94" s="47">
        <f>IF($E94=AS$3,$G94,0)-IF($H94=AS$3,$J94,0)</f>
        <v/>
      </c>
      <c r="AT94" s="47">
        <f>IF($E94=AT$3,$G94,0)-IF($H94=AT$3,$J94,0)</f>
        <v/>
      </c>
      <c r="AU94" s="47">
        <f>IF($E94=AU$3,$G94,0)-IF($H94=AU$3,$J94,0)</f>
        <v/>
      </c>
      <c r="AV94" s="47">
        <f>IF($E94=AV$3,$G94,0)-IF($H94=AV$3,$J94,0)</f>
        <v/>
      </c>
      <c r="AW94" s="47">
        <f>IF($E94=AW$3,$G94,0)-IF($H94=AW$3,$J94,0)</f>
        <v/>
      </c>
      <c r="AX94" s="47">
        <f>IF($E94=AX$3,$G94,0)-IF($H94=AX$3,$J94,0)</f>
        <v/>
      </c>
      <c r="AY94" s="47">
        <f>IF($E94=AY$3,$G94,0)-IF($H94=AY$3,$J94,0)</f>
        <v/>
      </c>
      <c r="AZ94" s="47">
        <f>IF($E94=AZ$3,$G94,0)-IF($H94=AZ$3,$J94,0)</f>
        <v/>
      </c>
      <c r="BA94" s="47">
        <f>IF($E94=BA$3,$G94,0)-IF($H94=BA$3,$J94,0)</f>
        <v/>
      </c>
      <c r="BB94" s="47">
        <f>IF($E94=BB$3,$G94,0)-IF($H94=BB$3,$J94,0)</f>
        <v/>
      </c>
      <c r="BC94" s="47">
        <f>IF($E94=BC$3,$G94,0)-IF($H94=BC$3,$J94,0)</f>
        <v/>
      </c>
      <c r="BD94" s="47">
        <f>IF($E94=BD$3,$G94,0)-IF($H94=BD$3,$J94,0)</f>
        <v/>
      </c>
      <c r="BE94" s="47">
        <f>IF($E94=BE$3,$G94,0)-IF($H94=BE$3,$J94,0)</f>
        <v/>
      </c>
      <c r="BF94" s="47">
        <f>IF($E94=BF$3,$G94,0)-IF($H94=BF$3,$J94,0)</f>
        <v/>
      </c>
      <c r="BG94" s="47">
        <f>IF($E94=BG$3,$G94,0)-IF($H94=BG$3,$J94,0)</f>
        <v/>
      </c>
      <c r="BH94" s="47">
        <f>IF($E94=BH$3,$G94,0)-IF($H94=BH$3,$J94,0)</f>
        <v/>
      </c>
      <c r="BI94" s="47">
        <f>IF($E94=BI$3,$G94,0)-IF($H94=BI$3,$J94,0)</f>
        <v/>
      </c>
      <c r="BJ94" s="47">
        <f>IF($E94=BJ$3,$G94,0)-IF($H94=BJ$3,$J94,0)</f>
        <v/>
      </c>
      <c r="BK94" s="47">
        <f>IF($E94=BK$3,$G94,0)-IF($H94=BK$3,$J94,0)</f>
        <v/>
      </c>
      <c r="BL94" s="46">
        <f>-IF($E94=BL$3,$G94,0)+IF($H94=BL$3,$J94,0)</f>
        <v/>
      </c>
      <c r="BM94" s="47">
        <f>-IF($E94=BM$3,$G94,0)+IF($H94=BM$3,$J94,0)</f>
        <v/>
      </c>
      <c r="BN94" s="47">
        <f>-IF($E94=BN$3,$G94,0)+IF($H94=BN$3,$J94,0)</f>
        <v/>
      </c>
      <c r="BO94" s="47">
        <f>-IF($E94=BO$3,$G94,0)+IF($H94=BO$3,$J94,0)</f>
        <v/>
      </c>
      <c r="BP94" s="47">
        <f>-IF($E94=BP$3,$G94,0)+IF($H94=BP$3,$J94,0)</f>
        <v/>
      </c>
      <c r="BQ94" s="47">
        <f>-IF($E94=BQ$3,$G94,0)+IF($H94=BQ$3,$J94,0)</f>
        <v/>
      </c>
      <c r="BR94" s="47">
        <f>-IF($E94=BR$3,$G94,0)+IF($H94=BR$3,$J94,0)</f>
        <v/>
      </c>
      <c r="BS94" s="47">
        <f>-IF($E94=BS$3,$G94,0)+IF($H94=BS$3,$J94,0)</f>
        <v/>
      </c>
      <c r="BT94" s="47">
        <f>-IF($E94=BT$3,$G94,0)+IF($H94=BT$3,$J94,0)</f>
        <v/>
      </c>
      <c r="BU94" s="46">
        <f>+G94-J94</f>
        <v/>
      </c>
      <c r="BV94" s="48">
        <f>-IF($E94=BV$3,$G94,0)+IF($H94=BV$3,$J94,0)</f>
        <v/>
      </c>
      <c r="BW94" s="3" t="n"/>
    </row>
    <row r="95" ht="15.75" customHeight="1" s="214">
      <c r="A95" s="7" t="n"/>
      <c r="B95" s="8" t="n"/>
      <c r="C95" s="9" t="n"/>
      <c r="D95" s="10" t="n"/>
      <c r="E95" s="247" t="n"/>
      <c r="F95" s="11">
        <f>IF(E95="","",IF(ISNA(VLOOKUP(E95,科目コード表!$C$4:$D$67,2,FALSE)),"該当科目なし",VLOOKUP(E95,科目コード表!$C$4:$D$67,2,FALSE)))</f>
        <v/>
      </c>
      <c r="G95" s="38" t="n"/>
      <c r="H95" s="248" t="n"/>
      <c r="I95" s="11">
        <f>IF(H95="","",IF(ISNA(VLOOKUP(H95,科目コード表!$C$4:$D$67,2,FALSE)),"該当科目なし",VLOOKUP(H95,科目コード表!$C$4:$D$67,2,FALSE)))</f>
        <v/>
      </c>
      <c r="J95" s="40" t="n"/>
      <c r="L95" s="46">
        <f>IF($E95=L$3,$G95,0)-IF($H95=L$3,$J95,0)</f>
        <v/>
      </c>
      <c r="M95" s="47">
        <f>IF($E95=M$3,$G95,0)-IF($H95=M$3,$J95,0)</f>
        <v/>
      </c>
      <c r="N95" s="47">
        <f>IF($E95=N$3,$G95,0)-IF($H95=N$3,$J95,0)</f>
        <v/>
      </c>
      <c r="O95" s="47">
        <f>IF($E95=O$3,$G95,0)-IF($H95=O$3,$J95,0)</f>
        <v/>
      </c>
      <c r="P95" s="47">
        <f>IF($E95=P$3,$G95,0)-IF($H95=P$3,$J95,0)</f>
        <v/>
      </c>
      <c r="Q95" s="47">
        <f>IF($E95=Q$3,$G95,0)-IF($H95=Q$3,$J95,0)</f>
        <v/>
      </c>
      <c r="R95" s="47">
        <f>IF($E95=R$3,$G95,0)-IF($H95=R$3,$J95,0)</f>
        <v/>
      </c>
      <c r="S95" s="47">
        <f>IF($E95=S$3,$G95,0)-IF($H95=S$3,$J95,0)</f>
        <v/>
      </c>
      <c r="T95" s="47">
        <f>IF($E95=T$3,$G95,0)-IF($H95=T$3,$J95,0)</f>
        <v/>
      </c>
      <c r="U95" s="47">
        <f>IF($E95=U$3,$G95,0)-IF($H95=U$3,$J95,0)</f>
        <v/>
      </c>
      <c r="V95" s="47">
        <f>IF($E95=V$3,$G95,0)-IF($H95=V$3,$J95,0)</f>
        <v/>
      </c>
      <c r="W95" s="47">
        <f>IF($E95=W$3,$G95,0)-IF($H95=W$3,$J95,0)</f>
        <v/>
      </c>
      <c r="X95" s="47">
        <f>IF($E95=X$3,$G95,0)-IF($H95=X$3,$J95,0)</f>
        <v/>
      </c>
      <c r="Y95" s="47">
        <f>IF($E95=Y$3,$G95,0)-IF($H95=Y$3,$J95,0)</f>
        <v/>
      </c>
      <c r="Z95" s="47">
        <f>IF($E95=Z$3,$G95,0)-IF($H95=Z$3,$J95,0)</f>
        <v/>
      </c>
      <c r="AA95" s="47">
        <f>IF($E95=AA$3,$G95,0)-IF($H95=AA$3,$J95,0)</f>
        <v/>
      </c>
      <c r="AB95" s="47">
        <f>IF($E95=AB$3,$G95,0)-IF($H95=AB$3,$J95,0)</f>
        <v/>
      </c>
      <c r="AC95" s="47">
        <f>IF($E95=AC$3,$G95,0)-IF($H95=AC$3,$J95,0)</f>
        <v/>
      </c>
      <c r="AD95" s="47">
        <f>IF($E95=AD$3,$G95,0)-IF($H95=AD$3,$J95,0)</f>
        <v/>
      </c>
      <c r="AE95" s="47">
        <f>IF($E95=AE$3,$G95,0)-IF($H95=AE$3,$J95,0)</f>
        <v/>
      </c>
      <c r="AF95" s="47">
        <f>IF($E95=AF$3,$G95,0)-IF($H95=AF$3,$J95,0)</f>
        <v/>
      </c>
      <c r="AG95" s="47">
        <f>IF($E95=AG$3,$G95,0)-IF($H95=AG$3,$J95,0)</f>
        <v/>
      </c>
      <c r="AH95" s="47">
        <f>IF($E95=AH$3,$G95,0)-IF($H95=AH$3,$J95,0)</f>
        <v/>
      </c>
      <c r="AI95" s="47">
        <f>IF($E95=AI$3,$G95,0)-IF($H95=AI$3,$J95,0)</f>
        <v/>
      </c>
      <c r="AJ95" s="47">
        <f>IF($E95=AJ$3,$G95,0)-IF($H95=AJ$3,$J95,0)</f>
        <v/>
      </c>
      <c r="AK95" s="47">
        <f>IF($E95=AK$3,$G95,0)-IF($H95=AK$3,$J95,0)</f>
        <v/>
      </c>
      <c r="AL95" s="48">
        <f>IF($E95=AL$3,$G95,0)-IF($H95=AL$3,$J95,0)</f>
        <v/>
      </c>
      <c r="AM95" s="46">
        <f>-IF($E95=AM$3,$G95,0)+IF($H95=AM$3,$J95,0)</f>
        <v/>
      </c>
      <c r="AN95" s="47">
        <f>-IF($E95=AN$3,$G95,0)+IF($H95=AN$3,$J95,0)</f>
        <v/>
      </c>
      <c r="AO95" s="48">
        <f>-IF($E95=AO$3,$G95,0)+IF($H95=AO$3,$J95,0)</f>
        <v/>
      </c>
      <c r="AP95" s="46">
        <f>IF($E95=AP$3,$G95,0)-IF($H95=AP$3,$J95,0)</f>
        <v/>
      </c>
      <c r="AQ95" s="47">
        <f>IF($E95=AQ$3,$G95,0)-IF($H95=AQ$3,$J95,0)</f>
        <v/>
      </c>
      <c r="AR95" s="47">
        <f>IF($E95=AR$3,$G95,0)-IF($H95=AR$3,$J95,0)</f>
        <v/>
      </c>
      <c r="AS95" s="47">
        <f>IF($E95=AS$3,$G95,0)-IF($H95=AS$3,$J95,0)</f>
        <v/>
      </c>
      <c r="AT95" s="47">
        <f>IF($E95=AT$3,$G95,0)-IF($H95=AT$3,$J95,0)</f>
        <v/>
      </c>
      <c r="AU95" s="47">
        <f>IF($E95=AU$3,$G95,0)-IF($H95=AU$3,$J95,0)</f>
        <v/>
      </c>
      <c r="AV95" s="47">
        <f>IF($E95=AV$3,$G95,0)-IF($H95=AV$3,$J95,0)</f>
        <v/>
      </c>
      <c r="AW95" s="47">
        <f>IF($E95=AW$3,$G95,0)-IF($H95=AW$3,$J95,0)</f>
        <v/>
      </c>
      <c r="AX95" s="47">
        <f>IF($E95=AX$3,$G95,0)-IF($H95=AX$3,$J95,0)</f>
        <v/>
      </c>
      <c r="AY95" s="47">
        <f>IF($E95=AY$3,$G95,0)-IF($H95=AY$3,$J95,0)</f>
        <v/>
      </c>
      <c r="AZ95" s="47">
        <f>IF($E95=AZ$3,$G95,0)-IF($H95=AZ$3,$J95,0)</f>
        <v/>
      </c>
      <c r="BA95" s="47">
        <f>IF($E95=BA$3,$G95,0)-IF($H95=BA$3,$J95,0)</f>
        <v/>
      </c>
      <c r="BB95" s="47">
        <f>IF($E95=BB$3,$G95,0)-IF($H95=BB$3,$J95,0)</f>
        <v/>
      </c>
      <c r="BC95" s="47">
        <f>IF($E95=BC$3,$G95,0)-IF($H95=BC$3,$J95,0)</f>
        <v/>
      </c>
      <c r="BD95" s="47">
        <f>IF($E95=BD$3,$G95,0)-IF($H95=BD$3,$J95,0)</f>
        <v/>
      </c>
      <c r="BE95" s="47">
        <f>IF($E95=BE$3,$G95,0)-IF($H95=BE$3,$J95,0)</f>
        <v/>
      </c>
      <c r="BF95" s="47">
        <f>IF($E95=BF$3,$G95,0)-IF($H95=BF$3,$J95,0)</f>
        <v/>
      </c>
      <c r="BG95" s="47">
        <f>IF($E95=BG$3,$G95,0)-IF($H95=BG$3,$J95,0)</f>
        <v/>
      </c>
      <c r="BH95" s="47">
        <f>IF($E95=BH$3,$G95,0)-IF($H95=BH$3,$J95,0)</f>
        <v/>
      </c>
      <c r="BI95" s="47">
        <f>IF($E95=BI$3,$G95,0)-IF($H95=BI$3,$J95,0)</f>
        <v/>
      </c>
      <c r="BJ95" s="47">
        <f>IF($E95=BJ$3,$G95,0)-IF($H95=BJ$3,$J95,0)</f>
        <v/>
      </c>
      <c r="BK95" s="47">
        <f>IF($E95=BK$3,$G95,0)-IF($H95=BK$3,$J95,0)</f>
        <v/>
      </c>
      <c r="BL95" s="46">
        <f>-IF($E95=BL$3,$G95,0)+IF($H95=BL$3,$J95,0)</f>
        <v/>
      </c>
      <c r="BM95" s="47">
        <f>-IF($E95=BM$3,$G95,0)+IF($H95=BM$3,$J95,0)</f>
        <v/>
      </c>
      <c r="BN95" s="47">
        <f>-IF($E95=BN$3,$G95,0)+IF($H95=BN$3,$J95,0)</f>
        <v/>
      </c>
      <c r="BO95" s="47">
        <f>-IF($E95=BO$3,$G95,0)+IF($H95=BO$3,$J95,0)</f>
        <v/>
      </c>
      <c r="BP95" s="47">
        <f>-IF($E95=BP$3,$G95,0)+IF($H95=BP$3,$J95,0)</f>
        <v/>
      </c>
      <c r="BQ95" s="47">
        <f>-IF($E95=BQ$3,$G95,0)+IF($H95=BQ$3,$J95,0)</f>
        <v/>
      </c>
      <c r="BR95" s="47">
        <f>-IF($E95=BR$3,$G95,0)+IF($H95=BR$3,$J95,0)</f>
        <v/>
      </c>
      <c r="BS95" s="47">
        <f>-IF($E95=BS$3,$G95,0)+IF($H95=BS$3,$J95,0)</f>
        <v/>
      </c>
      <c r="BT95" s="47">
        <f>-IF($E95=BT$3,$G95,0)+IF($H95=BT$3,$J95,0)</f>
        <v/>
      </c>
      <c r="BU95" s="46">
        <f>+G95-J95</f>
        <v/>
      </c>
      <c r="BV95" s="48">
        <f>-IF($E95=BV$3,$G95,0)+IF($H95=BV$3,$J95,0)</f>
        <v/>
      </c>
      <c r="BW95" s="3" t="n"/>
    </row>
    <row r="96" ht="15.75" customHeight="1" s="214">
      <c r="A96" s="7" t="n"/>
      <c r="B96" s="8" t="n"/>
      <c r="C96" s="9" t="n"/>
      <c r="D96" s="10" t="n"/>
      <c r="E96" s="247" t="n"/>
      <c r="F96" s="11">
        <f>IF(E96="","",IF(ISNA(VLOOKUP(E96,科目コード表!$C$4:$D$67,2,FALSE)),"該当科目なし",VLOOKUP(E96,科目コード表!$C$4:$D$67,2,FALSE)))</f>
        <v/>
      </c>
      <c r="G96" s="38" t="n"/>
      <c r="H96" s="248" t="n"/>
      <c r="I96" s="11">
        <f>IF(H96="","",IF(ISNA(VLOOKUP(H96,科目コード表!$C$4:$D$67,2,FALSE)),"該当科目なし",VLOOKUP(H96,科目コード表!$C$4:$D$67,2,FALSE)))</f>
        <v/>
      </c>
      <c r="J96" s="40" t="n"/>
      <c r="L96" s="46">
        <f>IF($E96=L$3,$G96,0)-IF($H96=L$3,$J96,0)</f>
        <v/>
      </c>
      <c r="M96" s="47">
        <f>IF($E96=M$3,$G96,0)-IF($H96=M$3,$J96,0)</f>
        <v/>
      </c>
      <c r="N96" s="47">
        <f>IF($E96=N$3,$G96,0)-IF($H96=N$3,$J96,0)</f>
        <v/>
      </c>
      <c r="O96" s="47">
        <f>IF($E96=O$3,$G96,0)-IF($H96=O$3,$J96,0)</f>
        <v/>
      </c>
      <c r="P96" s="47">
        <f>IF($E96=P$3,$G96,0)-IF($H96=P$3,$J96,0)</f>
        <v/>
      </c>
      <c r="Q96" s="47">
        <f>IF($E96=Q$3,$G96,0)-IF($H96=Q$3,$J96,0)</f>
        <v/>
      </c>
      <c r="R96" s="47">
        <f>IF($E96=R$3,$G96,0)-IF($H96=R$3,$J96,0)</f>
        <v/>
      </c>
      <c r="S96" s="47">
        <f>IF($E96=S$3,$G96,0)-IF($H96=S$3,$J96,0)</f>
        <v/>
      </c>
      <c r="T96" s="47">
        <f>IF($E96=T$3,$G96,0)-IF($H96=T$3,$J96,0)</f>
        <v/>
      </c>
      <c r="U96" s="47">
        <f>IF($E96=U$3,$G96,0)-IF($H96=U$3,$J96,0)</f>
        <v/>
      </c>
      <c r="V96" s="47">
        <f>IF($E96=V$3,$G96,0)-IF($H96=V$3,$J96,0)</f>
        <v/>
      </c>
      <c r="W96" s="47">
        <f>IF($E96=W$3,$G96,0)-IF($H96=W$3,$J96,0)</f>
        <v/>
      </c>
      <c r="X96" s="47">
        <f>IF($E96=X$3,$G96,0)-IF($H96=X$3,$J96,0)</f>
        <v/>
      </c>
      <c r="Y96" s="47">
        <f>IF($E96=Y$3,$G96,0)-IF($H96=Y$3,$J96,0)</f>
        <v/>
      </c>
      <c r="Z96" s="47">
        <f>IF($E96=Z$3,$G96,0)-IF($H96=Z$3,$J96,0)</f>
        <v/>
      </c>
      <c r="AA96" s="47">
        <f>IF($E96=AA$3,$G96,0)-IF($H96=AA$3,$J96,0)</f>
        <v/>
      </c>
      <c r="AB96" s="47">
        <f>IF($E96=AB$3,$G96,0)-IF($H96=AB$3,$J96,0)</f>
        <v/>
      </c>
      <c r="AC96" s="47">
        <f>IF($E96=AC$3,$G96,0)-IF($H96=AC$3,$J96,0)</f>
        <v/>
      </c>
      <c r="AD96" s="47">
        <f>IF($E96=AD$3,$G96,0)-IF($H96=AD$3,$J96,0)</f>
        <v/>
      </c>
      <c r="AE96" s="47">
        <f>IF($E96=AE$3,$G96,0)-IF($H96=AE$3,$J96,0)</f>
        <v/>
      </c>
      <c r="AF96" s="47">
        <f>IF($E96=AF$3,$G96,0)-IF($H96=AF$3,$J96,0)</f>
        <v/>
      </c>
      <c r="AG96" s="47">
        <f>IF($E96=AG$3,$G96,0)-IF($H96=AG$3,$J96,0)</f>
        <v/>
      </c>
      <c r="AH96" s="47">
        <f>IF($E96=AH$3,$G96,0)-IF($H96=AH$3,$J96,0)</f>
        <v/>
      </c>
      <c r="AI96" s="47">
        <f>IF($E96=AI$3,$G96,0)-IF($H96=AI$3,$J96,0)</f>
        <v/>
      </c>
      <c r="AJ96" s="47">
        <f>IF($E96=AJ$3,$G96,0)-IF($H96=AJ$3,$J96,0)</f>
        <v/>
      </c>
      <c r="AK96" s="47">
        <f>IF($E96=AK$3,$G96,0)-IF($H96=AK$3,$J96,0)</f>
        <v/>
      </c>
      <c r="AL96" s="48">
        <f>IF($E96=AL$3,$G96,0)-IF($H96=AL$3,$J96,0)</f>
        <v/>
      </c>
      <c r="AM96" s="46">
        <f>-IF($E96=AM$3,$G96,0)+IF($H96=AM$3,$J96,0)</f>
        <v/>
      </c>
      <c r="AN96" s="47">
        <f>-IF($E96=AN$3,$G96,0)+IF($H96=AN$3,$J96,0)</f>
        <v/>
      </c>
      <c r="AO96" s="48">
        <f>-IF($E96=AO$3,$G96,0)+IF($H96=AO$3,$J96,0)</f>
        <v/>
      </c>
      <c r="AP96" s="46">
        <f>IF($E96=AP$3,$G96,0)-IF($H96=AP$3,$J96,0)</f>
        <v/>
      </c>
      <c r="AQ96" s="47">
        <f>IF($E96=AQ$3,$G96,0)-IF($H96=AQ$3,$J96,0)</f>
        <v/>
      </c>
      <c r="AR96" s="47">
        <f>IF($E96=AR$3,$G96,0)-IF($H96=AR$3,$J96,0)</f>
        <v/>
      </c>
      <c r="AS96" s="47">
        <f>IF($E96=AS$3,$G96,0)-IF($H96=AS$3,$J96,0)</f>
        <v/>
      </c>
      <c r="AT96" s="47">
        <f>IF($E96=AT$3,$G96,0)-IF($H96=AT$3,$J96,0)</f>
        <v/>
      </c>
      <c r="AU96" s="47">
        <f>IF($E96=AU$3,$G96,0)-IF($H96=AU$3,$J96,0)</f>
        <v/>
      </c>
      <c r="AV96" s="47">
        <f>IF($E96=AV$3,$G96,0)-IF($H96=AV$3,$J96,0)</f>
        <v/>
      </c>
      <c r="AW96" s="47">
        <f>IF($E96=AW$3,$G96,0)-IF($H96=AW$3,$J96,0)</f>
        <v/>
      </c>
      <c r="AX96" s="47">
        <f>IF($E96=AX$3,$G96,0)-IF($H96=AX$3,$J96,0)</f>
        <v/>
      </c>
      <c r="AY96" s="47">
        <f>IF($E96=AY$3,$G96,0)-IF($H96=AY$3,$J96,0)</f>
        <v/>
      </c>
      <c r="AZ96" s="47">
        <f>IF($E96=AZ$3,$G96,0)-IF($H96=AZ$3,$J96,0)</f>
        <v/>
      </c>
      <c r="BA96" s="47">
        <f>IF($E96=BA$3,$G96,0)-IF($H96=BA$3,$J96,0)</f>
        <v/>
      </c>
      <c r="BB96" s="47">
        <f>IF($E96=BB$3,$G96,0)-IF($H96=BB$3,$J96,0)</f>
        <v/>
      </c>
      <c r="BC96" s="47">
        <f>IF($E96=BC$3,$G96,0)-IF($H96=BC$3,$J96,0)</f>
        <v/>
      </c>
      <c r="BD96" s="47">
        <f>IF($E96=BD$3,$G96,0)-IF($H96=BD$3,$J96,0)</f>
        <v/>
      </c>
      <c r="BE96" s="47">
        <f>IF($E96=BE$3,$G96,0)-IF($H96=BE$3,$J96,0)</f>
        <v/>
      </c>
      <c r="BF96" s="47">
        <f>IF($E96=BF$3,$G96,0)-IF($H96=BF$3,$J96,0)</f>
        <v/>
      </c>
      <c r="BG96" s="47">
        <f>IF($E96=BG$3,$G96,0)-IF($H96=BG$3,$J96,0)</f>
        <v/>
      </c>
      <c r="BH96" s="47">
        <f>IF($E96=BH$3,$G96,0)-IF($H96=BH$3,$J96,0)</f>
        <v/>
      </c>
      <c r="BI96" s="47">
        <f>IF($E96=BI$3,$G96,0)-IF($H96=BI$3,$J96,0)</f>
        <v/>
      </c>
      <c r="BJ96" s="47">
        <f>IF($E96=BJ$3,$G96,0)-IF($H96=BJ$3,$J96,0)</f>
        <v/>
      </c>
      <c r="BK96" s="47">
        <f>IF($E96=BK$3,$G96,0)-IF($H96=BK$3,$J96,0)</f>
        <v/>
      </c>
      <c r="BL96" s="46">
        <f>-IF($E96=BL$3,$G96,0)+IF($H96=BL$3,$J96,0)</f>
        <v/>
      </c>
      <c r="BM96" s="47">
        <f>-IF($E96=BM$3,$G96,0)+IF($H96=BM$3,$J96,0)</f>
        <v/>
      </c>
      <c r="BN96" s="47">
        <f>-IF($E96=BN$3,$G96,0)+IF($H96=BN$3,$J96,0)</f>
        <v/>
      </c>
      <c r="BO96" s="47">
        <f>-IF($E96=BO$3,$G96,0)+IF($H96=BO$3,$J96,0)</f>
        <v/>
      </c>
      <c r="BP96" s="47">
        <f>-IF($E96=BP$3,$G96,0)+IF($H96=BP$3,$J96,0)</f>
        <v/>
      </c>
      <c r="BQ96" s="47">
        <f>-IF($E96=BQ$3,$G96,0)+IF($H96=BQ$3,$J96,0)</f>
        <v/>
      </c>
      <c r="BR96" s="47">
        <f>-IF($E96=BR$3,$G96,0)+IF($H96=BR$3,$J96,0)</f>
        <v/>
      </c>
      <c r="BS96" s="47">
        <f>-IF($E96=BS$3,$G96,0)+IF($H96=BS$3,$J96,0)</f>
        <v/>
      </c>
      <c r="BT96" s="47">
        <f>-IF($E96=BT$3,$G96,0)+IF($H96=BT$3,$J96,0)</f>
        <v/>
      </c>
      <c r="BU96" s="46">
        <f>+G96-J96</f>
        <v/>
      </c>
      <c r="BV96" s="48">
        <f>-IF($E96=BV$3,$G96,0)+IF($H96=BV$3,$J96,0)</f>
        <v/>
      </c>
      <c r="BW96" s="3" t="n"/>
    </row>
    <row r="97" ht="15.75" customHeight="1" s="214">
      <c r="A97" s="7" t="n"/>
      <c r="B97" s="8" t="n"/>
      <c r="C97" s="9" t="n"/>
      <c r="D97" s="10" t="n"/>
      <c r="E97" s="247" t="n"/>
      <c r="F97" s="11">
        <f>IF(E97="","",IF(ISNA(VLOOKUP(E97,科目コード表!$C$4:$D$67,2,FALSE)),"該当科目なし",VLOOKUP(E97,科目コード表!$C$4:$D$67,2,FALSE)))</f>
        <v/>
      </c>
      <c r="G97" s="38" t="n"/>
      <c r="H97" s="248" t="n"/>
      <c r="I97" s="11">
        <f>IF(H97="","",IF(ISNA(VLOOKUP(H97,科目コード表!$C$4:$D$67,2,FALSE)),"該当科目なし",VLOOKUP(H97,科目コード表!$C$4:$D$67,2,FALSE)))</f>
        <v/>
      </c>
      <c r="J97" s="40" t="n"/>
      <c r="L97" s="46">
        <f>IF($E97=L$3,$G97,0)-IF($H97=L$3,$J97,0)</f>
        <v/>
      </c>
      <c r="M97" s="47">
        <f>IF($E97=M$3,$G97,0)-IF($H97=M$3,$J97,0)</f>
        <v/>
      </c>
      <c r="N97" s="47">
        <f>IF($E97=N$3,$G97,0)-IF($H97=N$3,$J97,0)</f>
        <v/>
      </c>
      <c r="O97" s="47">
        <f>IF($E97=O$3,$G97,0)-IF($H97=O$3,$J97,0)</f>
        <v/>
      </c>
      <c r="P97" s="47">
        <f>IF($E97=P$3,$G97,0)-IF($H97=P$3,$J97,0)</f>
        <v/>
      </c>
      <c r="Q97" s="47">
        <f>IF($E97=Q$3,$G97,0)-IF($H97=Q$3,$J97,0)</f>
        <v/>
      </c>
      <c r="R97" s="47">
        <f>IF($E97=R$3,$G97,0)-IF($H97=R$3,$J97,0)</f>
        <v/>
      </c>
      <c r="S97" s="47">
        <f>IF($E97=S$3,$G97,0)-IF($H97=S$3,$J97,0)</f>
        <v/>
      </c>
      <c r="T97" s="47">
        <f>IF($E97=T$3,$G97,0)-IF($H97=T$3,$J97,0)</f>
        <v/>
      </c>
      <c r="U97" s="47">
        <f>IF($E97=U$3,$G97,0)-IF($H97=U$3,$J97,0)</f>
        <v/>
      </c>
      <c r="V97" s="47">
        <f>IF($E97=V$3,$G97,0)-IF($H97=V$3,$J97,0)</f>
        <v/>
      </c>
      <c r="W97" s="47">
        <f>IF($E97=W$3,$G97,0)-IF($H97=W$3,$J97,0)</f>
        <v/>
      </c>
      <c r="X97" s="47">
        <f>IF($E97=X$3,$G97,0)-IF($H97=X$3,$J97,0)</f>
        <v/>
      </c>
      <c r="Y97" s="47">
        <f>IF($E97=Y$3,$G97,0)-IF($H97=Y$3,$J97,0)</f>
        <v/>
      </c>
      <c r="Z97" s="47">
        <f>IF($E97=Z$3,$G97,0)-IF($H97=Z$3,$J97,0)</f>
        <v/>
      </c>
      <c r="AA97" s="47">
        <f>IF($E97=AA$3,$G97,0)-IF($H97=AA$3,$J97,0)</f>
        <v/>
      </c>
      <c r="AB97" s="47">
        <f>IF($E97=AB$3,$G97,0)-IF($H97=AB$3,$J97,0)</f>
        <v/>
      </c>
      <c r="AC97" s="47">
        <f>IF($E97=AC$3,$G97,0)-IF($H97=AC$3,$J97,0)</f>
        <v/>
      </c>
      <c r="AD97" s="47">
        <f>IF($E97=AD$3,$G97,0)-IF($H97=AD$3,$J97,0)</f>
        <v/>
      </c>
      <c r="AE97" s="47">
        <f>IF($E97=AE$3,$G97,0)-IF($H97=AE$3,$J97,0)</f>
        <v/>
      </c>
      <c r="AF97" s="47">
        <f>IF($E97=AF$3,$G97,0)-IF($H97=AF$3,$J97,0)</f>
        <v/>
      </c>
      <c r="AG97" s="47">
        <f>IF($E97=AG$3,$G97,0)-IF($H97=AG$3,$J97,0)</f>
        <v/>
      </c>
      <c r="AH97" s="47">
        <f>IF($E97=AH$3,$G97,0)-IF($H97=AH$3,$J97,0)</f>
        <v/>
      </c>
      <c r="AI97" s="47">
        <f>IF($E97=AI$3,$G97,0)-IF($H97=AI$3,$J97,0)</f>
        <v/>
      </c>
      <c r="AJ97" s="47">
        <f>IF($E97=AJ$3,$G97,0)-IF($H97=AJ$3,$J97,0)</f>
        <v/>
      </c>
      <c r="AK97" s="47">
        <f>IF($E97=AK$3,$G97,0)-IF($H97=AK$3,$J97,0)</f>
        <v/>
      </c>
      <c r="AL97" s="48">
        <f>IF($E97=AL$3,$G97,0)-IF($H97=AL$3,$J97,0)</f>
        <v/>
      </c>
      <c r="AM97" s="46">
        <f>-IF($E97=AM$3,$G97,0)+IF($H97=AM$3,$J97,0)</f>
        <v/>
      </c>
      <c r="AN97" s="47">
        <f>-IF($E97=AN$3,$G97,0)+IF($H97=AN$3,$J97,0)</f>
        <v/>
      </c>
      <c r="AO97" s="48">
        <f>-IF($E97=AO$3,$G97,0)+IF($H97=AO$3,$J97,0)</f>
        <v/>
      </c>
      <c r="AP97" s="46">
        <f>IF($E97=AP$3,$G97,0)-IF($H97=AP$3,$J97,0)</f>
        <v/>
      </c>
      <c r="AQ97" s="47">
        <f>IF($E97=AQ$3,$G97,0)-IF($H97=AQ$3,$J97,0)</f>
        <v/>
      </c>
      <c r="AR97" s="47">
        <f>IF($E97=AR$3,$G97,0)-IF($H97=AR$3,$J97,0)</f>
        <v/>
      </c>
      <c r="AS97" s="47">
        <f>IF($E97=AS$3,$G97,0)-IF($H97=AS$3,$J97,0)</f>
        <v/>
      </c>
      <c r="AT97" s="47">
        <f>IF($E97=AT$3,$G97,0)-IF($H97=AT$3,$J97,0)</f>
        <v/>
      </c>
      <c r="AU97" s="47">
        <f>IF($E97=AU$3,$G97,0)-IF($H97=AU$3,$J97,0)</f>
        <v/>
      </c>
      <c r="AV97" s="47">
        <f>IF($E97=AV$3,$G97,0)-IF($H97=AV$3,$J97,0)</f>
        <v/>
      </c>
      <c r="AW97" s="47">
        <f>IF($E97=AW$3,$G97,0)-IF($H97=AW$3,$J97,0)</f>
        <v/>
      </c>
      <c r="AX97" s="47">
        <f>IF($E97=AX$3,$G97,0)-IF($H97=AX$3,$J97,0)</f>
        <v/>
      </c>
      <c r="AY97" s="47">
        <f>IF($E97=AY$3,$G97,0)-IF($H97=AY$3,$J97,0)</f>
        <v/>
      </c>
      <c r="AZ97" s="47">
        <f>IF($E97=AZ$3,$G97,0)-IF($H97=AZ$3,$J97,0)</f>
        <v/>
      </c>
      <c r="BA97" s="47">
        <f>IF($E97=BA$3,$G97,0)-IF($H97=BA$3,$J97,0)</f>
        <v/>
      </c>
      <c r="BB97" s="47">
        <f>IF($E97=BB$3,$G97,0)-IF($H97=BB$3,$J97,0)</f>
        <v/>
      </c>
      <c r="BC97" s="47">
        <f>IF($E97=BC$3,$G97,0)-IF($H97=BC$3,$J97,0)</f>
        <v/>
      </c>
      <c r="BD97" s="47">
        <f>IF($E97=BD$3,$G97,0)-IF($H97=BD$3,$J97,0)</f>
        <v/>
      </c>
      <c r="BE97" s="47">
        <f>IF($E97=BE$3,$G97,0)-IF($H97=BE$3,$J97,0)</f>
        <v/>
      </c>
      <c r="BF97" s="47">
        <f>IF($E97=BF$3,$G97,0)-IF($H97=BF$3,$J97,0)</f>
        <v/>
      </c>
      <c r="BG97" s="47">
        <f>IF($E97=BG$3,$G97,0)-IF($H97=BG$3,$J97,0)</f>
        <v/>
      </c>
      <c r="BH97" s="47">
        <f>IF($E97=BH$3,$G97,0)-IF($H97=BH$3,$J97,0)</f>
        <v/>
      </c>
      <c r="BI97" s="47">
        <f>IF($E97=BI$3,$G97,0)-IF($H97=BI$3,$J97,0)</f>
        <v/>
      </c>
      <c r="BJ97" s="47">
        <f>IF($E97=BJ$3,$G97,0)-IF($H97=BJ$3,$J97,0)</f>
        <v/>
      </c>
      <c r="BK97" s="47">
        <f>IF($E97=BK$3,$G97,0)-IF($H97=BK$3,$J97,0)</f>
        <v/>
      </c>
      <c r="BL97" s="46">
        <f>-IF($E97=BL$3,$G97,0)+IF($H97=BL$3,$J97,0)</f>
        <v/>
      </c>
      <c r="BM97" s="47">
        <f>-IF($E97=BM$3,$G97,0)+IF($H97=BM$3,$J97,0)</f>
        <v/>
      </c>
      <c r="BN97" s="47">
        <f>-IF($E97=BN$3,$G97,0)+IF($H97=BN$3,$J97,0)</f>
        <v/>
      </c>
      <c r="BO97" s="47">
        <f>-IF($E97=BO$3,$G97,0)+IF($H97=BO$3,$J97,0)</f>
        <v/>
      </c>
      <c r="BP97" s="47">
        <f>-IF($E97=BP$3,$G97,0)+IF($H97=BP$3,$J97,0)</f>
        <v/>
      </c>
      <c r="BQ97" s="47">
        <f>-IF($E97=BQ$3,$G97,0)+IF($H97=BQ$3,$J97,0)</f>
        <v/>
      </c>
      <c r="BR97" s="47">
        <f>-IF($E97=BR$3,$G97,0)+IF($H97=BR$3,$J97,0)</f>
        <v/>
      </c>
      <c r="BS97" s="47">
        <f>-IF($E97=BS$3,$G97,0)+IF($H97=BS$3,$J97,0)</f>
        <v/>
      </c>
      <c r="BT97" s="47">
        <f>-IF($E97=BT$3,$G97,0)+IF($H97=BT$3,$J97,0)</f>
        <v/>
      </c>
      <c r="BU97" s="46">
        <f>+G97-J97</f>
        <v/>
      </c>
      <c r="BV97" s="48">
        <f>-IF($E97=BV$3,$G97,0)+IF($H97=BV$3,$J97,0)</f>
        <v/>
      </c>
      <c r="BW97" s="3" t="n"/>
    </row>
    <row r="98" ht="15.75" customHeight="1" s="214">
      <c r="A98" s="7" t="n"/>
      <c r="B98" s="8" t="n"/>
      <c r="C98" s="9" t="n"/>
      <c r="D98" s="10" t="n"/>
      <c r="E98" s="247" t="n"/>
      <c r="F98" s="11">
        <f>IF(E98="","",IF(ISNA(VLOOKUP(E98,科目コード表!$C$4:$D$67,2,FALSE)),"該当科目なし",VLOOKUP(E98,科目コード表!$C$4:$D$67,2,FALSE)))</f>
        <v/>
      </c>
      <c r="G98" s="38" t="n"/>
      <c r="H98" s="248" t="n"/>
      <c r="I98" s="11">
        <f>IF(H98="","",IF(ISNA(VLOOKUP(H98,科目コード表!$C$4:$D$67,2,FALSE)),"該当科目なし",VLOOKUP(H98,科目コード表!$C$4:$D$67,2,FALSE)))</f>
        <v/>
      </c>
      <c r="J98" s="40" t="n"/>
      <c r="L98" s="46">
        <f>IF($E98=L$3,$G98,0)-IF($H98=L$3,$J98,0)</f>
        <v/>
      </c>
      <c r="M98" s="47">
        <f>IF($E98=M$3,$G98,0)-IF($H98=M$3,$J98,0)</f>
        <v/>
      </c>
      <c r="N98" s="47">
        <f>IF($E98=N$3,$G98,0)-IF($H98=N$3,$J98,0)</f>
        <v/>
      </c>
      <c r="O98" s="47">
        <f>IF($E98=O$3,$G98,0)-IF($H98=O$3,$J98,0)</f>
        <v/>
      </c>
      <c r="P98" s="47">
        <f>IF($E98=P$3,$G98,0)-IF($H98=P$3,$J98,0)</f>
        <v/>
      </c>
      <c r="Q98" s="47">
        <f>IF($E98=Q$3,$G98,0)-IF($H98=Q$3,$J98,0)</f>
        <v/>
      </c>
      <c r="R98" s="47">
        <f>IF($E98=R$3,$G98,0)-IF($H98=R$3,$J98,0)</f>
        <v/>
      </c>
      <c r="S98" s="47">
        <f>IF($E98=S$3,$G98,0)-IF($H98=S$3,$J98,0)</f>
        <v/>
      </c>
      <c r="T98" s="47">
        <f>IF($E98=T$3,$G98,0)-IF($H98=T$3,$J98,0)</f>
        <v/>
      </c>
      <c r="U98" s="47">
        <f>IF($E98=U$3,$G98,0)-IF($H98=U$3,$J98,0)</f>
        <v/>
      </c>
      <c r="V98" s="47">
        <f>IF($E98=V$3,$G98,0)-IF($H98=V$3,$J98,0)</f>
        <v/>
      </c>
      <c r="W98" s="47">
        <f>IF($E98=W$3,$G98,0)-IF($H98=W$3,$J98,0)</f>
        <v/>
      </c>
      <c r="X98" s="47">
        <f>IF($E98=X$3,$G98,0)-IF($H98=X$3,$J98,0)</f>
        <v/>
      </c>
      <c r="Y98" s="47">
        <f>IF($E98=Y$3,$G98,0)-IF($H98=Y$3,$J98,0)</f>
        <v/>
      </c>
      <c r="Z98" s="47">
        <f>IF($E98=Z$3,$G98,0)-IF($H98=Z$3,$J98,0)</f>
        <v/>
      </c>
      <c r="AA98" s="47">
        <f>IF($E98=AA$3,$G98,0)-IF($H98=AA$3,$J98,0)</f>
        <v/>
      </c>
      <c r="AB98" s="47">
        <f>IF($E98=AB$3,$G98,0)-IF($H98=AB$3,$J98,0)</f>
        <v/>
      </c>
      <c r="AC98" s="47">
        <f>IF($E98=AC$3,$G98,0)-IF($H98=AC$3,$J98,0)</f>
        <v/>
      </c>
      <c r="AD98" s="47">
        <f>IF($E98=AD$3,$G98,0)-IF($H98=AD$3,$J98,0)</f>
        <v/>
      </c>
      <c r="AE98" s="47">
        <f>IF($E98=AE$3,$G98,0)-IF($H98=AE$3,$J98,0)</f>
        <v/>
      </c>
      <c r="AF98" s="47">
        <f>IF($E98=AF$3,$G98,0)-IF($H98=AF$3,$J98,0)</f>
        <v/>
      </c>
      <c r="AG98" s="47">
        <f>IF($E98=AG$3,$G98,0)-IF($H98=AG$3,$J98,0)</f>
        <v/>
      </c>
      <c r="AH98" s="47">
        <f>IF($E98=AH$3,$G98,0)-IF($H98=AH$3,$J98,0)</f>
        <v/>
      </c>
      <c r="AI98" s="47">
        <f>IF($E98=AI$3,$G98,0)-IF($H98=AI$3,$J98,0)</f>
        <v/>
      </c>
      <c r="AJ98" s="47">
        <f>IF($E98=AJ$3,$G98,0)-IF($H98=AJ$3,$J98,0)</f>
        <v/>
      </c>
      <c r="AK98" s="47">
        <f>IF($E98=AK$3,$G98,0)-IF($H98=AK$3,$J98,0)</f>
        <v/>
      </c>
      <c r="AL98" s="48">
        <f>IF($E98=AL$3,$G98,0)-IF($H98=AL$3,$J98,0)</f>
        <v/>
      </c>
      <c r="AM98" s="46">
        <f>-IF($E98=AM$3,$G98,0)+IF($H98=AM$3,$J98,0)</f>
        <v/>
      </c>
      <c r="AN98" s="47">
        <f>-IF($E98=AN$3,$G98,0)+IF($H98=AN$3,$J98,0)</f>
        <v/>
      </c>
      <c r="AO98" s="48">
        <f>-IF($E98=AO$3,$G98,0)+IF($H98=AO$3,$J98,0)</f>
        <v/>
      </c>
      <c r="AP98" s="46">
        <f>IF($E98=AP$3,$G98,0)-IF($H98=AP$3,$J98,0)</f>
        <v/>
      </c>
      <c r="AQ98" s="47">
        <f>IF($E98=AQ$3,$G98,0)-IF($H98=AQ$3,$J98,0)</f>
        <v/>
      </c>
      <c r="AR98" s="47">
        <f>IF($E98=AR$3,$G98,0)-IF($H98=AR$3,$J98,0)</f>
        <v/>
      </c>
      <c r="AS98" s="47">
        <f>IF($E98=AS$3,$G98,0)-IF($H98=AS$3,$J98,0)</f>
        <v/>
      </c>
      <c r="AT98" s="47">
        <f>IF($E98=AT$3,$G98,0)-IF($H98=AT$3,$J98,0)</f>
        <v/>
      </c>
      <c r="AU98" s="47">
        <f>IF($E98=AU$3,$G98,0)-IF($H98=AU$3,$J98,0)</f>
        <v/>
      </c>
      <c r="AV98" s="47">
        <f>IF($E98=AV$3,$G98,0)-IF($H98=AV$3,$J98,0)</f>
        <v/>
      </c>
      <c r="AW98" s="47">
        <f>IF($E98=AW$3,$G98,0)-IF($H98=AW$3,$J98,0)</f>
        <v/>
      </c>
      <c r="AX98" s="47">
        <f>IF($E98=AX$3,$G98,0)-IF($H98=AX$3,$J98,0)</f>
        <v/>
      </c>
      <c r="AY98" s="47">
        <f>IF($E98=AY$3,$G98,0)-IF($H98=AY$3,$J98,0)</f>
        <v/>
      </c>
      <c r="AZ98" s="47">
        <f>IF($E98=AZ$3,$G98,0)-IF($H98=AZ$3,$J98,0)</f>
        <v/>
      </c>
      <c r="BA98" s="47">
        <f>IF($E98=BA$3,$G98,0)-IF($H98=BA$3,$J98,0)</f>
        <v/>
      </c>
      <c r="BB98" s="47">
        <f>IF($E98=BB$3,$G98,0)-IF($H98=BB$3,$J98,0)</f>
        <v/>
      </c>
      <c r="BC98" s="47">
        <f>IF($E98=BC$3,$G98,0)-IF($H98=BC$3,$J98,0)</f>
        <v/>
      </c>
      <c r="BD98" s="47">
        <f>IF($E98=BD$3,$G98,0)-IF($H98=BD$3,$J98,0)</f>
        <v/>
      </c>
      <c r="BE98" s="47">
        <f>IF($E98=BE$3,$G98,0)-IF($H98=BE$3,$J98,0)</f>
        <v/>
      </c>
      <c r="BF98" s="47">
        <f>IF($E98=BF$3,$G98,0)-IF($H98=BF$3,$J98,0)</f>
        <v/>
      </c>
      <c r="BG98" s="47">
        <f>IF($E98=BG$3,$G98,0)-IF($H98=BG$3,$J98,0)</f>
        <v/>
      </c>
      <c r="BH98" s="47">
        <f>IF($E98=BH$3,$G98,0)-IF($H98=BH$3,$J98,0)</f>
        <v/>
      </c>
      <c r="BI98" s="47">
        <f>IF($E98=BI$3,$G98,0)-IF($H98=BI$3,$J98,0)</f>
        <v/>
      </c>
      <c r="BJ98" s="47">
        <f>IF($E98=BJ$3,$G98,0)-IF($H98=BJ$3,$J98,0)</f>
        <v/>
      </c>
      <c r="BK98" s="47">
        <f>IF($E98=BK$3,$G98,0)-IF($H98=BK$3,$J98,0)</f>
        <v/>
      </c>
      <c r="BL98" s="46">
        <f>-IF($E98=BL$3,$G98,0)+IF($H98=BL$3,$J98,0)</f>
        <v/>
      </c>
      <c r="BM98" s="47">
        <f>-IF($E98=BM$3,$G98,0)+IF($H98=BM$3,$J98,0)</f>
        <v/>
      </c>
      <c r="BN98" s="47">
        <f>-IF($E98=BN$3,$G98,0)+IF($H98=BN$3,$J98,0)</f>
        <v/>
      </c>
      <c r="BO98" s="47">
        <f>-IF($E98=BO$3,$G98,0)+IF($H98=BO$3,$J98,0)</f>
        <v/>
      </c>
      <c r="BP98" s="47">
        <f>-IF($E98=BP$3,$G98,0)+IF($H98=BP$3,$J98,0)</f>
        <v/>
      </c>
      <c r="BQ98" s="47">
        <f>-IF($E98=BQ$3,$G98,0)+IF($H98=BQ$3,$J98,0)</f>
        <v/>
      </c>
      <c r="BR98" s="47">
        <f>-IF($E98=BR$3,$G98,0)+IF($H98=BR$3,$J98,0)</f>
        <v/>
      </c>
      <c r="BS98" s="47">
        <f>-IF($E98=BS$3,$G98,0)+IF($H98=BS$3,$J98,0)</f>
        <v/>
      </c>
      <c r="BT98" s="47">
        <f>-IF($E98=BT$3,$G98,0)+IF($H98=BT$3,$J98,0)</f>
        <v/>
      </c>
      <c r="BU98" s="46">
        <f>+G98-J98</f>
        <v/>
      </c>
      <c r="BV98" s="48">
        <f>-IF($E98=BV$3,$G98,0)+IF($H98=BV$3,$J98,0)</f>
        <v/>
      </c>
      <c r="BW98" s="3" t="n"/>
    </row>
    <row r="99" ht="15.75" customHeight="1" s="214">
      <c r="A99" s="7" t="n"/>
      <c r="B99" s="8" t="n"/>
      <c r="C99" s="9" t="n"/>
      <c r="D99" s="10" t="n"/>
      <c r="E99" s="247" t="n"/>
      <c r="F99" s="11">
        <f>IF(E99="","",IF(ISNA(VLOOKUP(E99,科目コード表!$C$4:$D$67,2,FALSE)),"該当科目なし",VLOOKUP(E99,科目コード表!$C$4:$D$67,2,FALSE)))</f>
        <v/>
      </c>
      <c r="G99" s="38" t="n"/>
      <c r="H99" s="248" t="n"/>
      <c r="I99" s="11">
        <f>IF(H99="","",IF(ISNA(VLOOKUP(H99,科目コード表!$C$4:$D$67,2,FALSE)),"該当科目なし",VLOOKUP(H99,科目コード表!$C$4:$D$67,2,FALSE)))</f>
        <v/>
      </c>
      <c r="J99" s="40" t="n"/>
      <c r="L99" s="46">
        <f>IF($E99=L$3,$G99,0)-IF($H99=L$3,$J99,0)</f>
        <v/>
      </c>
      <c r="M99" s="47">
        <f>IF($E99=M$3,$G99,0)-IF($H99=M$3,$J99,0)</f>
        <v/>
      </c>
      <c r="N99" s="47">
        <f>IF($E99=N$3,$G99,0)-IF($H99=N$3,$J99,0)</f>
        <v/>
      </c>
      <c r="O99" s="47">
        <f>IF($E99=O$3,$G99,0)-IF($H99=O$3,$J99,0)</f>
        <v/>
      </c>
      <c r="P99" s="47">
        <f>IF($E99=P$3,$G99,0)-IF($H99=P$3,$J99,0)</f>
        <v/>
      </c>
      <c r="Q99" s="47">
        <f>IF($E99=Q$3,$G99,0)-IF($H99=Q$3,$J99,0)</f>
        <v/>
      </c>
      <c r="R99" s="47">
        <f>IF($E99=R$3,$G99,0)-IF($H99=R$3,$J99,0)</f>
        <v/>
      </c>
      <c r="S99" s="47">
        <f>IF($E99=S$3,$G99,0)-IF($H99=S$3,$J99,0)</f>
        <v/>
      </c>
      <c r="T99" s="47">
        <f>IF($E99=T$3,$G99,0)-IF($H99=T$3,$J99,0)</f>
        <v/>
      </c>
      <c r="U99" s="47">
        <f>IF($E99=U$3,$G99,0)-IF($H99=U$3,$J99,0)</f>
        <v/>
      </c>
      <c r="V99" s="47">
        <f>IF($E99=V$3,$G99,0)-IF($H99=V$3,$J99,0)</f>
        <v/>
      </c>
      <c r="W99" s="47">
        <f>IF($E99=W$3,$G99,0)-IF($H99=W$3,$J99,0)</f>
        <v/>
      </c>
      <c r="X99" s="47">
        <f>IF($E99=X$3,$G99,0)-IF($H99=X$3,$J99,0)</f>
        <v/>
      </c>
      <c r="Y99" s="47">
        <f>IF($E99=Y$3,$G99,0)-IF($H99=Y$3,$J99,0)</f>
        <v/>
      </c>
      <c r="Z99" s="47">
        <f>IF($E99=Z$3,$G99,0)-IF($H99=Z$3,$J99,0)</f>
        <v/>
      </c>
      <c r="AA99" s="47">
        <f>IF($E99=AA$3,$G99,0)-IF($H99=AA$3,$J99,0)</f>
        <v/>
      </c>
      <c r="AB99" s="47">
        <f>IF($E99=AB$3,$G99,0)-IF($H99=AB$3,$J99,0)</f>
        <v/>
      </c>
      <c r="AC99" s="47">
        <f>IF($E99=AC$3,$G99,0)-IF($H99=AC$3,$J99,0)</f>
        <v/>
      </c>
      <c r="AD99" s="47">
        <f>IF($E99=AD$3,$G99,0)-IF($H99=AD$3,$J99,0)</f>
        <v/>
      </c>
      <c r="AE99" s="47">
        <f>IF($E99=AE$3,$G99,0)-IF($H99=AE$3,$J99,0)</f>
        <v/>
      </c>
      <c r="AF99" s="47">
        <f>IF($E99=AF$3,$G99,0)-IF($H99=AF$3,$J99,0)</f>
        <v/>
      </c>
      <c r="AG99" s="47">
        <f>IF($E99=AG$3,$G99,0)-IF($H99=AG$3,$J99,0)</f>
        <v/>
      </c>
      <c r="AH99" s="47">
        <f>IF($E99=AH$3,$G99,0)-IF($H99=AH$3,$J99,0)</f>
        <v/>
      </c>
      <c r="AI99" s="47">
        <f>IF($E99=AI$3,$G99,0)-IF($H99=AI$3,$J99,0)</f>
        <v/>
      </c>
      <c r="AJ99" s="47">
        <f>IF($E99=AJ$3,$G99,0)-IF($H99=AJ$3,$J99,0)</f>
        <v/>
      </c>
      <c r="AK99" s="47">
        <f>IF($E99=AK$3,$G99,0)-IF($H99=AK$3,$J99,0)</f>
        <v/>
      </c>
      <c r="AL99" s="48">
        <f>IF($E99=AL$3,$G99,0)-IF($H99=AL$3,$J99,0)</f>
        <v/>
      </c>
      <c r="AM99" s="46">
        <f>-IF($E99=AM$3,$G99,0)+IF($H99=AM$3,$J99,0)</f>
        <v/>
      </c>
      <c r="AN99" s="47">
        <f>-IF($E99=AN$3,$G99,0)+IF($H99=AN$3,$J99,0)</f>
        <v/>
      </c>
      <c r="AO99" s="48">
        <f>-IF($E99=AO$3,$G99,0)+IF($H99=AO$3,$J99,0)</f>
        <v/>
      </c>
      <c r="AP99" s="46">
        <f>IF($E99=AP$3,$G99,0)-IF($H99=AP$3,$J99,0)</f>
        <v/>
      </c>
      <c r="AQ99" s="47">
        <f>IF($E99=AQ$3,$G99,0)-IF($H99=AQ$3,$J99,0)</f>
        <v/>
      </c>
      <c r="AR99" s="47">
        <f>IF($E99=AR$3,$G99,0)-IF($H99=AR$3,$J99,0)</f>
        <v/>
      </c>
      <c r="AS99" s="47">
        <f>IF($E99=AS$3,$G99,0)-IF($H99=AS$3,$J99,0)</f>
        <v/>
      </c>
      <c r="AT99" s="47">
        <f>IF($E99=AT$3,$G99,0)-IF($H99=AT$3,$J99,0)</f>
        <v/>
      </c>
      <c r="AU99" s="47">
        <f>IF($E99=AU$3,$G99,0)-IF($H99=AU$3,$J99,0)</f>
        <v/>
      </c>
      <c r="AV99" s="47">
        <f>IF($E99=AV$3,$G99,0)-IF($H99=AV$3,$J99,0)</f>
        <v/>
      </c>
      <c r="AW99" s="47">
        <f>IF($E99=AW$3,$G99,0)-IF($H99=AW$3,$J99,0)</f>
        <v/>
      </c>
      <c r="AX99" s="47">
        <f>IF($E99=AX$3,$G99,0)-IF($H99=AX$3,$J99,0)</f>
        <v/>
      </c>
      <c r="AY99" s="47">
        <f>IF($E99=AY$3,$G99,0)-IF($H99=AY$3,$J99,0)</f>
        <v/>
      </c>
      <c r="AZ99" s="47">
        <f>IF($E99=AZ$3,$G99,0)-IF($H99=AZ$3,$J99,0)</f>
        <v/>
      </c>
      <c r="BA99" s="47">
        <f>IF($E99=BA$3,$G99,0)-IF($H99=BA$3,$J99,0)</f>
        <v/>
      </c>
      <c r="BB99" s="47">
        <f>IF($E99=BB$3,$G99,0)-IF($H99=BB$3,$J99,0)</f>
        <v/>
      </c>
      <c r="BC99" s="47">
        <f>IF($E99=BC$3,$G99,0)-IF($H99=BC$3,$J99,0)</f>
        <v/>
      </c>
      <c r="BD99" s="47">
        <f>IF($E99=BD$3,$G99,0)-IF($H99=BD$3,$J99,0)</f>
        <v/>
      </c>
      <c r="BE99" s="47">
        <f>IF($E99=BE$3,$G99,0)-IF($H99=BE$3,$J99,0)</f>
        <v/>
      </c>
      <c r="BF99" s="47">
        <f>IF($E99=BF$3,$G99,0)-IF($H99=BF$3,$J99,0)</f>
        <v/>
      </c>
      <c r="BG99" s="47">
        <f>IF($E99=BG$3,$G99,0)-IF($H99=BG$3,$J99,0)</f>
        <v/>
      </c>
      <c r="BH99" s="47">
        <f>IF($E99=BH$3,$G99,0)-IF($H99=BH$3,$J99,0)</f>
        <v/>
      </c>
      <c r="BI99" s="47">
        <f>IF($E99=BI$3,$G99,0)-IF($H99=BI$3,$J99,0)</f>
        <v/>
      </c>
      <c r="BJ99" s="47">
        <f>IF($E99=BJ$3,$G99,0)-IF($H99=BJ$3,$J99,0)</f>
        <v/>
      </c>
      <c r="BK99" s="47">
        <f>IF($E99=BK$3,$G99,0)-IF($H99=BK$3,$J99,0)</f>
        <v/>
      </c>
      <c r="BL99" s="46">
        <f>-IF($E99=BL$3,$G99,0)+IF($H99=BL$3,$J99,0)</f>
        <v/>
      </c>
      <c r="BM99" s="47">
        <f>-IF($E99=BM$3,$G99,0)+IF($H99=BM$3,$J99,0)</f>
        <v/>
      </c>
      <c r="BN99" s="47">
        <f>-IF($E99=BN$3,$G99,0)+IF($H99=BN$3,$J99,0)</f>
        <v/>
      </c>
      <c r="BO99" s="47">
        <f>-IF($E99=BO$3,$G99,0)+IF($H99=BO$3,$J99,0)</f>
        <v/>
      </c>
      <c r="BP99" s="47">
        <f>-IF($E99=BP$3,$G99,0)+IF($H99=BP$3,$J99,0)</f>
        <v/>
      </c>
      <c r="BQ99" s="47">
        <f>-IF($E99=BQ$3,$G99,0)+IF($H99=BQ$3,$J99,0)</f>
        <v/>
      </c>
      <c r="BR99" s="47">
        <f>-IF($E99=BR$3,$G99,0)+IF($H99=BR$3,$J99,0)</f>
        <v/>
      </c>
      <c r="BS99" s="47">
        <f>-IF($E99=BS$3,$G99,0)+IF($H99=BS$3,$J99,0)</f>
        <v/>
      </c>
      <c r="BT99" s="47">
        <f>-IF($E99=BT$3,$G99,0)+IF($H99=BT$3,$J99,0)</f>
        <v/>
      </c>
      <c r="BU99" s="46">
        <f>+G99-J99</f>
        <v/>
      </c>
      <c r="BV99" s="48">
        <f>-IF($E99=BV$3,$G99,0)+IF($H99=BV$3,$J99,0)</f>
        <v/>
      </c>
      <c r="BW99" s="3" t="n"/>
    </row>
    <row r="100" ht="15.75" customHeight="1" s="214">
      <c r="A100" s="7" t="n"/>
      <c r="B100" s="8" t="n"/>
      <c r="C100" s="9" t="n"/>
      <c r="D100" s="10" t="n"/>
      <c r="E100" s="247" t="n"/>
      <c r="F100" s="11">
        <f>IF(E100="","",IF(ISNA(VLOOKUP(E100,科目コード表!$C$4:$D$67,2,FALSE)),"該当科目なし",VLOOKUP(E100,科目コード表!$C$4:$D$67,2,FALSE)))</f>
        <v/>
      </c>
      <c r="G100" s="38" t="n"/>
      <c r="H100" s="248" t="n"/>
      <c r="I100" s="11">
        <f>IF(H100="","",IF(ISNA(VLOOKUP(H100,科目コード表!$C$4:$D$67,2,FALSE)),"該当科目なし",VLOOKUP(H100,科目コード表!$C$4:$D$67,2,FALSE)))</f>
        <v/>
      </c>
      <c r="J100" s="40" t="n"/>
      <c r="L100" s="46">
        <f>IF($E100=L$3,$G100,0)-IF($H100=L$3,$J100,0)</f>
        <v/>
      </c>
      <c r="M100" s="47">
        <f>IF($E100=M$3,$G100,0)-IF($H100=M$3,$J100,0)</f>
        <v/>
      </c>
      <c r="N100" s="47">
        <f>IF($E100=N$3,$G100,0)-IF($H100=N$3,$J100,0)</f>
        <v/>
      </c>
      <c r="O100" s="47">
        <f>IF($E100=O$3,$G100,0)-IF($H100=O$3,$J100,0)</f>
        <v/>
      </c>
      <c r="P100" s="47">
        <f>IF($E100=P$3,$G100,0)-IF($H100=P$3,$J100,0)</f>
        <v/>
      </c>
      <c r="Q100" s="47">
        <f>IF($E100=Q$3,$G100,0)-IF($H100=Q$3,$J100,0)</f>
        <v/>
      </c>
      <c r="R100" s="47">
        <f>IF($E100=R$3,$G100,0)-IF($H100=R$3,$J100,0)</f>
        <v/>
      </c>
      <c r="S100" s="47">
        <f>IF($E100=S$3,$G100,0)-IF($H100=S$3,$J100,0)</f>
        <v/>
      </c>
      <c r="T100" s="47">
        <f>IF($E100=T$3,$G100,0)-IF($H100=T$3,$J100,0)</f>
        <v/>
      </c>
      <c r="U100" s="47">
        <f>IF($E100=U$3,$G100,0)-IF($H100=U$3,$J100,0)</f>
        <v/>
      </c>
      <c r="V100" s="47">
        <f>IF($E100=V$3,$G100,0)-IF($H100=V$3,$J100,0)</f>
        <v/>
      </c>
      <c r="W100" s="47">
        <f>IF($E100=W$3,$G100,0)-IF($H100=W$3,$J100,0)</f>
        <v/>
      </c>
      <c r="X100" s="47">
        <f>IF($E100=X$3,$G100,0)-IF($H100=X$3,$J100,0)</f>
        <v/>
      </c>
      <c r="Y100" s="47">
        <f>IF($E100=Y$3,$G100,0)-IF($H100=Y$3,$J100,0)</f>
        <v/>
      </c>
      <c r="Z100" s="47">
        <f>IF($E100=Z$3,$G100,0)-IF($H100=Z$3,$J100,0)</f>
        <v/>
      </c>
      <c r="AA100" s="47">
        <f>IF($E100=AA$3,$G100,0)-IF($H100=AA$3,$J100,0)</f>
        <v/>
      </c>
      <c r="AB100" s="47">
        <f>IF($E100=AB$3,$G100,0)-IF($H100=AB$3,$J100,0)</f>
        <v/>
      </c>
      <c r="AC100" s="47">
        <f>IF($E100=AC$3,$G100,0)-IF($H100=AC$3,$J100,0)</f>
        <v/>
      </c>
      <c r="AD100" s="47">
        <f>IF($E100=AD$3,$G100,0)-IF($H100=AD$3,$J100,0)</f>
        <v/>
      </c>
      <c r="AE100" s="47">
        <f>IF($E100=AE$3,$G100,0)-IF($H100=AE$3,$J100,0)</f>
        <v/>
      </c>
      <c r="AF100" s="47">
        <f>IF($E100=AF$3,$G100,0)-IF($H100=AF$3,$J100,0)</f>
        <v/>
      </c>
      <c r="AG100" s="47">
        <f>IF($E100=AG$3,$G100,0)-IF($H100=AG$3,$J100,0)</f>
        <v/>
      </c>
      <c r="AH100" s="47">
        <f>IF($E100=AH$3,$G100,0)-IF($H100=AH$3,$J100,0)</f>
        <v/>
      </c>
      <c r="AI100" s="47">
        <f>IF($E100=AI$3,$G100,0)-IF($H100=AI$3,$J100,0)</f>
        <v/>
      </c>
      <c r="AJ100" s="47">
        <f>IF($E100=AJ$3,$G100,0)-IF($H100=AJ$3,$J100,0)</f>
        <v/>
      </c>
      <c r="AK100" s="47">
        <f>IF($E100=AK$3,$G100,0)-IF($H100=AK$3,$J100,0)</f>
        <v/>
      </c>
      <c r="AL100" s="48">
        <f>IF($E100=AL$3,$G100,0)-IF($H100=AL$3,$J100,0)</f>
        <v/>
      </c>
      <c r="AM100" s="46">
        <f>-IF($E100=AM$3,$G100,0)+IF($H100=AM$3,$J100,0)</f>
        <v/>
      </c>
      <c r="AN100" s="47">
        <f>-IF($E100=AN$3,$G100,0)+IF($H100=AN$3,$J100,0)</f>
        <v/>
      </c>
      <c r="AO100" s="48">
        <f>-IF($E100=AO$3,$G100,0)+IF($H100=AO$3,$J100,0)</f>
        <v/>
      </c>
      <c r="AP100" s="46">
        <f>IF($E100=AP$3,$G100,0)-IF($H100=AP$3,$J100,0)</f>
        <v/>
      </c>
      <c r="AQ100" s="47">
        <f>IF($E100=AQ$3,$G100,0)-IF($H100=AQ$3,$J100,0)</f>
        <v/>
      </c>
      <c r="AR100" s="47">
        <f>IF($E100=AR$3,$G100,0)-IF($H100=AR$3,$J100,0)</f>
        <v/>
      </c>
      <c r="AS100" s="47">
        <f>IF($E100=AS$3,$G100,0)-IF($H100=AS$3,$J100,0)</f>
        <v/>
      </c>
      <c r="AT100" s="47">
        <f>IF($E100=AT$3,$G100,0)-IF($H100=AT$3,$J100,0)</f>
        <v/>
      </c>
      <c r="AU100" s="47">
        <f>IF($E100=AU$3,$G100,0)-IF($H100=AU$3,$J100,0)</f>
        <v/>
      </c>
      <c r="AV100" s="47">
        <f>IF($E100=AV$3,$G100,0)-IF($H100=AV$3,$J100,0)</f>
        <v/>
      </c>
      <c r="AW100" s="47">
        <f>IF($E100=AW$3,$G100,0)-IF($H100=AW$3,$J100,0)</f>
        <v/>
      </c>
      <c r="AX100" s="47">
        <f>IF($E100=AX$3,$G100,0)-IF($H100=AX$3,$J100,0)</f>
        <v/>
      </c>
      <c r="AY100" s="47">
        <f>IF($E100=AY$3,$G100,0)-IF($H100=AY$3,$J100,0)</f>
        <v/>
      </c>
      <c r="AZ100" s="47">
        <f>IF($E100=AZ$3,$G100,0)-IF($H100=AZ$3,$J100,0)</f>
        <v/>
      </c>
      <c r="BA100" s="47">
        <f>IF($E100=BA$3,$G100,0)-IF($H100=BA$3,$J100,0)</f>
        <v/>
      </c>
      <c r="BB100" s="47">
        <f>IF($E100=BB$3,$G100,0)-IF($H100=BB$3,$J100,0)</f>
        <v/>
      </c>
      <c r="BC100" s="47">
        <f>IF($E100=BC$3,$G100,0)-IF($H100=BC$3,$J100,0)</f>
        <v/>
      </c>
      <c r="BD100" s="47">
        <f>IF($E100=BD$3,$G100,0)-IF($H100=BD$3,$J100,0)</f>
        <v/>
      </c>
      <c r="BE100" s="47">
        <f>IF($E100=BE$3,$G100,0)-IF($H100=BE$3,$J100,0)</f>
        <v/>
      </c>
      <c r="BF100" s="47">
        <f>IF($E100=BF$3,$G100,0)-IF($H100=BF$3,$J100,0)</f>
        <v/>
      </c>
      <c r="BG100" s="47">
        <f>IF($E100=BG$3,$G100,0)-IF($H100=BG$3,$J100,0)</f>
        <v/>
      </c>
      <c r="BH100" s="47">
        <f>IF($E100=BH$3,$G100,0)-IF($H100=BH$3,$J100,0)</f>
        <v/>
      </c>
      <c r="BI100" s="47">
        <f>IF($E100=BI$3,$G100,0)-IF($H100=BI$3,$J100,0)</f>
        <v/>
      </c>
      <c r="BJ100" s="47">
        <f>IF($E100=BJ$3,$G100,0)-IF($H100=BJ$3,$J100,0)</f>
        <v/>
      </c>
      <c r="BK100" s="47">
        <f>IF($E100=BK$3,$G100,0)-IF($H100=BK$3,$J100,0)</f>
        <v/>
      </c>
      <c r="BL100" s="46">
        <f>-IF($E100=BL$3,$G100,0)+IF($H100=BL$3,$J100,0)</f>
        <v/>
      </c>
      <c r="BM100" s="47">
        <f>-IF($E100=BM$3,$G100,0)+IF($H100=BM$3,$J100,0)</f>
        <v/>
      </c>
      <c r="BN100" s="47">
        <f>-IF($E100=BN$3,$G100,0)+IF($H100=BN$3,$J100,0)</f>
        <v/>
      </c>
      <c r="BO100" s="47">
        <f>-IF($E100=BO$3,$G100,0)+IF($H100=BO$3,$J100,0)</f>
        <v/>
      </c>
      <c r="BP100" s="47">
        <f>-IF($E100=BP$3,$G100,0)+IF($H100=BP$3,$J100,0)</f>
        <v/>
      </c>
      <c r="BQ100" s="47">
        <f>-IF($E100=BQ$3,$G100,0)+IF($H100=BQ$3,$J100,0)</f>
        <v/>
      </c>
      <c r="BR100" s="47">
        <f>-IF($E100=BR$3,$G100,0)+IF($H100=BR$3,$J100,0)</f>
        <v/>
      </c>
      <c r="BS100" s="47">
        <f>-IF($E100=BS$3,$G100,0)+IF($H100=BS$3,$J100,0)</f>
        <v/>
      </c>
      <c r="BT100" s="47">
        <f>-IF($E100=BT$3,$G100,0)+IF($H100=BT$3,$J100,0)</f>
        <v/>
      </c>
      <c r="BU100" s="46">
        <f>+G100-J100</f>
        <v/>
      </c>
      <c r="BV100" s="48">
        <f>-IF($E100=BV$3,$G100,0)+IF($H100=BV$3,$J100,0)</f>
        <v/>
      </c>
      <c r="BW100" s="3" t="n"/>
    </row>
    <row r="101" ht="15.75" customHeight="1" s="214">
      <c r="A101" s="7" t="n"/>
      <c r="B101" s="8" t="n"/>
      <c r="C101" s="9" t="n"/>
      <c r="D101" s="10" t="n"/>
      <c r="E101" s="247" t="n"/>
      <c r="F101" s="11">
        <f>IF(E101="","",IF(ISNA(VLOOKUP(E101,科目コード表!$C$4:$D$67,2,FALSE)),"該当科目なし",VLOOKUP(E101,科目コード表!$C$4:$D$67,2,FALSE)))</f>
        <v/>
      </c>
      <c r="G101" s="38" t="n"/>
      <c r="H101" s="248" t="n"/>
      <c r="I101" s="11">
        <f>IF(H101="","",IF(ISNA(VLOOKUP(H101,科目コード表!$C$4:$D$67,2,FALSE)),"該当科目なし",VLOOKUP(H101,科目コード表!$C$4:$D$67,2,FALSE)))</f>
        <v/>
      </c>
      <c r="J101" s="40" t="n"/>
      <c r="L101" s="46">
        <f>IF($E101=L$3,$G101,0)-IF($H101=L$3,$J101,0)</f>
        <v/>
      </c>
      <c r="M101" s="47">
        <f>IF($E101=M$3,$G101,0)-IF($H101=M$3,$J101,0)</f>
        <v/>
      </c>
      <c r="N101" s="47">
        <f>IF($E101=N$3,$G101,0)-IF($H101=N$3,$J101,0)</f>
        <v/>
      </c>
      <c r="O101" s="47">
        <f>IF($E101=O$3,$G101,0)-IF($H101=O$3,$J101,0)</f>
        <v/>
      </c>
      <c r="P101" s="47">
        <f>IF($E101=P$3,$G101,0)-IF($H101=P$3,$J101,0)</f>
        <v/>
      </c>
      <c r="Q101" s="47">
        <f>IF($E101=Q$3,$G101,0)-IF($H101=Q$3,$J101,0)</f>
        <v/>
      </c>
      <c r="R101" s="47">
        <f>IF($E101=R$3,$G101,0)-IF($H101=R$3,$J101,0)</f>
        <v/>
      </c>
      <c r="S101" s="47">
        <f>IF($E101=S$3,$G101,0)-IF($H101=S$3,$J101,0)</f>
        <v/>
      </c>
      <c r="T101" s="47">
        <f>IF($E101=T$3,$G101,0)-IF($H101=T$3,$J101,0)</f>
        <v/>
      </c>
      <c r="U101" s="47">
        <f>IF($E101=U$3,$G101,0)-IF($H101=U$3,$J101,0)</f>
        <v/>
      </c>
      <c r="V101" s="47">
        <f>IF($E101=V$3,$G101,0)-IF($H101=V$3,$J101,0)</f>
        <v/>
      </c>
      <c r="W101" s="47">
        <f>IF($E101=W$3,$G101,0)-IF($H101=W$3,$J101,0)</f>
        <v/>
      </c>
      <c r="X101" s="47">
        <f>IF($E101=X$3,$G101,0)-IF($H101=X$3,$J101,0)</f>
        <v/>
      </c>
      <c r="Y101" s="47">
        <f>IF($E101=Y$3,$G101,0)-IF($H101=Y$3,$J101,0)</f>
        <v/>
      </c>
      <c r="Z101" s="47">
        <f>IF($E101=Z$3,$G101,0)-IF($H101=Z$3,$J101,0)</f>
        <v/>
      </c>
      <c r="AA101" s="47">
        <f>IF($E101=AA$3,$G101,0)-IF($H101=AA$3,$J101,0)</f>
        <v/>
      </c>
      <c r="AB101" s="47">
        <f>IF($E101=AB$3,$G101,0)-IF($H101=AB$3,$J101,0)</f>
        <v/>
      </c>
      <c r="AC101" s="47">
        <f>IF($E101=AC$3,$G101,0)-IF($H101=AC$3,$J101,0)</f>
        <v/>
      </c>
      <c r="AD101" s="47">
        <f>IF($E101=AD$3,$G101,0)-IF($H101=AD$3,$J101,0)</f>
        <v/>
      </c>
      <c r="AE101" s="47">
        <f>IF($E101=AE$3,$G101,0)-IF($H101=AE$3,$J101,0)</f>
        <v/>
      </c>
      <c r="AF101" s="47">
        <f>IF($E101=AF$3,$G101,0)-IF($H101=AF$3,$J101,0)</f>
        <v/>
      </c>
      <c r="AG101" s="47">
        <f>IF($E101=AG$3,$G101,0)-IF($H101=AG$3,$J101,0)</f>
        <v/>
      </c>
      <c r="AH101" s="47">
        <f>IF($E101=AH$3,$G101,0)-IF($H101=AH$3,$J101,0)</f>
        <v/>
      </c>
      <c r="AI101" s="47">
        <f>IF($E101=AI$3,$G101,0)-IF($H101=AI$3,$J101,0)</f>
        <v/>
      </c>
      <c r="AJ101" s="47">
        <f>IF($E101=AJ$3,$G101,0)-IF($H101=AJ$3,$J101,0)</f>
        <v/>
      </c>
      <c r="AK101" s="47">
        <f>IF($E101=AK$3,$G101,0)-IF($H101=AK$3,$J101,0)</f>
        <v/>
      </c>
      <c r="AL101" s="48">
        <f>IF($E101=AL$3,$G101,0)-IF($H101=AL$3,$J101,0)</f>
        <v/>
      </c>
      <c r="AM101" s="46">
        <f>-IF($E101=AM$3,$G101,0)+IF($H101=AM$3,$J101,0)</f>
        <v/>
      </c>
      <c r="AN101" s="47">
        <f>-IF($E101=AN$3,$G101,0)+IF($H101=AN$3,$J101,0)</f>
        <v/>
      </c>
      <c r="AO101" s="48">
        <f>-IF($E101=AO$3,$G101,0)+IF($H101=AO$3,$J101,0)</f>
        <v/>
      </c>
      <c r="AP101" s="46">
        <f>IF($E101=AP$3,$G101,0)-IF($H101=AP$3,$J101,0)</f>
        <v/>
      </c>
      <c r="AQ101" s="47">
        <f>IF($E101=AQ$3,$G101,0)-IF($H101=AQ$3,$J101,0)</f>
        <v/>
      </c>
      <c r="AR101" s="47">
        <f>IF($E101=AR$3,$G101,0)-IF($H101=AR$3,$J101,0)</f>
        <v/>
      </c>
      <c r="AS101" s="47">
        <f>IF($E101=AS$3,$G101,0)-IF($H101=AS$3,$J101,0)</f>
        <v/>
      </c>
      <c r="AT101" s="47">
        <f>IF($E101=AT$3,$G101,0)-IF($H101=AT$3,$J101,0)</f>
        <v/>
      </c>
      <c r="AU101" s="47">
        <f>IF($E101=AU$3,$G101,0)-IF($H101=AU$3,$J101,0)</f>
        <v/>
      </c>
      <c r="AV101" s="47">
        <f>IF($E101=AV$3,$G101,0)-IF($H101=AV$3,$J101,0)</f>
        <v/>
      </c>
      <c r="AW101" s="47">
        <f>IF($E101=AW$3,$G101,0)-IF($H101=AW$3,$J101,0)</f>
        <v/>
      </c>
      <c r="AX101" s="47">
        <f>IF($E101=AX$3,$G101,0)-IF($H101=AX$3,$J101,0)</f>
        <v/>
      </c>
      <c r="AY101" s="47">
        <f>IF($E101=AY$3,$G101,0)-IF($H101=AY$3,$J101,0)</f>
        <v/>
      </c>
      <c r="AZ101" s="47">
        <f>IF($E101=AZ$3,$G101,0)-IF($H101=AZ$3,$J101,0)</f>
        <v/>
      </c>
      <c r="BA101" s="47">
        <f>IF($E101=BA$3,$G101,0)-IF($H101=BA$3,$J101,0)</f>
        <v/>
      </c>
      <c r="BB101" s="47">
        <f>IF($E101=BB$3,$G101,0)-IF($H101=BB$3,$J101,0)</f>
        <v/>
      </c>
      <c r="BC101" s="47">
        <f>IF($E101=BC$3,$G101,0)-IF($H101=BC$3,$J101,0)</f>
        <v/>
      </c>
      <c r="BD101" s="47">
        <f>IF($E101=BD$3,$G101,0)-IF($H101=BD$3,$J101,0)</f>
        <v/>
      </c>
      <c r="BE101" s="47">
        <f>IF($E101=BE$3,$G101,0)-IF($H101=BE$3,$J101,0)</f>
        <v/>
      </c>
      <c r="BF101" s="47">
        <f>IF($E101=BF$3,$G101,0)-IF($H101=BF$3,$J101,0)</f>
        <v/>
      </c>
      <c r="BG101" s="47">
        <f>IF($E101=BG$3,$G101,0)-IF($H101=BG$3,$J101,0)</f>
        <v/>
      </c>
      <c r="BH101" s="47">
        <f>IF($E101=BH$3,$G101,0)-IF($H101=BH$3,$J101,0)</f>
        <v/>
      </c>
      <c r="BI101" s="47">
        <f>IF($E101=BI$3,$G101,0)-IF($H101=BI$3,$J101,0)</f>
        <v/>
      </c>
      <c r="BJ101" s="47">
        <f>IF($E101=BJ$3,$G101,0)-IF($H101=BJ$3,$J101,0)</f>
        <v/>
      </c>
      <c r="BK101" s="47">
        <f>IF($E101=BK$3,$G101,0)-IF($H101=BK$3,$J101,0)</f>
        <v/>
      </c>
      <c r="BL101" s="46">
        <f>-IF($E101=BL$3,$G101,0)+IF($H101=BL$3,$J101,0)</f>
        <v/>
      </c>
      <c r="BM101" s="47">
        <f>-IF($E101=BM$3,$G101,0)+IF($H101=BM$3,$J101,0)</f>
        <v/>
      </c>
      <c r="BN101" s="47">
        <f>-IF($E101=BN$3,$G101,0)+IF($H101=BN$3,$J101,0)</f>
        <v/>
      </c>
      <c r="BO101" s="47">
        <f>-IF($E101=BO$3,$G101,0)+IF($H101=BO$3,$J101,0)</f>
        <v/>
      </c>
      <c r="BP101" s="47">
        <f>-IF($E101=BP$3,$G101,0)+IF($H101=BP$3,$J101,0)</f>
        <v/>
      </c>
      <c r="BQ101" s="47">
        <f>-IF($E101=BQ$3,$G101,0)+IF($H101=BQ$3,$J101,0)</f>
        <v/>
      </c>
      <c r="BR101" s="47">
        <f>-IF($E101=BR$3,$G101,0)+IF($H101=BR$3,$J101,0)</f>
        <v/>
      </c>
      <c r="BS101" s="47">
        <f>-IF($E101=BS$3,$G101,0)+IF($H101=BS$3,$J101,0)</f>
        <v/>
      </c>
      <c r="BT101" s="47">
        <f>-IF($E101=BT$3,$G101,0)+IF($H101=BT$3,$J101,0)</f>
        <v/>
      </c>
      <c r="BU101" s="46">
        <f>+G101-J101</f>
        <v/>
      </c>
      <c r="BV101" s="48">
        <f>-IF($E101=BV$3,$G101,0)+IF($H101=BV$3,$J101,0)</f>
        <v/>
      </c>
      <c r="BW101" s="3" t="n"/>
    </row>
    <row r="102" ht="15.75" customHeight="1" s="214">
      <c r="A102" s="7" t="n"/>
      <c r="B102" s="8" t="n"/>
      <c r="C102" s="9" t="n"/>
      <c r="D102" s="10" t="n"/>
      <c r="E102" s="247" t="n"/>
      <c r="F102" s="11">
        <f>IF(E102="","",IF(ISNA(VLOOKUP(E102,科目コード表!$C$4:$D$67,2,FALSE)),"該当科目なし",VLOOKUP(E102,科目コード表!$C$4:$D$67,2,FALSE)))</f>
        <v/>
      </c>
      <c r="G102" s="38" t="n"/>
      <c r="H102" s="248" t="n"/>
      <c r="I102" s="11">
        <f>IF(H102="","",IF(ISNA(VLOOKUP(H102,科目コード表!$C$4:$D$67,2,FALSE)),"該当科目なし",VLOOKUP(H102,科目コード表!$C$4:$D$67,2,FALSE)))</f>
        <v/>
      </c>
      <c r="J102" s="40" t="n"/>
      <c r="L102" s="46">
        <f>IF($E102=L$3,$G102,0)-IF($H102=L$3,$J102,0)</f>
        <v/>
      </c>
      <c r="M102" s="47">
        <f>IF($E102=M$3,$G102,0)-IF($H102=M$3,$J102,0)</f>
        <v/>
      </c>
      <c r="N102" s="47">
        <f>IF($E102=N$3,$G102,0)-IF($H102=N$3,$J102,0)</f>
        <v/>
      </c>
      <c r="O102" s="47">
        <f>IF($E102=O$3,$G102,0)-IF($H102=O$3,$J102,0)</f>
        <v/>
      </c>
      <c r="P102" s="47">
        <f>IF($E102=P$3,$G102,0)-IF($H102=P$3,$J102,0)</f>
        <v/>
      </c>
      <c r="Q102" s="47">
        <f>IF($E102=Q$3,$G102,0)-IF($H102=Q$3,$J102,0)</f>
        <v/>
      </c>
      <c r="R102" s="47">
        <f>IF($E102=R$3,$G102,0)-IF($H102=R$3,$J102,0)</f>
        <v/>
      </c>
      <c r="S102" s="47">
        <f>IF($E102=S$3,$G102,0)-IF($H102=S$3,$J102,0)</f>
        <v/>
      </c>
      <c r="T102" s="47">
        <f>IF($E102=T$3,$G102,0)-IF($H102=T$3,$J102,0)</f>
        <v/>
      </c>
      <c r="U102" s="47">
        <f>IF($E102=U$3,$G102,0)-IF($H102=U$3,$J102,0)</f>
        <v/>
      </c>
      <c r="V102" s="47">
        <f>IF($E102=V$3,$G102,0)-IF($H102=V$3,$J102,0)</f>
        <v/>
      </c>
      <c r="W102" s="47">
        <f>IF($E102=W$3,$G102,0)-IF($H102=W$3,$J102,0)</f>
        <v/>
      </c>
      <c r="X102" s="47">
        <f>IF($E102=X$3,$G102,0)-IF($H102=X$3,$J102,0)</f>
        <v/>
      </c>
      <c r="Y102" s="47">
        <f>IF($E102=Y$3,$G102,0)-IF($H102=Y$3,$J102,0)</f>
        <v/>
      </c>
      <c r="Z102" s="47">
        <f>IF($E102=Z$3,$G102,0)-IF($H102=Z$3,$J102,0)</f>
        <v/>
      </c>
      <c r="AA102" s="47">
        <f>IF($E102=AA$3,$G102,0)-IF($H102=AA$3,$J102,0)</f>
        <v/>
      </c>
      <c r="AB102" s="47">
        <f>IF($E102=AB$3,$G102,0)-IF($H102=AB$3,$J102,0)</f>
        <v/>
      </c>
      <c r="AC102" s="47">
        <f>IF($E102=AC$3,$G102,0)-IF($H102=AC$3,$J102,0)</f>
        <v/>
      </c>
      <c r="AD102" s="47">
        <f>IF($E102=AD$3,$G102,0)-IF($H102=AD$3,$J102,0)</f>
        <v/>
      </c>
      <c r="AE102" s="47">
        <f>IF($E102=AE$3,$G102,0)-IF($H102=AE$3,$J102,0)</f>
        <v/>
      </c>
      <c r="AF102" s="47">
        <f>IF($E102=AF$3,$G102,0)-IF($H102=AF$3,$J102,0)</f>
        <v/>
      </c>
      <c r="AG102" s="47">
        <f>IF($E102=AG$3,$G102,0)-IF($H102=AG$3,$J102,0)</f>
        <v/>
      </c>
      <c r="AH102" s="47">
        <f>IF($E102=AH$3,$G102,0)-IF($H102=AH$3,$J102,0)</f>
        <v/>
      </c>
      <c r="AI102" s="47">
        <f>IF($E102=AI$3,$G102,0)-IF($H102=AI$3,$J102,0)</f>
        <v/>
      </c>
      <c r="AJ102" s="47">
        <f>IF($E102=AJ$3,$G102,0)-IF($H102=AJ$3,$J102,0)</f>
        <v/>
      </c>
      <c r="AK102" s="47">
        <f>IF($E102=AK$3,$G102,0)-IF($H102=AK$3,$J102,0)</f>
        <v/>
      </c>
      <c r="AL102" s="48">
        <f>IF($E102=AL$3,$G102,0)-IF($H102=AL$3,$J102,0)</f>
        <v/>
      </c>
      <c r="AM102" s="46">
        <f>-IF($E102=AM$3,$G102,0)+IF($H102=AM$3,$J102,0)</f>
        <v/>
      </c>
      <c r="AN102" s="47">
        <f>-IF($E102=AN$3,$G102,0)+IF($H102=AN$3,$J102,0)</f>
        <v/>
      </c>
      <c r="AO102" s="48">
        <f>-IF($E102=AO$3,$G102,0)+IF($H102=AO$3,$J102,0)</f>
        <v/>
      </c>
      <c r="AP102" s="46">
        <f>IF($E102=AP$3,$G102,0)-IF($H102=AP$3,$J102,0)</f>
        <v/>
      </c>
      <c r="AQ102" s="47">
        <f>IF($E102=AQ$3,$G102,0)-IF($H102=AQ$3,$J102,0)</f>
        <v/>
      </c>
      <c r="AR102" s="47">
        <f>IF($E102=AR$3,$G102,0)-IF($H102=AR$3,$J102,0)</f>
        <v/>
      </c>
      <c r="AS102" s="47">
        <f>IF($E102=AS$3,$G102,0)-IF($H102=AS$3,$J102,0)</f>
        <v/>
      </c>
      <c r="AT102" s="47">
        <f>IF($E102=AT$3,$G102,0)-IF($H102=AT$3,$J102,0)</f>
        <v/>
      </c>
      <c r="AU102" s="47">
        <f>IF($E102=AU$3,$G102,0)-IF($H102=AU$3,$J102,0)</f>
        <v/>
      </c>
      <c r="AV102" s="47">
        <f>IF($E102=AV$3,$G102,0)-IF($H102=AV$3,$J102,0)</f>
        <v/>
      </c>
      <c r="AW102" s="47">
        <f>IF($E102=AW$3,$G102,0)-IF($H102=AW$3,$J102,0)</f>
        <v/>
      </c>
      <c r="AX102" s="47">
        <f>IF($E102=AX$3,$G102,0)-IF($H102=AX$3,$J102,0)</f>
        <v/>
      </c>
      <c r="AY102" s="47">
        <f>IF($E102=AY$3,$G102,0)-IF($H102=AY$3,$J102,0)</f>
        <v/>
      </c>
      <c r="AZ102" s="47">
        <f>IF($E102=AZ$3,$G102,0)-IF($H102=AZ$3,$J102,0)</f>
        <v/>
      </c>
      <c r="BA102" s="47">
        <f>IF($E102=BA$3,$G102,0)-IF($H102=BA$3,$J102,0)</f>
        <v/>
      </c>
      <c r="BB102" s="47">
        <f>IF($E102=BB$3,$G102,0)-IF($H102=BB$3,$J102,0)</f>
        <v/>
      </c>
      <c r="BC102" s="47">
        <f>IF($E102=BC$3,$G102,0)-IF($H102=BC$3,$J102,0)</f>
        <v/>
      </c>
      <c r="BD102" s="47">
        <f>IF($E102=BD$3,$G102,0)-IF($H102=BD$3,$J102,0)</f>
        <v/>
      </c>
      <c r="BE102" s="47">
        <f>IF($E102=BE$3,$G102,0)-IF($H102=BE$3,$J102,0)</f>
        <v/>
      </c>
      <c r="BF102" s="47">
        <f>IF($E102=BF$3,$G102,0)-IF($H102=BF$3,$J102,0)</f>
        <v/>
      </c>
      <c r="BG102" s="47">
        <f>IF($E102=BG$3,$G102,0)-IF($H102=BG$3,$J102,0)</f>
        <v/>
      </c>
      <c r="BH102" s="47">
        <f>IF($E102=BH$3,$G102,0)-IF($H102=BH$3,$J102,0)</f>
        <v/>
      </c>
      <c r="BI102" s="47">
        <f>IF($E102=BI$3,$G102,0)-IF($H102=BI$3,$J102,0)</f>
        <v/>
      </c>
      <c r="BJ102" s="47">
        <f>IF($E102=BJ$3,$G102,0)-IF($H102=BJ$3,$J102,0)</f>
        <v/>
      </c>
      <c r="BK102" s="47">
        <f>IF($E102=BK$3,$G102,0)-IF($H102=BK$3,$J102,0)</f>
        <v/>
      </c>
      <c r="BL102" s="46">
        <f>-IF($E102=BL$3,$G102,0)+IF($H102=BL$3,$J102,0)</f>
        <v/>
      </c>
      <c r="BM102" s="47">
        <f>-IF($E102=BM$3,$G102,0)+IF($H102=BM$3,$J102,0)</f>
        <v/>
      </c>
      <c r="BN102" s="47">
        <f>-IF($E102=BN$3,$G102,0)+IF($H102=BN$3,$J102,0)</f>
        <v/>
      </c>
      <c r="BO102" s="47">
        <f>-IF($E102=BO$3,$G102,0)+IF($H102=BO$3,$J102,0)</f>
        <v/>
      </c>
      <c r="BP102" s="47">
        <f>-IF($E102=BP$3,$G102,0)+IF($H102=BP$3,$J102,0)</f>
        <v/>
      </c>
      <c r="BQ102" s="47">
        <f>-IF($E102=BQ$3,$G102,0)+IF($H102=BQ$3,$J102,0)</f>
        <v/>
      </c>
      <c r="BR102" s="47">
        <f>-IF($E102=BR$3,$G102,0)+IF($H102=BR$3,$J102,0)</f>
        <v/>
      </c>
      <c r="BS102" s="47">
        <f>-IF($E102=BS$3,$G102,0)+IF($H102=BS$3,$J102,0)</f>
        <v/>
      </c>
      <c r="BT102" s="47">
        <f>-IF($E102=BT$3,$G102,0)+IF($H102=BT$3,$J102,0)</f>
        <v/>
      </c>
      <c r="BU102" s="46">
        <f>+G102-J102</f>
        <v/>
      </c>
      <c r="BV102" s="48">
        <f>-IF($E102=BV$3,$G102,0)+IF($H102=BV$3,$J102,0)</f>
        <v/>
      </c>
      <c r="BW102" s="3" t="n"/>
    </row>
    <row r="103" ht="15.75" customHeight="1" s="214">
      <c r="A103" s="7" t="n"/>
      <c r="B103" s="8" t="n"/>
      <c r="C103" s="9" t="n"/>
      <c r="D103" s="10" t="n"/>
      <c r="E103" s="247" t="n"/>
      <c r="F103" s="11">
        <f>IF(E103="","",IF(ISNA(VLOOKUP(E103,科目コード表!$C$4:$D$67,2,FALSE)),"該当科目なし",VLOOKUP(E103,科目コード表!$C$4:$D$67,2,FALSE)))</f>
        <v/>
      </c>
      <c r="G103" s="38" t="n"/>
      <c r="H103" s="248" t="n"/>
      <c r="I103" s="11">
        <f>IF(H103="","",IF(ISNA(VLOOKUP(H103,科目コード表!$C$4:$D$67,2,FALSE)),"該当科目なし",VLOOKUP(H103,科目コード表!$C$4:$D$67,2,FALSE)))</f>
        <v/>
      </c>
      <c r="J103" s="40" t="n"/>
      <c r="L103" s="46">
        <f>IF($E103=L$3,$G103,0)-IF($H103=L$3,$J103,0)</f>
        <v/>
      </c>
      <c r="M103" s="47">
        <f>IF($E103=M$3,$G103,0)-IF($H103=M$3,$J103,0)</f>
        <v/>
      </c>
      <c r="N103" s="47">
        <f>IF($E103=N$3,$G103,0)-IF($H103=N$3,$J103,0)</f>
        <v/>
      </c>
      <c r="O103" s="47">
        <f>IF($E103=O$3,$G103,0)-IF($H103=O$3,$J103,0)</f>
        <v/>
      </c>
      <c r="P103" s="47">
        <f>IF($E103=P$3,$G103,0)-IF($H103=P$3,$J103,0)</f>
        <v/>
      </c>
      <c r="Q103" s="47">
        <f>IF($E103=Q$3,$G103,0)-IF($H103=Q$3,$J103,0)</f>
        <v/>
      </c>
      <c r="R103" s="47">
        <f>IF($E103=R$3,$G103,0)-IF($H103=R$3,$J103,0)</f>
        <v/>
      </c>
      <c r="S103" s="47">
        <f>IF($E103=S$3,$G103,0)-IF($H103=S$3,$J103,0)</f>
        <v/>
      </c>
      <c r="T103" s="47">
        <f>IF($E103=T$3,$G103,0)-IF($H103=T$3,$J103,0)</f>
        <v/>
      </c>
      <c r="U103" s="47">
        <f>IF($E103=U$3,$G103,0)-IF($H103=U$3,$J103,0)</f>
        <v/>
      </c>
      <c r="V103" s="47">
        <f>IF($E103=V$3,$G103,0)-IF($H103=V$3,$J103,0)</f>
        <v/>
      </c>
      <c r="W103" s="47">
        <f>IF($E103=W$3,$G103,0)-IF($H103=W$3,$J103,0)</f>
        <v/>
      </c>
      <c r="X103" s="47">
        <f>IF($E103=X$3,$G103,0)-IF($H103=X$3,$J103,0)</f>
        <v/>
      </c>
      <c r="Y103" s="47">
        <f>IF($E103=Y$3,$G103,0)-IF($H103=Y$3,$J103,0)</f>
        <v/>
      </c>
      <c r="Z103" s="47">
        <f>IF($E103=Z$3,$G103,0)-IF($H103=Z$3,$J103,0)</f>
        <v/>
      </c>
      <c r="AA103" s="47">
        <f>IF($E103=AA$3,$G103,0)-IF($H103=AA$3,$J103,0)</f>
        <v/>
      </c>
      <c r="AB103" s="47">
        <f>IF($E103=AB$3,$G103,0)-IF($H103=AB$3,$J103,0)</f>
        <v/>
      </c>
      <c r="AC103" s="47">
        <f>IF($E103=AC$3,$G103,0)-IF($H103=AC$3,$J103,0)</f>
        <v/>
      </c>
      <c r="AD103" s="47">
        <f>IF($E103=AD$3,$G103,0)-IF($H103=AD$3,$J103,0)</f>
        <v/>
      </c>
      <c r="AE103" s="47">
        <f>IF($E103=AE$3,$G103,0)-IF($H103=AE$3,$J103,0)</f>
        <v/>
      </c>
      <c r="AF103" s="47">
        <f>IF($E103=AF$3,$G103,0)-IF($H103=AF$3,$J103,0)</f>
        <v/>
      </c>
      <c r="AG103" s="47">
        <f>IF($E103=AG$3,$G103,0)-IF($H103=AG$3,$J103,0)</f>
        <v/>
      </c>
      <c r="AH103" s="47">
        <f>IF($E103=AH$3,$G103,0)-IF($H103=AH$3,$J103,0)</f>
        <v/>
      </c>
      <c r="AI103" s="47">
        <f>IF($E103=AI$3,$G103,0)-IF($H103=AI$3,$J103,0)</f>
        <v/>
      </c>
      <c r="AJ103" s="47">
        <f>IF($E103=AJ$3,$G103,0)-IF($H103=AJ$3,$J103,0)</f>
        <v/>
      </c>
      <c r="AK103" s="47">
        <f>IF($E103=AK$3,$G103,0)-IF($H103=AK$3,$J103,0)</f>
        <v/>
      </c>
      <c r="AL103" s="48">
        <f>IF($E103=AL$3,$G103,0)-IF($H103=AL$3,$J103,0)</f>
        <v/>
      </c>
      <c r="AM103" s="46">
        <f>-IF($E103=AM$3,$G103,0)+IF($H103=AM$3,$J103,0)</f>
        <v/>
      </c>
      <c r="AN103" s="47">
        <f>-IF($E103=AN$3,$G103,0)+IF($H103=AN$3,$J103,0)</f>
        <v/>
      </c>
      <c r="AO103" s="48">
        <f>-IF($E103=AO$3,$G103,0)+IF($H103=AO$3,$J103,0)</f>
        <v/>
      </c>
      <c r="AP103" s="46">
        <f>IF($E103=AP$3,$G103,0)-IF($H103=AP$3,$J103,0)</f>
        <v/>
      </c>
      <c r="AQ103" s="47">
        <f>IF($E103=AQ$3,$G103,0)-IF($H103=AQ$3,$J103,0)</f>
        <v/>
      </c>
      <c r="AR103" s="47">
        <f>IF($E103=AR$3,$G103,0)-IF($H103=AR$3,$J103,0)</f>
        <v/>
      </c>
      <c r="AS103" s="47">
        <f>IF($E103=AS$3,$G103,0)-IF($H103=AS$3,$J103,0)</f>
        <v/>
      </c>
      <c r="AT103" s="47">
        <f>IF($E103=AT$3,$G103,0)-IF($H103=AT$3,$J103,0)</f>
        <v/>
      </c>
      <c r="AU103" s="47">
        <f>IF($E103=AU$3,$G103,0)-IF($H103=AU$3,$J103,0)</f>
        <v/>
      </c>
      <c r="AV103" s="47">
        <f>IF($E103=AV$3,$G103,0)-IF($H103=AV$3,$J103,0)</f>
        <v/>
      </c>
      <c r="AW103" s="47">
        <f>IF($E103=AW$3,$G103,0)-IF($H103=AW$3,$J103,0)</f>
        <v/>
      </c>
      <c r="AX103" s="47">
        <f>IF($E103=AX$3,$G103,0)-IF($H103=AX$3,$J103,0)</f>
        <v/>
      </c>
      <c r="AY103" s="47">
        <f>IF($E103=AY$3,$G103,0)-IF($H103=AY$3,$J103,0)</f>
        <v/>
      </c>
      <c r="AZ103" s="47">
        <f>IF($E103=AZ$3,$G103,0)-IF($H103=AZ$3,$J103,0)</f>
        <v/>
      </c>
      <c r="BA103" s="47">
        <f>IF($E103=BA$3,$G103,0)-IF($H103=BA$3,$J103,0)</f>
        <v/>
      </c>
      <c r="BB103" s="47">
        <f>IF($E103=BB$3,$G103,0)-IF($H103=BB$3,$J103,0)</f>
        <v/>
      </c>
      <c r="BC103" s="47">
        <f>IF($E103=BC$3,$G103,0)-IF($H103=BC$3,$J103,0)</f>
        <v/>
      </c>
      <c r="BD103" s="47">
        <f>IF($E103=BD$3,$G103,0)-IF($H103=BD$3,$J103,0)</f>
        <v/>
      </c>
      <c r="BE103" s="47">
        <f>IF($E103=BE$3,$G103,0)-IF($H103=BE$3,$J103,0)</f>
        <v/>
      </c>
      <c r="BF103" s="47">
        <f>IF($E103=BF$3,$G103,0)-IF($H103=BF$3,$J103,0)</f>
        <v/>
      </c>
      <c r="BG103" s="47">
        <f>IF($E103=BG$3,$G103,0)-IF($H103=BG$3,$J103,0)</f>
        <v/>
      </c>
      <c r="BH103" s="47">
        <f>IF($E103=BH$3,$G103,0)-IF($H103=BH$3,$J103,0)</f>
        <v/>
      </c>
      <c r="BI103" s="47">
        <f>IF($E103=BI$3,$G103,0)-IF($H103=BI$3,$J103,0)</f>
        <v/>
      </c>
      <c r="BJ103" s="47">
        <f>IF($E103=BJ$3,$G103,0)-IF($H103=BJ$3,$J103,0)</f>
        <v/>
      </c>
      <c r="BK103" s="47">
        <f>IF($E103=BK$3,$G103,0)-IF($H103=BK$3,$J103,0)</f>
        <v/>
      </c>
      <c r="BL103" s="46">
        <f>-IF($E103=BL$3,$G103,0)+IF($H103=BL$3,$J103,0)</f>
        <v/>
      </c>
      <c r="BM103" s="47">
        <f>-IF($E103=BM$3,$G103,0)+IF($H103=BM$3,$J103,0)</f>
        <v/>
      </c>
      <c r="BN103" s="47">
        <f>-IF($E103=BN$3,$G103,0)+IF($H103=BN$3,$J103,0)</f>
        <v/>
      </c>
      <c r="BO103" s="47">
        <f>-IF($E103=BO$3,$G103,0)+IF($H103=BO$3,$J103,0)</f>
        <v/>
      </c>
      <c r="BP103" s="47">
        <f>-IF($E103=BP$3,$G103,0)+IF($H103=BP$3,$J103,0)</f>
        <v/>
      </c>
      <c r="BQ103" s="47">
        <f>-IF($E103=BQ$3,$G103,0)+IF($H103=BQ$3,$J103,0)</f>
        <v/>
      </c>
      <c r="BR103" s="47">
        <f>-IF($E103=BR$3,$G103,0)+IF($H103=BR$3,$J103,0)</f>
        <v/>
      </c>
      <c r="BS103" s="47">
        <f>-IF($E103=BS$3,$G103,0)+IF($H103=BS$3,$J103,0)</f>
        <v/>
      </c>
      <c r="BT103" s="47">
        <f>-IF($E103=BT$3,$G103,0)+IF($H103=BT$3,$J103,0)</f>
        <v/>
      </c>
      <c r="BU103" s="46">
        <f>+G103-J103</f>
        <v/>
      </c>
      <c r="BV103" s="48">
        <f>-IF($E103=BV$3,$G103,0)+IF($H103=BV$3,$J103,0)</f>
        <v/>
      </c>
      <c r="BW103" s="3" t="n"/>
    </row>
    <row r="104" ht="15.75" customHeight="1" s="214">
      <c r="A104" s="7" t="n"/>
      <c r="B104" s="8" t="n"/>
      <c r="C104" s="9" t="n"/>
      <c r="D104" s="10" t="n"/>
      <c r="E104" s="247" t="n"/>
      <c r="F104" s="11">
        <f>IF(E104="","",IF(ISNA(VLOOKUP(E104,科目コード表!$C$4:$D$67,2,FALSE)),"該当科目なし",VLOOKUP(E104,科目コード表!$C$4:$D$67,2,FALSE)))</f>
        <v/>
      </c>
      <c r="G104" s="38" t="n"/>
      <c r="H104" s="248" t="n"/>
      <c r="I104" s="11">
        <f>IF(H104="","",IF(ISNA(VLOOKUP(H104,科目コード表!$C$4:$D$67,2,FALSE)),"該当科目なし",VLOOKUP(H104,科目コード表!$C$4:$D$67,2,FALSE)))</f>
        <v/>
      </c>
      <c r="J104" s="40" t="n"/>
      <c r="L104" s="46">
        <f>IF($E104=L$3,$G104,0)-IF($H104=L$3,$J104,0)</f>
        <v/>
      </c>
      <c r="M104" s="47">
        <f>IF($E104=M$3,$G104,0)-IF($H104=M$3,$J104,0)</f>
        <v/>
      </c>
      <c r="N104" s="47">
        <f>IF($E104=N$3,$G104,0)-IF($H104=N$3,$J104,0)</f>
        <v/>
      </c>
      <c r="O104" s="47">
        <f>IF($E104=O$3,$G104,0)-IF($H104=O$3,$J104,0)</f>
        <v/>
      </c>
      <c r="P104" s="47">
        <f>IF($E104=P$3,$G104,0)-IF($H104=P$3,$J104,0)</f>
        <v/>
      </c>
      <c r="Q104" s="47">
        <f>IF($E104=Q$3,$G104,0)-IF($H104=Q$3,$J104,0)</f>
        <v/>
      </c>
      <c r="R104" s="47">
        <f>IF($E104=R$3,$G104,0)-IF($H104=R$3,$J104,0)</f>
        <v/>
      </c>
      <c r="S104" s="47">
        <f>IF($E104=S$3,$G104,0)-IF($H104=S$3,$J104,0)</f>
        <v/>
      </c>
      <c r="T104" s="47">
        <f>IF($E104=T$3,$G104,0)-IF($H104=T$3,$J104,0)</f>
        <v/>
      </c>
      <c r="U104" s="47">
        <f>IF($E104=U$3,$G104,0)-IF($H104=U$3,$J104,0)</f>
        <v/>
      </c>
      <c r="V104" s="47">
        <f>IF($E104=V$3,$G104,0)-IF($H104=V$3,$J104,0)</f>
        <v/>
      </c>
      <c r="W104" s="47">
        <f>IF($E104=W$3,$G104,0)-IF($H104=W$3,$J104,0)</f>
        <v/>
      </c>
      <c r="X104" s="47">
        <f>IF($E104=X$3,$G104,0)-IF($H104=X$3,$J104,0)</f>
        <v/>
      </c>
      <c r="Y104" s="47">
        <f>IF($E104=Y$3,$G104,0)-IF($H104=Y$3,$J104,0)</f>
        <v/>
      </c>
      <c r="Z104" s="47">
        <f>IF($E104=Z$3,$G104,0)-IF($H104=Z$3,$J104,0)</f>
        <v/>
      </c>
      <c r="AA104" s="47">
        <f>IF($E104=AA$3,$G104,0)-IF($H104=AA$3,$J104,0)</f>
        <v/>
      </c>
      <c r="AB104" s="47">
        <f>IF($E104=AB$3,$G104,0)-IF($H104=AB$3,$J104,0)</f>
        <v/>
      </c>
      <c r="AC104" s="47">
        <f>IF($E104=AC$3,$G104,0)-IF($H104=AC$3,$J104,0)</f>
        <v/>
      </c>
      <c r="AD104" s="47">
        <f>IF($E104=AD$3,$G104,0)-IF($H104=AD$3,$J104,0)</f>
        <v/>
      </c>
      <c r="AE104" s="47">
        <f>IF($E104=AE$3,$G104,0)-IF($H104=AE$3,$J104,0)</f>
        <v/>
      </c>
      <c r="AF104" s="47">
        <f>IF($E104=AF$3,$G104,0)-IF($H104=AF$3,$J104,0)</f>
        <v/>
      </c>
      <c r="AG104" s="47">
        <f>IF($E104=AG$3,$G104,0)-IF($H104=AG$3,$J104,0)</f>
        <v/>
      </c>
      <c r="AH104" s="47">
        <f>IF($E104=AH$3,$G104,0)-IF($H104=AH$3,$J104,0)</f>
        <v/>
      </c>
      <c r="AI104" s="47">
        <f>IF($E104=AI$3,$G104,0)-IF($H104=AI$3,$J104,0)</f>
        <v/>
      </c>
      <c r="AJ104" s="47">
        <f>IF($E104=AJ$3,$G104,0)-IF($H104=AJ$3,$J104,0)</f>
        <v/>
      </c>
      <c r="AK104" s="47">
        <f>IF($E104=AK$3,$G104,0)-IF($H104=AK$3,$J104,0)</f>
        <v/>
      </c>
      <c r="AL104" s="48">
        <f>IF($E104=AL$3,$G104,0)-IF($H104=AL$3,$J104,0)</f>
        <v/>
      </c>
      <c r="AM104" s="46">
        <f>-IF($E104=AM$3,$G104,0)+IF($H104=AM$3,$J104,0)</f>
        <v/>
      </c>
      <c r="AN104" s="47">
        <f>-IF($E104=AN$3,$G104,0)+IF($H104=AN$3,$J104,0)</f>
        <v/>
      </c>
      <c r="AO104" s="48">
        <f>-IF($E104=AO$3,$G104,0)+IF($H104=AO$3,$J104,0)</f>
        <v/>
      </c>
      <c r="AP104" s="46">
        <f>IF($E104=AP$3,$G104,0)-IF($H104=AP$3,$J104,0)</f>
        <v/>
      </c>
      <c r="AQ104" s="47">
        <f>IF($E104=AQ$3,$G104,0)-IF($H104=AQ$3,$J104,0)</f>
        <v/>
      </c>
      <c r="AR104" s="47">
        <f>IF($E104=AR$3,$G104,0)-IF($H104=AR$3,$J104,0)</f>
        <v/>
      </c>
      <c r="AS104" s="47">
        <f>IF($E104=AS$3,$G104,0)-IF($H104=AS$3,$J104,0)</f>
        <v/>
      </c>
      <c r="AT104" s="47">
        <f>IF($E104=AT$3,$G104,0)-IF($H104=AT$3,$J104,0)</f>
        <v/>
      </c>
      <c r="AU104" s="47">
        <f>IF($E104=AU$3,$G104,0)-IF($H104=AU$3,$J104,0)</f>
        <v/>
      </c>
      <c r="AV104" s="47">
        <f>IF($E104=AV$3,$G104,0)-IF($H104=AV$3,$J104,0)</f>
        <v/>
      </c>
      <c r="AW104" s="47">
        <f>IF($E104=AW$3,$G104,0)-IF($H104=AW$3,$J104,0)</f>
        <v/>
      </c>
      <c r="AX104" s="47">
        <f>IF($E104=AX$3,$G104,0)-IF($H104=AX$3,$J104,0)</f>
        <v/>
      </c>
      <c r="AY104" s="47">
        <f>IF($E104=AY$3,$G104,0)-IF($H104=AY$3,$J104,0)</f>
        <v/>
      </c>
      <c r="AZ104" s="47">
        <f>IF($E104=AZ$3,$G104,0)-IF($H104=AZ$3,$J104,0)</f>
        <v/>
      </c>
      <c r="BA104" s="47">
        <f>IF($E104=BA$3,$G104,0)-IF($H104=BA$3,$J104,0)</f>
        <v/>
      </c>
      <c r="BB104" s="47">
        <f>IF($E104=BB$3,$G104,0)-IF($H104=BB$3,$J104,0)</f>
        <v/>
      </c>
      <c r="BC104" s="47">
        <f>IF($E104=BC$3,$G104,0)-IF($H104=BC$3,$J104,0)</f>
        <v/>
      </c>
      <c r="BD104" s="47">
        <f>IF($E104=BD$3,$G104,0)-IF($H104=BD$3,$J104,0)</f>
        <v/>
      </c>
      <c r="BE104" s="47">
        <f>IF($E104=BE$3,$G104,0)-IF($H104=BE$3,$J104,0)</f>
        <v/>
      </c>
      <c r="BF104" s="47">
        <f>IF($E104=BF$3,$G104,0)-IF($H104=BF$3,$J104,0)</f>
        <v/>
      </c>
      <c r="BG104" s="47">
        <f>IF($E104=BG$3,$G104,0)-IF($H104=BG$3,$J104,0)</f>
        <v/>
      </c>
      <c r="BH104" s="47">
        <f>IF($E104=BH$3,$G104,0)-IF($H104=BH$3,$J104,0)</f>
        <v/>
      </c>
      <c r="BI104" s="47">
        <f>IF($E104=BI$3,$G104,0)-IF($H104=BI$3,$J104,0)</f>
        <v/>
      </c>
      <c r="BJ104" s="47">
        <f>IF($E104=BJ$3,$G104,0)-IF($H104=BJ$3,$J104,0)</f>
        <v/>
      </c>
      <c r="BK104" s="47">
        <f>IF($E104=BK$3,$G104,0)-IF($H104=BK$3,$J104,0)</f>
        <v/>
      </c>
      <c r="BL104" s="46">
        <f>-IF($E104=BL$3,$G104,0)+IF($H104=BL$3,$J104,0)</f>
        <v/>
      </c>
      <c r="BM104" s="47">
        <f>-IF($E104=BM$3,$G104,0)+IF($H104=BM$3,$J104,0)</f>
        <v/>
      </c>
      <c r="BN104" s="47">
        <f>-IF($E104=BN$3,$G104,0)+IF($H104=BN$3,$J104,0)</f>
        <v/>
      </c>
      <c r="BO104" s="47">
        <f>-IF($E104=BO$3,$G104,0)+IF($H104=BO$3,$J104,0)</f>
        <v/>
      </c>
      <c r="BP104" s="47">
        <f>-IF($E104=BP$3,$G104,0)+IF($H104=BP$3,$J104,0)</f>
        <v/>
      </c>
      <c r="BQ104" s="47">
        <f>-IF($E104=BQ$3,$G104,0)+IF($H104=BQ$3,$J104,0)</f>
        <v/>
      </c>
      <c r="BR104" s="47">
        <f>-IF($E104=BR$3,$G104,0)+IF($H104=BR$3,$J104,0)</f>
        <v/>
      </c>
      <c r="BS104" s="47">
        <f>-IF($E104=BS$3,$G104,0)+IF($H104=BS$3,$J104,0)</f>
        <v/>
      </c>
      <c r="BT104" s="47">
        <f>-IF($E104=BT$3,$G104,0)+IF($H104=BT$3,$J104,0)</f>
        <v/>
      </c>
      <c r="BU104" s="46">
        <f>+G104-J104</f>
        <v/>
      </c>
      <c r="BV104" s="48">
        <f>-IF($E104=BV$3,$G104,0)+IF($H104=BV$3,$J104,0)</f>
        <v/>
      </c>
      <c r="BW104" s="3" t="n"/>
    </row>
    <row r="105" ht="15.75" customHeight="1" s="214">
      <c r="A105" s="7" t="n"/>
      <c r="B105" s="8" t="n"/>
      <c r="C105" s="9" t="n"/>
      <c r="D105" s="10" t="n"/>
      <c r="E105" s="247" t="n"/>
      <c r="F105" s="11">
        <f>IF(E105="","",IF(ISNA(VLOOKUP(E105,科目コード表!$C$4:$D$67,2,FALSE)),"該当科目なし",VLOOKUP(E105,科目コード表!$C$4:$D$67,2,FALSE)))</f>
        <v/>
      </c>
      <c r="G105" s="38" t="n"/>
      <c r="H105" s="248" t="n"/>
      <c r="I105" s="11">
        <f>IF(H105="","",IF(ISNA(VLOOKUP(H105,科目コード表!$C$4:$D$67,2,FALSE)),"該当科目なし",VLOOKUP(H105,科目コード表!$C$4:$D$67,2,FALSE)))</f>
        <v/>
      </c>
      <c r="J105" s="40" t="n"/>
      <c r="L105" s="46">
        <f>IF($E105=L$3,$G105,0)-IF($H105=L$3,$J105,0)</f>
        <v/>
      </c>
      <c r="M105" s="47">
        <f>IF($E105=M$3,$G105,0)-IF($H105=M$3,$J105,0)</f>
        <v/>
      </c>
      <c r="N105" s="47">
        <f>IF($E105=N$3,$G105,0)-IF($H105=N$3,$J105,0)</f>
        <v/>
      </c>
      <c r="O105" s="47">
        <f>IF($E105=O$3,$G105,0)-IF($H105=O$3,$J105,0)</f>
        <v/>
      </c>
      <c r="P105" s="47">
        <f>IF($E105=P$3,$G105,0)-IF($H105=P$3,$J105,0)</f>
        <v/>
      </c>
      <c r="Q105" s="47">
        <f>IF($E105=Q$3,$G105,0)-IF($H105=Q$3,$J105,0)</f>
        <v/>
      </c>
      <c r="R105" s="47">
        <f>IF($E105=R$3,$G105,0)-IF($H105=R$3,$J105,0)</f>
        <v/>
      </c>
      <c r="S105" s="47">
        <f>IF($E105=S$3,$G105,0)-IF($H105=S$3,$J105,0)</f>
        <v/>
      </c>
      <c r="T105" s="47">
        <f>IF($E105=T$3,$G105,0)-IF($H105=T$3,$J105,0)</f>
        <v/>
      </c>
      <c r="U105" s="47">
        <f>IF($E105=U$3,$G105,0)-IF($H105=U$3,$J105,0)</f>
        <v/>
      </c>
      <c r="V105" s="47">
        <f>IF($E105=V$3,$G105,0)-IF($H105=V$3,$J105,0)</f>
        <v/>
      </c>
      <c r="W105" s="47">
        <f>IF($E105=W$3,$G105,0)-IF($H105=W$3,$J105,0)</f>
        <v/>
      </c>
      <c r="X105" s="47">
        <f>IF($E105=X$3,$G105,0)-IF($H105=X$3,$J105,0)</f>
        <v/>
      </c>
      <c r="Y105" s="47">
        <f>IF($E105=Y$3,$G105,0)-IF($H105=Y$3,$J105,0)</f>
        <v/>
      </c>
      <c r="Z105" s="47">
        <f>IF($E105=Z$3,$G105,0)-IF($H105=Z$3,$J105,0)</f>
        <v/>
      </c>
      <c r="AA105" s="47">
        <f>IF($E105=AA$3,$G105,0)-IF($H105=AA$3,$J105,0)</f>
        <v/>
      </c>
      <c r="AB105" s="47">
        <f>IF($E105=AB$3,$G105,0)-IF($H105=AB$3,$J105,0)</f>
        <v/>
      </c>
      <c r="AC105" s="47">
        <f>IF($E105=AC$3,$G105,0)-IF($H105=AC$3,$J105,0)</f>
        <v/>
      </c>
      <c r="AD105" s="47">
        <f>IF($E105=AD$3,$G105,0)-IF($H105=AD$3,$J105,0)</f>
        <v/>
      </c>
      <c r="AE105" s="47">
        <f>IF($E105=AE$3,$G105,0)-IF($H105=AE$3,$J105,0)</f>
        <v/>
      </c>
      <c r="AF105" s="47">
        <f>IF($E105=AF$3,$G105,0)-IF($H105=AF$3,$J105,0)</f>
        <v/>
      </c>
      <c r="AG105" s="47">
        <f>IF($E105=AG$3,$G105,0)-IF($H105=AG$3,$J105,0)</f>
        <v/>
      </c>
      <c r="AH105" s="47">
        <f>IF($E105=AH$3,$G105,0)-IF($H105=AH$3,$J105,0)</f>
        <v/>
      </c>
      <c r="AI105" s="47">
        <f>IF($E105=AI$3,$G105,0)-IF($H105=AI$3,$J105,0)</f>
        <v/>
      </c>
      <c r="AJ105" s="47">
        <f>IF($E105=AJ$3,$G105,0)-IF($H105=AJ$3,$J105,0)</f>
        <v/>
      </c>
      <c r="AK105" s="47">
        <f>IF($E105=AK$3,$G105,0)-IF($H105=AK$3,$J105,0)</f>
        <v/>
      </c>
      <c r="AL105" s="48">
        <f>IF($E105=AL$3,$G105,0)-IF($H105=AL$3,$J105,0)</f>
        <v/>
      </c>
      <c r="AM105" s="46">
        <f>-IF($E105=AM$3,$G105,0)+IF($H105=AM$3,$J105,0)</f>
        <v/>
      </c>
      <c r="AN105" s="47">
        <f>-IF($E105=AN$3,$G105,0)+IF($H105=AN$3,$J105,0)</f>
        <v/>
      </c>
      <c r="AO105" s="48">
        <f>-IF($E105=AO$3,$G105,0)+IF($H105=AO$3,$J105,0)</f>
        <v/>
      </c>
      <c r="AP105" s="46">
        <f>IF($E105=AP$3,$G105,0)-IF($H105=AP$3,$J105,0)</f>
        <v/>
      </c>
      <c r="AQ105" s="47">
        <f>IF($E105=AQ$3,$G105,0)-IF($H105=AQ$3,$J105,0)</f>
        <v/>
      </c>
      <c r="AR105" s="47">
        <f>IF($E105=AR$3,$G105,0)-IF($H105=AR$3,$J105,0)</f>
        <v/>
      </c>
      <c r="AS105" s="47">
        <f>IF($E105=AS$3,$G105,0)-IF($H105=AS$3,$J105,0)</f>
        <v/>
      </c>
      <c r="AT105" s="47">
        <f>IF($E105=AT$3,$G105,0)-IF($H105=AT$3,$J105,0)</f>
        <v/>
      </c>
      <c r="AU105" s="47">
        <f>IF($E105=AU$3,$G105,0)-IF($H105=AU$3,$J105,0)</f>
        <v/>
      </c>
      <c r="AV105" s="47">
        <f>IF($E105=AV$3,$G105,0)-IF($H105=AV$3,$J105,0)</f>
        <v/>
      </c>
      <c r="AW105" s="47">
        <f>IF($E105=AW$3,$G105,0)-IF($H105=AW$3,$J105,0)</f>
        <v/>
      </c>
      <c r="AX105" s="47">
        <f>IF($E105=AX$3,$G105,0)-IF($H105=AX$3,$J105,0)</f>
        <v/>
      </c>
      <c r="AY105" s="47">
        <f>IF($E105=AY$3,$G105,0)-IF($H105=AY$3,$J105,0)</f>
        <v/>
      </c>
      <c r="AZ105" s="47">
        <f>IF($E105=AZ$3,$G105,0)-IF($H105=AZ$3,$J105,0)</f>
        <v/>
      </c>
      <c r="BA105" s="47">
        <f>IF($E105=BA$3,$G105,0)-IF($H105=BA$3,$J105,0)</f>
        <v/>
      </c>
      <c r="BB105" s="47">
        <f>IF($E105=BB$3,$G105,0)-IF($H105=BB$3,$J105,0)</f>
        <v/>
      </c>
      <c r="BC105" s="47">
        <f>IF($E105=BC$3,$G105,0)-IF($H105=BC$3,$J105,0)</f>
        <v/>
      </c>
      <c r="BD105" s="47">
        <f>IF($E105=BD$3,$G105,0)-IF($H105=BD$3,$J105,0)</f>
        <v/>
      </c>
      <c r="BE105" s="47">
        <f>IF($E105=BE$3,$G105,0)-IF($H105=BE$3,$J105,0)</f>
        <v/>
      </c>
      <c r="BF105" s="47">
        <f>IF($E105=BF$3,$G105,0)-IF($H105=BF$3,$J105,0)</f>
        <v/>
      </c>
      <c r="BG105" s="47">
        <f>IF($E105=BG$3,$G105,0)-IF($H105=BG$3,$J105,0)</f>
        <v/>
      </c>
      <c r="BH105" s="47">
        <f>IF($E105=BH$3,$G105,0)-IF($H105=BH$3,$J105,0)</f>
        <v/>
      </c>
      <c r="BI105" s="47">
        <f>IF($E105=BI$3,$G105,0)-IF($H105=BI$3,$J105,0)</f>
        <v/>
      </c>
      <c r="BJ105" s="47">
        <f>IF($E105=BJ$3,$G105,0)-IF($H105=BJ$3,$J105,0)</f>
        <v/>
      </c>
      <c r="BK105" s="47">
        <f>IF($E105=BK$3,$G105,0)-IF($H105=BK$3,$J105,0)</f>
        <v/>
      </c>
      <c r="BL105" s="46">
        <f>-IF($E105=BL$3,$G105,0)+IF($H105=BL$3,$J105,0)</f>
        <v/>
      </c>
      <c r="BM105" s="47">
        <f>-IF($E105=BM$3,$G105,0)+IF($H105=BM$3,$J105,0)</f>
        <v/>
      </c>
      <c r="BN105" s="47">
        <f>-IF($E105=BN$3,$G105,0)+IF($H105=BN$3,$J105,0)</f>
        <v/>
      </c>
      <c r="BO105" s="47">
        <f>-IF($E105=BO$3,$G105,0)+IF($H105=BO$3,$J105,0)</f>
        <v/>
      </c>
      <c r="BP105" s="47">
        <f>-IF($E105=BP$3,$G105,0)+IF($H105=BP$3,$J105,0)</f>
        <v/>
      </c>
      <c r="BQ105" s="47">
        <f>-IF($E105=BQ$3,$G105,0)+IF($H105=BQ$3,$J105,0)</f>
        <v/>
      </c>
      <c r="BR105" s="47">
        <f>-IF($E105=BR$3,$G105,0)+IF($H105=BR$3,$J105,0)</f>
        <v/>
      </c>
      <c r="BS105" s="47">
        <f>-IF($E105=BS$3,$G105,0)+IF($H105=BS$3,$J105,0)</f>
        <v/>
      </c>
      <c r="BT105" s="47">
        <f>-IF($E105=BT$3,$G105,0)+IF($H105=BT$3,$J105,0)</f>
        <v/>
      </c>
      <c r="BU105" s="46">
        <f>+G105-J105</f>
        <v/>
      </c>
      <c r="BV105" s="48">
        <f>-IF($E105=BV$3,$G105,0)+IF($H105=BV$3,$J105,0)</f>
        <v/>
      </c>
      <c r="BW105" s="3" t="n"/>
    </row>
    <row r="106" ht="15.75" customHeight="1" s="214">
      <c r="A106" s="7" t="n"/>
      <c r="B106" s="8" t="n"/>
      <c r="C106" s="9" t="n"/>
      <c r="D106" s="10" t="n"/>
      <c r="E106" s="247" t="n"/>
      <c r="F106" s="11">
        <f>IF(E106="","",IF(ISNA(VLOOKUP(E106,科目コード表!$C$4:$D$67,2,FALSE)),"該当科目なし",VLOOKUP(E106,科目コード表!$C$4:$D$67,2,FALSE)))</f>
        <v/>
      </c>
      <c r="G106" s="38" t="n"/>
      <c r="H106" s="248" t="n"/>
      <c r="I106" s="11">
        <f>IF(H106="","",IF(ISNA(VLOOKUP(H106,科目コード表!$C$4:$D$67,2,FALSE)),"該当科目なし",VLOOKUP(H106,科目コード表!$C$4:$D$67,2,FALSE)))</f>
        <v/>
      </c>
      <c r="J106" s="40" t="n"/>
      <c r="L106" s="46">
        <f>IF($E106=L$3,$G106,0)-IF($H106=L$3,$J106,0)</f>
        <v/>
      </c>
      <c r="M106" s="47">
        <f>IF($E106=M$3,$G106,0)-IF($H106=M$3,$J106,0)</f>
        <v/>
      </c>
      <c r="N106" s="47">
        <f>IF($E106=N$3,$G106,0)-IF($H106=N$3,$J106,0)</f>
        <v/>
      </c>
      <c r="O106" s="47">
        <f>IF($E106=O$3,$G106,0)-IF($H106=O$3,$J106,0)</f>
        <v/>
      </c>
      <c r="P106" s="47">
        <f>IF($E106=P$3,$G106,0)-IF($H106=P$3,$J106,0)</f>
        <v/>
      </c>
      <c r="Q106" s="47">
        <f>IF($E106=Q$3,$G106,0)-IF($H106=Q$3,$J106,0)</f>
        <v/>
      </c>
      <c r="R106" s="47">
        <f>IF($E106=R$3,$G106,0)-IF($H106=R$3,$J106,0)</f>
        <v/>
      </c>
      <c r="S106" s="47">
        <f>IF($E106=S$3,$G106,0)-IF($H106=S$3,$J106,0)</f>
        <v/>
      </c>
      <c r="T106" s="47">
        <f>IF($E106=T$3,$G106,0)-IF($H106=T$3,$J106,0)</f>
        <v/>
      </c>
      <c r="U106" s="47">
        <f>IF($E106=U$3,$G106,0)-IF($H106=U$3,$J106,0)</f>
        <v/>
      </c>
      <c r="V106" s="47">
        <f>IF($E106=V$3,$G106,0)-IF($H106=V$3,$J106,0)</f>
        <v/>
      </c>
      <c r="W106" s="47">
        <f>IF($E106=W$3,$G106,0)-IF($H106=W$3,$J106,0)</f>
        <v/>
      </c>
      <c r="X106" s="47">
        <f>IF($E106=X$3,$G106,0)-IF($H106=X$3,$J106,0)</f>
        <v/>
      </c>
      <c r="Y106" s="47">
        <f>IF($E106=Y$3,$G106,0)-IF($H106=Y$3,$J106,0)</f>
        <v/>
      </c>
      <c r="Z106" s="47">
        <f>IF($E106=Z$3,$G106,0)-IF($H106=Z$3,$J106,0)</f>
        <v/>
      </c>
      <c r="AA106" s="47">
        <f>IF($E106=AA$3,$G106,0)-IF($H106=AA$3,$J106,0)</f>
        <v/>
      </c>
      <c r="AB106" s="47">
        <f>IF($E106=AB$3,$G106,0)-IF($H106=AB$3,$J106,0)</f>
        <v/>
      </c>
      <c r="AC106" s="47">
        <f>IF($E106=AC$3,$G106,0)-IF($H106=AC$3,$J106,0)</f>
        <v/>
      </c>
      <c r="AD106" s="47">
        <f>IF($E106=AD$3,$G106,0)-IF($H106=AD$3,$J106,0)</f>
        <v/>
      </c>
      <c r="AE106" s="47">
        <f>IF($E106=AE$3,$G106,0)-IF($H106=AE$3,$J106,0)</f>
        <v/>
      </c>
      <c r="AF106" s="47">
        <f>IF($E106=AF$3,$G106,0)-IF($H106=AF$3,$J106,0)</f>
        <v/>
      </c>
      <c r="AG106" s="47">
        <f>IF($E106=AG$3,$G106,0)-IF($H106=AG$3,$J106,0)</f>
        <v/>
      </c>
      <c r="AH106" s="47">
        <f>IF($E106=AH$3,$G106,0)-IF($H106=AH$3,$J106,0)</f>
        <v/>
      </c>
      <c r="AI106" s="47">
        <f>IF($E106=AI$3,$G106,0)-IF($H106=AI$3,$J106,0)</f>
        <v/>
      </c>
      <c r="AJ106" s="47">
        <f>IF($E106=AJ$3,$G106,0)-IF($H106=AJ$3,$J106,0)</f>
        <v/>
      </c>
      <c r="AK106" s="47">
        <f>IF($E106=AK$3,$G106,0)-IF($H106=AK$3,$J106,0)</f>
        <v/>
      </c>
      <c r="AL106" s="48">
        <f>IF($E106=AL$3,$G106,0)-IF($H106=AL$3,$J106,0)</f>
        <v/>
      </c>
      <c r="AM106" s="46">
        <f>-IF($E106=AM$3,$G106,0)+IF($H106=AM$3,$J106,0)</f>
        <v/>
      </c>
      <c r="AN106" s="47">
        <f>-IF($E106=AN$3,$G106,0)+IF($H106=AN$3,$J106,0)</f>
        <v/>
      </c>
      <c r="AO106" s="48">
        <f>-IF($E106=AO$3,$G106,0)+IF($H106=AO$3,$J106,0)</f>
        <v/>
      </c>
      <c r="AP106" s="46">
        <f>IF($E106=AP$3,$G106,0)-IF($H106=AP$3,$J106,0)</f>
        <v/>
      </c>
      <c r="AQ106" s="47">
        <f>IF($E106=AQ$3,$G106,0)-IF($H106=AQ$3,$J106,0)</f>
        <v/>
      </c>
      <c r="AR106" s="47">
        <f>IF($E106=AR$3,$G106,0)-IF($H106=AR$3,$J106,0)</f>
        <v/>
      </c>
      <c r="AS106" s="47">
        <f>IF($E106=AS$3,$G106,0)-IF($H106=AS$3,$J106,0)</f>
        <v/>
      </c>
      <c r="AT106" s="47">
        <f>IF($E106=AT$3,$G106,0)-IF($H106=AT$3,$J106,0)</f>
        <v/>
      </c>
      <c r="AU106" s="47">
        <f>IF($E106=AU$3,$G106,0)-IF($H106=AU$3,$J106,0)</f>
        <v/>
      </c>
      <c r="AV106" s="47">
        <f>IF($E106=AV$3,$G106,0)-IF($H106=AV$3,$J106,0)</f>
        <v/>
      </c>
      <c r="AW106" s="47">
        <f>IF($E106=AW$3,$G106,0)-IF($H106=AW$3,$J106,0)</f>
        <v/>
      </c>
      <c r="AX106" s="47">
        <f>IF($E106=AX$3,$G106,0)-IF($H106=AX$3,$J106,0)</f>
        <v/>
      </c>
      <c r="AY106" s="47">
        <f>IF($E106=AY$3,$G106,0)-IF($H106=AY$3,$J106,0)</f>
        <v/>
      </c>
      <c r="AZ106" s="47">
        <f>IF($E106=AZ$3,$G106,0)-IF($H106=AZ$3,$J106,0)</f>
        <v/>
      </c>
      <c r="BA106" s="47">
        <f>IF($E106=BA$3,$G106,0)-IF($H106=BA$3,$J106,0)</f>
        <v/>
      </c>
      <c r="BB106" s="47">
        <f>IF($E106=BB$3,$G106,0)-IF($H106=BB$3,$J106,0)</f>
        <v/>
      </c>
      <c r="BC106" s="47">
        <f>IF($E106=BC$3,$G106,0)-IF($H106=BC$3,$J106,0)</f>
        <v/>
      </c>
      <c r="BD106" s="47">
        <f>IF($E106=BD$3,$G106,0)-IF($H106=BD$3,$J106,0)</f>
        <v/>
      </c>
      <c r="BE106" s="47">
        <f>IF($E106=BE$3,$G106,0)-IF($H106=BE$3,$J106,0)</f>
        <v/>
      </c>
      <c r="BF106" s="47">
        <f>IF($E106=BF$3,$G106,0)-IF($H106=BF$3,$J106,0)</f>
        <v/>
      </c>
      <c r="BG106" s="47">
        <f>IF($E106=BG$3,$G106,0)-IF($H106=BG$3,$J106,0)</f>
        <v/>
      </c>
      <c r="BH106" s="47">
        <f>IF($E106=BH$3,$G106,0)-IF($H106=BH$3,$J106,0)</f>
        <v/>
      </c>
      <c r="BI106" s="47">
        <f>IF($E106=BI$3,$G106,0)-IF($H106=BI$3,$J106,0)</f>
        <v/>
      </c>
      <c r="BJ106" s="47">
        <f>IF($E106=BJ$3,$G106,0)-IF($H106=BJ$3,$J106,0)</f>
        <v/>
      </c>
      <c r="BK106" s="47">
        <f>IF($E106=BK$3,$G106,0)-IF($H106=BK$3,$J106,0)</f>
        <v/>
      </c>
      <c r="BL106" s="46">
        <f>-IF($E106=BL$3,$G106,0)+IF($H106=BL$3,$J106,0)</f>
        <v/>
      </c>
      <c r="BM106" s="47">
        <f>-IF($E106=BM$3,$G106,0)+IF($H106=BM$3,$J106,0)</f>
        <v/>
      </c>
      <c r="BN106" s="47">
        <f>-IF($E106=BN$3,$G106,0)+IF($H106=BN$3,$J106,0)</f>
        <v/>
      </c>
      <c r="BO106" s="47">
        <f>-IF($E106=BO$3,$G106,0)+IF($H106=BO$3,$J106,0)</f>
        <v/>
      </c>
      <c r="BP106" s="47">
        <f>-IF($E106=BP$3,$G106,0)+IF($H106=BP$3,$J106,0)</f>
        <v/>
      </c>
      <c r="BQ106" s="47">
        <f>-IF($E106=BQ$3,$G106,0)+IF($H106=BQ$3,$J106,0)</f>
        <v/>
      </c>
      <c r="BR106" s="47">
        <f>-IF($E106=BR$3,$G106,0)+IF($H106=BR$3,$J106,0)</f>
        <v/>
      </c>
      <c r="BS106" s="47">
        <f>-IF($E106=BS$3,$G106,0)+IF($H106=BS$3,$J106,0)</f>
        <v/>
      </c>
      <c r="BT106" s="47">
        <f>-IF($E106=BT$3,$G106,0)+IF($H106=BT$3,$J106,0)</f>
        <v/>
      </c>
      <c r="BU106" s="46">
        <f>+G106-J106</f>
        <v/>
      </c>
      <c r="BV106" s="48">
        <f>-IF($E106=BV$3,$G106,0)+IF($H106=BV$3,$J106,0)</f>
        <v/>
      </c>
      <c r="BW106" s="3" t="n"/>
    </row>
    <row r="107" ht="15.75" customHeight="1" s="214">
      <c r="A107" s="7" t="n"/>
      <c r="B107" s="8" t="n"/>
      <c r="C107" s="9" t="n"/>
      <c r="D107" s="10" t="n"/>
      <c r="E107" s="247" t="n"/>
      <c r="F107" s="11">
        <f>IF(E107="","",IF(ISNA(VLOOKUP(E107,科目コード表!$C$4:$D$67,2,FALSE)),"該当科目なし",VLOOKUP(E107,科目コード表!$C$4:$D$67,2,FALSE)))</f>
        <v/>
      </c>
      <c r="G107" s="38" t="n"/>
      <c r="H107" s="248" t="n"/>
      <c r="I107" s="11">
        <f>IF(H107="","",IF(ISNA(VLOOKUP(H107,科目コード表!$C$4:$D$67,2,FALSE)),"該当科目なし",VLOOKUP(H107,科目コード表!$C$4:$D$67,2,FALSE)))</f>
        <v/>
      </c>
      <c r="J107" s="40" t="n"/>
      <c r="L107" s="46">
        <f>IF($E107=L$3,$G107,0)-IF($H107=L$3,$J107,0)</f>
        <v/>
      </c>
      <c r="M107" s="47">
        <f>IF($E107=M$3,$G107,0)-IF($H107=M$3,$J107,0)</f>
        <v/>
      </c>
      <c r="N107" s="47">
        <f>IF($E107=N$3,$G107,0)-IF($H107=N$3,$J107,0)</f>
        <v/>
      </c>
      <c r="O107" s="47">
        <f>IF($E107=O$3,$G107,0)-IF($H107=O$3,$J107,0)</f>
        <v/>
      </c>
      <c r="P107" s="47">
        <f>IF($E107=P$3,$G107,0)-IF($H107=P$3,$J107,0)</f>
        <v/>
      </c>
      <c r="Q107" s="47">
        <f>IF($E107=Q$3,$G107,0)-IF($H107=Q$3,$J107,0)</f>
        <v/>
      </c>
      <c r="R107" s="47">
        <f>IF($E107=R$3,$G107,0)-IF($H107=R$3,$J107,0)</f>
        <v/>
      </c>
      <c r="S107" s="47">
        <f>IF($E107=S$3,$G107,0)-IF($H107=S$3,$J107,0)</f>
        <v/>
      </c>
      <c r="T107" s="47">
        <f>IF($E107=T$3,$G107,0)-IF($H107=T$3,$J107,0)</f>
        <v/>
      </c>
      <c r="U107" s="47">
        <f>IF($E107=U$3,$G107,0)-IF($H107=U$3,$J107,0)</f>
        <v/>
      </c>
      <c r="V107" s="47">
        <f>IF($E107=V$3,$G107,0)-IF($H107=V$3,$J107,0)</f>
        <v/>
      </c>
      <c r="W107" s="47">
        <f>IF($E107=W$3,$G107,0)-IF($H107=W$3,$J107,0)</f>
        <v/>
      </c>
      <c r="X107" s="47">
        <f>IF($E107=X$3,$G107,0)-IF($H107=X$3,$J107,0)</f>
        <v/>
      </c>
      <c r="Y107" s="47">
        <f>IF($E107=Y$3,$G107,0)-IF($H107=Y$3,$J107,0)</f>
        <v/>
      </c>
      <c r="Z107" s="47">
        <f>IF($E107=Z$3,$G107,0)-IF($H107=Z$3,$J107,0)</f>
        <v/>
      </c>
      <c r="AA107" s="47">
        <f>IF($E107=AA$3,$G107,0)-IF($H107=AA$3,$J107,0)</f>
        <v/>
      </c>
      <c r="AB107" s="47">
        <f>IF($E107=AB$3,$G107,0)-IF($H107=AB$3,$J107,0)</f>
        <v/>
      </c>
      <c r="AC107" s="47">
        <f>IF($E107=AC$3,$G107,0)-IF($H107=AC$3,$J107,0)</f>
        <v/>
      </c>
      <c r="AD107" s="47">
        <f>IF($E107=AD$3,$G107,0)-IF($H107=AD$3,$J107,0)</f>
        <v/>
      </c>
      <c r="AE107" s="47">
        <f>IF($E107=AE$3,$G107,0)-IF($H107=AE$3,$J107,0)</f>
        <v/>
      </c>
      <c r="AF107" s="47">
        <f>IF($E107=AF$3,$G107,0)-IF($H107=AF$3,$J107,0)</f>
        <v/>
      </c>
      <c r="AG107" s="47">
        <f>IF($E107=AG$3,$G107,0)-IF($H107=AG$3,$J107,0)</f>
        <v/>
      </c>
      <c r="AH107" s="47">
        <f>IF($E107=AH$3,$G107,0)-IF($H107=AH$3,$J107,0)</f>
        <v/>
      </c>
      <c r="AI107" s="47">
        <f>IF($E107=AI$3,$G107,0)-IF($H107=AI$3,$J107,0)</f>
        <v/>
      </c>
      <c r="AJ107" s="47">
        <f>IF($E107=AJ$3,$G107,0)-IF($H107=AJ$3,$J107,0)</f>
        <v/>
      </c>
      <c r="AK107" s="47">
        <f>IF($E107=AK$3,$G107,0)-IF($H107=AK$3,$J107,0)</f>
        <v/>
      </c>
      <c r="AL107" s="48">
        <f>IF($E107=AL$3,$G107,0)-IF($H107=AL$3,$J107,0)</f>
        <v/>
      </c>
      <c r="AM107" s="46">
        <f>-IF($E107=AM$3,$G107,0)+IF($H107=AM$3,$J107,0)</f>
        <v/>
      </c>
      <c r="AN107" s="47">
        <f>-IF($E107=AN$3,$G107,0)+IF($H107=AN$3,$J107,0)</f>
        <v/>
      </c>
      <c r="AO107" s="48">
        <f>-IF($E107=AO$3,$G107,0)+IF($H107=AO$3,$J107,0)</f>
        <v/>
      </c>
      <c r="AP107" s="46">
        <f>IF($E107=AP$3,$G107,0)-IF($H107=AP$3,$J107,0)</f>
        <v/>
      </c>
      <c r="AQ107" s="47">
        <f>IF($E107=AQ$3,$G107,0)-IF($H107=AQ$3,$J107,0)</f>
        <v/>
      </c>
      <c r="AR107" s="47">
        <f>IF($E107=AR$3,$G107,0)-IF($H107=AR$3,$J107,0)</f>
        <v/>
      </c>
      <c r="AS107" s="47">
        <f>IF($E107=AS$3,$G107,0)-IF($H107=AS$3,$J107,0)</f>
        <v/>
      </c>
      <c r="AT107" s="47">
        <f>IF($E107=AT$3,$G107,0)-IF($H107=AT$3,$J107,0)</f>
        <v/>
      </c>
      <c r="AU107" s="47">
        <f>IF($E107=AU$3,$G107,0)-IF($H107=AU$3,$J107,0)</f>
        <v/>
      </c>
      <c r="AV107" s="47">
        <f>IF($E107=AV$3,$G107,0)-IF($H107=AV$3,$J107,0)</f>
        <v/>
      </c>
      <c r="AW107" s="47">
        <f>IF($E107=AW$3,$G107,0)-IF($H107=AW$3,$J107,0)</f>
        <v/>
      </c>
      <c r="AX107" s="47">
        <f>IF($E107=AX$3,$G107,0)-IF($H107=AX$3,$J107,0)</f>
        <v/>
      </c>
      <c r="AY107" s="47">
        <f>IF($E107=AY$3,$G107,0)-IF($H107=AY$3,$J107,0)</f>
        <v/>
      </c>
      <c r="AZ107" s="47">
        <f>IF($E107=AZ$3,$G107,0)-IF($H107=AZ$3,$J107,0)</f>
        <v/>
      </c>
      <c r="BA107" s="47">
        <f>IF($E107=BA$3,$G107,0)-IF($H107=BA$3,$J107,0)</f>
        <v/>
      </c>
      <c r="BB107" s="47">
        <f>IF($E107=BB$3,$G107,0)-IF($H107=BB$3,$J107,0)</f>
        <v/>
      </c>
      <c r="BC107" s="47">
        <f>IF($E107=BC$3,$G107,0)-IF($H107=BC$3,$J107,0)</f>
        <v/>
      </c>
      <c r="BD107" s="47">
        <f>IF($E107=BD$3,$G107,0)-IF($H107=BD$3,$J107,0)</f>
        <v/>
      </c>
      <c r="BE107" s="47">
        <f>IF($E107=BE$3,$G107,0)-IF($H107=BE$3,$J107,0)</f>
        <v/>
      </c>
      <c r="BF107" s="47">
        <f>IF($E107=BF$3,$G107,0)-IF($H107=BF$3,$J107,0)</f>
        <v/>
      </c>
      <c r="BG107" s="47">
        <f>IF($E107=BG$3,$G107,0)-IF($H107=BG$3,$J107,0)</f>
        <v/>
      </c>
      <c r="BH107" s="47">
        <f>IF($E107=BH$3,$G107,0)-IF($H107=BH$3,$J107,0)</f>
        <v/>
      </c>
      <c r="BI107" s="47">
        <f>IF($E107=BI$3,$G107,0)-IF($H107=BI$3,$J107,0)</f>
        <v/>
      </c>
      <c r="BJ107" s="47">
        <f>IF($E107=BJ$3,$G107,0)-IF($H107=BJ$3,$J107,0)</f>
        <v/>
      </c>
      <c r="BK107" s="47">
        <f>IF($E107=BK$3,$G107,0)-IF($H107=BK$3,$J107,0)</f>
        <v/>
      </c>
      <c r="BL107" s="46">
        <f>-IF($E107=BL$3,$G107,0)+IF($H107=BL$3,$J107,0)</f>
        <v/>
      </c>
      <c r="BM107" s="47">
        <f>-IF($E107=BM$3,$G107,0)+IF($H107=BM$3,$J107,0)</f>
        <v/>
      </c>
      <c r="BN107" s="47">
        <f>-IF($E107=BN$3,$G107,0)+IF($H107=BN$3,$J107,0)</f>
        <v/>
      </c>
      <c r="BO107" s="47">
        <f>-IF($E107=BO$3,$G107,0)+IF($H107=BO$3,$J107,0)</f>
        <v/>
      </c>
      <c r="BP107" s="47">
        <f>-IF($E107=BP$3,$G107,0)+IF($H107=BP$3,$J107,0)</f>
        <v/>
      </c>
      <c r="BQ107" s="47">
        <f>-IF($E107=BQ$3,$G107,0)+IF($H107=BQ$3,$J107,0)</f>
        <v/>
      </c>
      <c r="BR107" s="47">
        <f>-IF($E107=BR$3,$G107,0)+IF($H107=BR$3,$J107,0)</f>
        <v/>
      </c>
      <c r="BS107" s="47">
        <f>-IF($E107=BS$3,$G107,0)+IF($H107=BS$3,$J107,0)</f>
        <v/>
      </c>
      <c r="BT107" s="47">
        <f>-IF($E107=BT$3,$G107,0)+IF($H107=BT$3,$J107,0)</f>
        <v/>
      </c>
      <c r="BU107" s="46">
        <f>+G107-J107</f>
        <v/>
      </c>
      <c r="BV107" s="48">
        <f>-IF($E107=BV$3,$G107,0)+IF($H107=BV$3,$J107,0)</f>
        <v/>
      </c>
      <c r="BW107" s="3" t="n"/>
    </row>
    <row r="108" ht="15.75" customHeight="1" s="214">
      <c r="A108" s="7" t="n"/>
      <c r="B108" s="8" t="n"/>
      <c r="C108" s="9" t="n"/>
      <c r="D108" s="10" t="n"/>
      <c r="E108" s="247" t="n"/>
      <c r="F108" s="11">
        <f>IF(E108="","",IF(ISNA(VLOOKUP(E108,科目コード表!$C$4:$D$67,2,FALSE)),"該当科目なし",VLOOKUP(E108,科目コード表!$C$4:$D$67,2,FALSE)))</f>
        <v/>
      </c>
      <c r="G108" s="38" t="n"/>
      <c r="H108" s="248" t="n"/>
      <c r="I108" s="11">
        <f>IF(H108="","",IF(ISNA(VLOOKUP(H108,科目コード表!$C$4:$D$67,2,FALSE)),"該当科目なし",VLOOKUP(H108,科目コード表!$C$4:$D$67,2,FALSE)))</f>
        <v/>
      </c>
      <c r="J108" s="40" t="n"/>
      <c r="L108" s="46">
        <f>IF($E108=L$3,$G108,0)-IF($H108=L$3,$J108,0)</f>
        <v/>
      </c>
      <c r="M108" s="47">
        <f>IF($E108=M$3,$G108,0)-IF($H108=M$3,$J108,0)</f>
        <v/>
      </c>
      <c r="N108" s="47">
        <f>IF($E108=N$3,$G108,0)-IF($H108=N$3,$J108,0)</f>
        <v/>
      </c>
      <c r="O108" s="47">
        <f>IF($E108=O$3,$G108,0)-IF($H108=O$3,$J108,0)</f>
        <v/>
      </c>
      <c r="P108" s="47">
        <f>IF($E108=P$3,$G108,0)-IF($H108=P$3,$J108,0)</f>
        <v/>
      </c>
      <c r="Q108" s="47">
        <f>IF($E108=Q$3,$G108,0)-IF($H108=Q$3,$J108,0)</f>
        <v/>
      </c>
      <c r="R108" s="47">
        <f>IF($E108=R$3,$G108,0)-IF($H108=R$3,$J108,0)</f>
        <v/>
      </c>
      <c r="S108" s="47">
        <f>IF($E108=S$3,$G108,0)-IF($H108=S$3,$J108,0)</f>
        <v/>
      </c>
      <c r="T108" s="47">
        <f>IF($E108=T$3,$G108,0)-IF($H108=T$3,$J108,0)</f>
        <v/>
      </c>
      <c r="U108" s="47">
        <f>IF($E108=U$3,$G108,0)-IF($H108=U$3,$J108,0)</f>
        <v/>
      </c>
      <c r="V108" s="47">
        <f>IF($E108=V$3,$G108,0)-IF($H108=V$3,$J108,0)</f>
        <v/>
      </c>
      <c r="W108" s="47">
        <f>IF($E108=W$3,$G108,0)-IF($H108=W$3,$J108,0)</f>
        <v/>
      </c>
      <c r="X108" s="47">
        <f>IF($E108=X$3,$G108,0)-IF($H108=X$3,$J108,0)</f>
        <v/>
      </c>
      <c r="Y108" s="47">
        <f>IF($E108=Y$3,$G108,0)-IF($H108=Y$3,$J108,0)</f>
        <v/>
      </c>
      <c r="Z108" s="47">
        <f>IF($E108=Z$3,$G108,0)-IF($H108=Z$3,$J108,0)</f>
        <v/>
      </c>
      <c r="AA108" s="47">
        <f>IF($E108=AA$3,$G108,0)-IF($H108=AA$3,$J108,0)</f>
        <v/>
      </c>
      <c r="AB108" s="47">
        <f>IF($E108=AB$3,$G108,0)-IF($H108=AB$3,$J108,0)</f>
        <v/>
      </c>
      <c r="AC108" s="47">
        <f>IF($E108=AC$3,$G108,0)-IF($H108=AC$3,$J108,0)</f>
        <v/>
      </c>
      <c r="AD108" s="47">
        <f>IF($E108=AD$3,$G108,0)-IF($H108=AD$3,$J108,0)</f>
        <v/>
      </c>
      <c r="AE108" s="47">
        <f>IF($E108=AE$3,$G108,0)-IF($H108=AE$3,$J108,0)</f>
        <v/>
      </c>
      <c r="AF108" s="47">
        <f>IF($E108=AF$3,$G108,0)-IF($H108=AF$3,$J108,0)</f>
        <v/>
      </c>
      <c r="AG108" s="47">
        <f>IF($E108=AG$3,$G108,0)-IF($H108=AG$3,$J108,0)</f>
        <v/>
      </c>
      <c r="AH108" s="47">
        <f>IF($E108=AH$3,$G108,0)-IF($H108=AH$3,$J108,0)</f>
        <v/>
      </c>
      <c r="AI108" s="47">
        <f>IF($E108=AI$3,$G108,0)-IF($H108=AI$3,$J108,0)</f>
        <v/>
      </c>
      <c r="AJ108" s="47">
        <f>IF($E108=AJ$3,$G108,0)-IF($H108=AJ$3,$J108,0)</f>
        <v/>
      </c>
      <c r="AK108" s="47">
        <f>IF($E108=AK$3,$G108,0)-IF($H108=AK$3,$J108,0)</f>
        <v/>
      </c>
      <c r="AL108" s="48">
        <f>IF($E108=AL$3,$G108,0)-IF($H108=AL$3,$J108,0)</f>
        <v/>
      </c>
      <c r="AM108" s="46">
        <f>-IF($E108=AM$3,$G108,0)+IF($H108=AM$3,$J108,0)</f>
        <v/>
      </c>
      <c r="AN108" s="47">
        <f>-IF($E108=AN$3,$G108,0)+IF($H108=AN$3,$J108,0)</f>
        <v/>
      </c>
      <c r="AO108" s="48">
        <f>-IF($E108=AO$3,$G108,0)+IF($H108=AO$3,$J108,0)</f>
        <v/>
      </c>
      <c r="AP108" s="46">
        <f>IF($E108=AP$3,$G108,0)-IF($H108=AP$3,$J108,0)</f>
        <v/>
      </c>
      <c r="AQ108" s="47">
        <f>IF($E108=AQ$3,$G108,0)-IF($H108=AQ$3,$J108,0)</f>
        <v/>
      </c>
      <c r="AR108" s="47">
        <f>IF($E108=AR$3,$G108,0)-IF($H108=AR$3,$J108,0)</f>
        <v/>
      </c>
      <c r="AS108" s="47">
        <f>IF($E108=AS$3,$G108,0)-IF($H108=AS$3,$J108,0)</f>
        <v/>
      </c>
      <c r="AT108" s="47">
        <f>IF($E108=AT$3,$G108,0)-IF($H108=AT$3,$J108,0)</f>
        <v/>
      </c>
      <c r="AU108" s="47">
        <f>IF($E108=AU$3,$G108,0)-IF($H108=AU$3,$J108,0)</f>
        <v/>
      </c>
      <c r="AV108" s="47">
        <f>IF($E108=AV$3,$G108,0)-IF($H108=AV$3,$J108,0)</f>
        <v/>
      </c>
      <c r="AW108" s="47">
        <f>IF($E108=AW$3,$G108,0)-IF($H108=AW$3,$J108,0)</f>
        <v/>
      </c>
      <c r="AX108" s="47">
        <f>IF($E108=AX$3,$G108,0)-IF($H108=AX$3,$J108,0)</f>
        <v/>
      </c>
      <c r="AY108" s="47">
        <f>IF($E108=AY$3,$G108,0)-IF($H108=AY$3,$J108,0)</f>
        <v/>
      </c>
      <c r="AZ108" s="47">
        <f>IF($E108=AZ$3,$G108,0)-IF($H108=AZ$3,$J108,0)</f>
        <v/>
      </c>
      <c r="BA108" s="47">
        <f>IF($E108=BA$3,$G108,0)-IF($H108=BA$3,$J108,0)</f>
        <v/>
      </c>
      <c r="BB108" s="47">
        <f>IF($E108=BB$3,$G108,0)-IF($H108=BB$3,$J108,0)</f>
        <v/>
      </c>
      <c r="BC108" s="47">
        <f>IF($E108=BC$3,$G108,0)-IF($H108=BC$3,$J108,0)</f>
        <v/>
      </c>
      <c r="BD108" s="47">
        <f>IF($E108=BD$3,$G108,0)-IF($H108=BD$3,$J108,0)</f>
        <v/>
      </c>
      <c r="BE108" s="47">
        <f>IF($E108=BE$3,$G108,0)-IF($H108=BE$3,$J108,0)</f>
        <v/>
      </c>
      <c r="BF108" s="47">
        <f>IF($E108=BF$3,$G108,0)-IF($H108=BF$3,$J108,0)</f>
        <v/>
      </c>
      <c r="BG108" s="47">
        <f>IF($E108=BG$3,$G108,0)-IF($H108=BG$3,$J108,0)</f>
        <v/>
      </c>
      <c r="BH108" s="47">
        <f>IF($E108=BH$3,$G108,0)-IF($H108=BH$3,$J108,0)</f>
        <v/>
      </c>
      <c r="BI108" s="47">
        <f>IF($E108=BI$3,$G108,0)-IF($H108=BI$3,$J108,0)</f>
        <v/>
      </c>
      <c r="BJ108" s="47">
        <f>IF($E108=BJ$3,$G108,0)-IF($H108=BJ$3,$J108,0)</f>
        <v/>
      </c>
      <c r="BK108" s="47">
        <f>IF($E108=BK$3,$G108,0)-IF($H108=BK$3,$J108,0)</f>
        <v/>
      </c>
      <c r="BL108" s="46">
        <f>-IF($E108=BL$3,$G108,0)+IF($H108=BL$3,$J108,0)</f>
        <v/>
      </c>
      <c r="BM108" s="47">
        <f>-IF($E108=BM$3,$G108,0)+IF($H108=BM$3,$J108,0)</f>
        <v/>
      </c>
      <c r="BN108" s="47">
        <f>-IF($E108=BN$3,$G108,0)+IF($H108=BN$3,$J108,0)</f>
        <v/>
      </c>
      <c r="BO108" s="47">
        <f>-IF($E108=BO$3,$G108,0)+IF($H108=BO$3,$J108,0)</f>
        <v/>
      </c>
      <c r="BP108" s="47">
        <f>-IF($E108=BP$3,$G108,0)+IF($H108=BP$3,$J108,0)</f>
        <v/>
      </c>
      <c r="BQ108" s="47">
        <f>-IF($E108=BQ$3,$G108,0)+IF($H108=BQ$3,$J108,0)</f>
        <v/>
      </c>
      <c r="BR108" s="47">
        <f>-IF($E108=BR$3,$G108,0)+IF($H108=BR$3,$J108,0)</f>
        <v/>
      </c>
      <c r="BS108" s="47">
        <f>-IF($E108=BS$3,$G108,0)+IF($H108=BS$3,$J108,0)</f>
        <v/>
      </c>
      <c r="BT108" s="47">
        <f>-IF($E108=BT$3,$G108,0)+IF($H108=BT$3,$J108,0)</f>
        <v/>
      </c>
      <c r="BU108" s="46">
        <f>+G108-J108</f>
        <v/>
      </c>
      <c r="BV108" s="48">
        <f>-IF($E108=BV$3,$G108,0)+IF($H108=BV$3,$J108,0)</f>
        <v/>
      </c>
      <c r="BW108" s="3" t="n"/>
    </row>
    <row r="109" ht="15.75" customHeight="1" s="214">
      <c r="A109" s="7" t="n"/>
      <c r="B109" s="8" t="n"/>
      <c r="C109" s="9" t="n"/>
      <c r="D109" s="10" t="n"/>
      <c r="E109" s="247" t="n"/>
      <c r="F109" s="11">
        <f>IF(E109="","",IF(ISNA(VLOOKUP(E109,科目コード表!$C$4:$D$67,2,FALSE)),"該当科目なし",VLOOKUP(E109,科目コード表!$C$4:$D$67,2,FALSE)))</f>
        <v/>
      </c>
      <c r="G109" s="38" t="n"/>
      <c r="H109" s="248" t="n"/>
      <c r="I109" s="11">
        <f>IF(H109="","",IF(ISNA(VLOOKUP(H109,科目コード表!$C$4:$D$67,2,FALSE)),"該当科目なし",VLOOKUP(H109,科目コード表!$C$4:$D$67,2,FALSE)))</f>
        <v/>
      </c>
      <c r="J109" s="40" t="n"/>
      <c r="L109" s="46">
        <f>IF($E109=L$3,$G109,0)-IF($H109=L$3,$J109,0)</f>
        <v/>
      </c>
      <c r="M109" s="47">
        <f>IF($E109=M$3,$G109,0)-IF($H109=M$3,$J109,0)</f>
        <v/>
      </c>
      <c r="N109" s="47">
        <f>IF($E109=N$3,$G109,0)-IF($H109=N$3,$J109,0)</f>
        <v/>
      </c>
      <c r="O109" s="47">
        <f>IF($E109=O$3,$G109,0)-IF($H109=O$3,$J109,0)</f>
        <v/>
      </c>
      <c r="P109" s="47">
        <f>IF($E109=P$3,$G109,0)-IF($H109=P$3,$J109,0)</f>
        <v/>
      </c>
      <c r="Q109" s="47">
        <f>IF($E109=Q$3,$G109,0)-IF($H109=Q$3,$J109,0)</f>
        <v/>
      </c>
      <c r="R109" s="47">
        <f>IF($E109=R$3,$G109,0)-IF($H109=R$3,$J109,0)</f>
        <v/>
      </c>
      <c r="S109" s="47">
        <f>IF($E109=S$3,$G109,0)-IF($H109=S$3,$J109,0)</f>
        <v/>
      </c>
      <c r="T109" s="47">
        <f>IF($E109=T$3,$G109,0)-IF($H109=T$3,$J109,0)</f>
        <v/>
      </c>
      <c r="U109" s="47">
        <f>IF($E109=U$3,$G109,0)-IF($H109=U$3,$J109,0)</f>
        <v/>
      </c>
      <c r="V109" s="47">
        <f>IF($E109=V$3,$G109,0)-IF($H109=V$3,$J109,0)</f>
        <v/>
      </c>
      <c r="W109" s="47">
        <f>IF($E109=W$3,$G109,0)-IF($H109=W$3,$J109,0)</f>
        <v/>
      </c>
      <c r="X109" s="47">
        <f>IF($E109=X$3,$G109,0)-IF($H109=X$3,$J109,0)</f>
        <v/>
      </c>
      <c r="Y109" s="47">
        <f>IF($E109=Y$3,$G109,0)-IF($H109=Y$3,$J109,0)</f>
        <v/>
      </c>
      <c r="Z109" s="47">
        <f>IF($E109=Z$3,$G109,0)-IF($H109=Z$3,$J109,0)</f>
        <v/>
      </c>
      <c r="AA109" s="47">
        <f>IF($E109=AA$3,$G109,0)-IF($H109=AA$3,$J109,0)</f>
        <v/>
      </c>
      <c r="AB109" s="47">
        <f>IF($E109=AB$3,$G109,0)-IF($H109=AB$3,$J109,0)</f>
        <v/>
      </c>
      <c r="AC109" s="47">
        <f>IF($E109=AC$3,$G109,0)-IF($H109=AC$3,$J109,0)</f>
        <v/>
      </c>
      <c r="AD109" s="47">
        <f>IF($E109=AD$3,$G109,0)-IF($H109=AD$3,$J109,0)</f>
        <v/>
      </c>
      <c r="AE109" s="47">
        <f>IF($E109=AE$3,$G109,0)-IF($H109=AE$3,$J109,0)</f>
        <v/>
      </c>
      <c r="AF109" s="47">
        <f>IF($E109=AF$3,$G109,0)-IF($H109=AF$3,$J109,0)</f>
        <v/>
      </c>
      <c r="AG109" s="47">
        <f>IF($E109=AG$3,$G109,0)-IF($H109=AG$3,$J109,0)</f>
        <v/>
      </c>
      <c r="AH109" s="47">
        <f>IF($E109=AH$3,$G109,0)-IF($H109=AH$3,$J109,0)</f>
        <v/>
      </c>
      <c r="AI109" s="47">
        <f>IF($E109=AI$3,$G109,0)-IF($H109=AI$3,$J109,0)</f>
        <v/>
      </c>
      <c r="AJ109" s="47">
        <f>IF($E109=AJ$3,$G109,0)-IF($H109=AJ$3,$J109,0)</f>
        <v/>
      </c>
      <c r="AK109" s="47">
        <f>IF($E109=AK$3,$G109,0)-IF($H109=AK$3,$J109,0)</f>
        <v/>
      </c>
      <c r="AL109" s="48">
        <f>IF($E109=AL$3,$G109,0)-IF($H109=AL$3,$J109,0)</f>
        <v/>
      </c>
      <c r="AM109" s="46">
        <f>-IF($E109=AM$3,$G109,0)+IF($H109=AM$3,$J109,0)</f>
        <v/>
      </c>
      <c r="AN109" s="47">
        <f>-IF($E109=AN$3,$G109,0)+IF($H109=AN$3,$J109,0)</f>
        <v/>
      </c>
      <c r="AO109" s="48">
        <f>-IF($E109=AO$3,$G109,0)+IF($H109=AO$3,$J109,0)</f>
        <v/>
      </c>
      <c r="AP109" s="46">
        <f>IF($E109=AP$3,$G109,0)-IF($H109=AP$3,$J109,0)</f>
        <v/>
      </c>
      <c r="AQ109" s="47">
        <f>IF($E109=AQ$3,$G109,0)-IF($H109=AQ$3,$J109,0)</f>
        <v/>
      </c>
      <c r="AR109" s="47">
        <f>IF($E109=AR$3,$G109,0)-IF($H109=AR$3,$J109,0)</f>
        <v/>
      </c>
      <c r="AS109" s="47">
        <f>IF($E109=AS$3,$G109,0)-IF($H109=AS$3,$J109,0)</f>
        <v/>
      </c>
      <c r="AT109" s="47">
        <f>IF($E109=AT$3,$G109,0)-IF($H109=AT$3,$J109,0)</f>
        <v/>
      </c>
      <c r="AU109" s="47">
        <f>IF($E109=AU$3,$G109,0)-IF($H109=AU$3,$J109,0)</f>
        <v/>
      </c>
      <c r="AV109" s="47">
        <f>IF($E109=AV$3,$G109,0)-IF($H109=AV$3,$J109,0)</f>
        <v/>
      </c>
      <c r="AW109" s="47">
        <f>IF($E109=AW$3,$G109,0)-IF($H109=AW$3,$J109,0)</f>
        <v/>
      </c>
      <c r="AX109" s="47">
        <f>IF($E109=AX$3,$G109,0)-IF($H109=AX$3,$J109,0)</f>
        <v/>
      </c>
      <c r="AY109" s="47">
        <f>IF($E109=AY$3,$G109,0)-IF($H109=AY$3,$J109,0)</f>
        <v/>
      </c>
      <c r="AZ109" s="47">
        <f>IF($E109=AZ$3,$G109,0)-IF($H109=AZ$3,$J109,0)</f>
        <v/>
      </c>
      <c r="BA109" s="47">
        <f>IF($E109=BA$3,$G109,0)-IF($H109=BA$3,$J109,0)</f>
        <v/>
      </c>
      <c r="BB109" s="47">
        <f>IF($E109=BB$3,$G109,0)-IF($H109=BB$3,$J109,0)</f>
        <v/>
      </c>
      <c r="BC109" s="47">
        <f>IF($E109=BC$3,$G109,0)-IF($H109=BC$3,$J109,0)</f>
        <v/>
      </c>
      <c r="BD109" s="47">
        <f>IF($E109=BD$3,$G109,0)-IF($H109=BD$3,$J109,0)</f>
        <v/>
      </c>
      <c r="BE109" s="47">
        <f>IF($E109=BE$3,$G109,0)-IF($H109=BE$3,$J109,0)</f>
        <v/>
      </c>
      <c r="BF109" s="47">
        <f>IF($E109=BF$3,$G109,0)-IF($H109=BF$3,$J109,0)</f>
        <v/>
      </c>
      <c r="BG109" s="47">
        <f>IF($E109=BG$3,$G109,0)-IF($H109=BG$3,$J109,0)</f>
        <v/>
      </c>
      <c r="BH109" s="47">
        <f>IF($E109=BH$3,$G109,0)-IF($H109=BH$3,$J109,0)</f>
        <v/>
      </c>
      <c r="BI109" s="47">
        <f>IF($E109=BI$3,$G109,0)-IF($H109=BI$3,$J109,0)</f>
        <v/>
      </c>
      <c r="BJ109" s="47">
        <f>IF($E109=BJ$3,$G109,0)-IF($H109=BJ$3,$J109,0)</f>
        <v/>
      </c>
      <c r="BK109" s="47">
        <f>IF($E109=BK$3,$G109,0)-IF($H109=BK$3,$J109,0)</f>
        <v/>
      </c>
      <c r="BL109" s="46">
        <f>-IF($E109=BL$3,$G109,0)+IF($H109=BL$3,$J109,0)</f>
        <v/>
      </c>
      <c r="BM109" s="47">
        <f>-IF($E109=BM$3,$G109,0)+IF($H109=BM$3,$J109,0)</f>
        <v/>
      </c>
      <c r="BN109" s="47">
        <f>-IF($E109=BN$3,$G109,0)+IF($H109=BN$3,$J109,0)</f>
        <v/>
      </c>
      <c r="BO109" s="47">
        <f>-IF($E109=BO$3,$G109,0)+IF($H109=BO$3,$J109,0)</f>
        <v/>
      </c>
      <c r="BP109" s="47">
        <f>-IF($E109=BP$3,$G109,0)+IF($H109=BP$3,$J109,0)</f>
        <v/>
      </c>
      <c r="BQ109" s="47">
        <f>-IF($E109=BQ$3,$G109,0)+IF($H109=BQ$3,$J109,0)</f>
        <v/>
      </c>
      <c r="BR109" s="47">
        <f>-IF($E109=BR$3,$G109,0)+IF($H109=BR$3,$J109,0)</f>
        <v/>
      </c>
      <c r="BS109" s="47">
        <f>-IF($E109=BS$3,$G109,0)+IF($H109=BS$3,$J109,0)</f>
        <v/>
      </c>
      <c r="BT109" s="47">
        <f>-IF($E109=BT$3,$G109,0)+IF($H109=BT$3,$J109,0)</f>
        <v/>
      </c>
      <c r="BU109" s="46">
        <f>+G109-J109</f>
        <v/>
      </c>
      <c r="BV109" s="48">
        <f>-IF($E109=BV$3,$G109,0)+IF($H109=BV$3,$J109,0)</f>
        <v/>
      </c>
      <c r="BW109" s="3" t="n"/>
    </row>
    <row r="110" ht="15.75" customHeight="1" s="214">
      <c r="A110" s="7" t="n"/>
      <c r="B110" s="8" t="n"/>
      <c r="C110" s="9" t="n"/>
      <c r="D110" s="10" t="n"/>
      <c r="E110" s="247" t="n"/>
      <c r="F110" s="11">
        <f>IF(E110="","",IF(ISNA(VLOOKUP(E110,科目コード表!$C$4:$D$67,2,FALSE)),"該当科目なし",VLOOKUP(E110,科目コード表!$C$4:$D$67,2,FALSE)))</f>
        <v/>
      </c>
      <c r="G110" s="38" t="n"/>
      <c r="H110" s="248" t="n"/>
      <c r="I110" s="11">
        <f>IF(H110="","",IF(ISNA(VLOOKUP(H110,科目コード表!$C$4:$D$67,2,FALSE)),"該当科目なし",VLOOKUP(H110,科目コード表!$C$4:$D$67,2,FALSE)))</f>
        <v/>
      </c>
      <c r="J110" s="40" t="n"/>
      <c r="L110" s="46">
        <f>IF($E110=L$3,$G110,0)-IF($H110=L$3,$J110,0)</f>
        <v/>
      </c>
      <c r="M110" s="47">
        <f>IF($E110=M$3,$G110,0)-IF($H110=M$3,$J110,0)</f>
        <v/>
      </c>
      <c r="N110" s="47">
        <f>IF($E110=N$3,$G110,0)-IF($H110=N$3,$J110,0)</f>
        <v/>
      </c>
      <c r="O110" s="47">
        <f>IF($E110=O$3,$G110,0)-IF($H110=O$3,$J110,0)</f>
        <v/>
      </c>
      <c r="P110" s="47">
        <f>IF($E110=P$3,$G110,0)-IF($H110=P$3,$J110,0)</f>
        <v/>
      </c>
      <c r="Q110" s="47">
        <f>IF($E110=Q$3,$G110,0)-IF($H110=Q$3,$J110,0)</f>
        <v/>
      </c>
      <c r="R110" s="47">
        <f>IF($E110=R$3,$G110,0)-IF($H110=R$3,$J110,0)</f>
        <v/>
      </c>
      <c r="S110" s="47">
        <f>IF($E110=S$3,$G110,0)-IF($H110=S$3,$J110,0)</f>
        <v/>
      </c>
      <c r="T110" s="47">
        <f>IF($E110=T$3,$G110,0)-IF($H110=T$3,$J110,0)</f>
        <v/>
      </c>
      <c r="U110" s="47">
        <f>IF($E110=U$3,$G110,0)-IF($H110=U$3,$J110,0)</f>
        <v/>
      </c>
      <c r="V110" s="47">
        <f>IF($E110=V$3,$G110,0)-IF($H110=V$3,$J110,0)</f>
        <v/>
      </c>
      <c r="W110" s="47">
        <f>IF($E110=W$3,$G110,0)-IF($H110=W$3,$J110,0)</f>
        <v/>
      </c>
      <c r="X110" s="47">
        <f>IF($E110=X$3,$G110,0)-IF($H110=X$3,$J110,0)</f>
        <v/>
      </c>
      <c r="Y110" s="47">
        <f>IF($E110=Y$3,$G110,0)-IF($H110=Y$3,$J110,0)</f>
        <v/>
      </c>
      <c r="Z110" s="47">
        <f>IF($E110=Z$3,$G110,0)-IF($H110=Z$3,$J110,0)</f>
        <v/>
      </c>
      <c r="AA110" s="47">
        <f>IF($E110=AA$3,$G110,0)-IF($H110=AA$3,$J110,0)</f>
        <v/>
      </c>
      <c r="AB110" s="47">
        <f>IF($E110=AB$3,$G110,0)-IF($H110=AB$3,$J110,0)</f>
        <v/>
      </c>
      <c r="AC110" s="47">
        <f>IF($E110=AC$3,$G110,0)-IF($H110=AC$3,$J110,0)</f>
        <v/>
      </c>
      <c r="AD110" s="47">
        <f>IF($E110=AD$3,$G110,0)-IF($H110=AD$3,$J110,0)</f>
        <v/>
      </c>
      <c r="AE110" s="47">
        <f>IF($E110=AE$3,$G110,0)-IF($H110=AE$3,$J110,0)</f>
        <v/>
      </c>
      <c r="AF110" s="47">
        <f>IF($E110=AF$3,$G110,0)-IF($H110=AF$3,$J110,0)</f>
        <v/>
      </c>
      <c r="AG110" s="47">
        <f>IF($E110=AG$3,$G110,0)-IF($H110=AG$3,$J110,0)</f>
        <v/>
      </c>
      <c r="AH110" s="47">
        <f>IF($E110=AH$3,$G110,0)-IF($H110=AH$3,$J110,0)</f>
        <v/>
      </c>
      <c r="AI110" s="47">
        <f>IF($E110=AI$3,$G110,0)-IF($H110=AI$3,$J110,0)</f>
        <v/>
      </c>
      <c r="AJ110" s="47">
        <f>IF($E110=AJ$3,$G110,0)-IF($H110=AJ$3,$J110,0)</f>
        <v/>
      </c>
      <c r="AK110" s="47">
        <f>IF($E110=AK$3,$G110,0)-IF($H110=AK$3,$J110,0)</f>
        <v/>
      </c>
      <c r="AL110" s="48">
        <f>IF($E110=AL$3,$G110,0)-IF($H110=AL$3,$J110,0)</f>
        <v/>
      </c>
      <c r="AM110" s="46">
        <f>-IF($E110=AM$3,$G110,0)+IF($H110=AM$3,$J110,0)</f>
        <v/>
      </c>
      <c r="AN110" s="47">
        <f>-IF($E110=AN$3,$G110,0)+IF($H110=AN$3,$J110,0)</f>
        <v/>
      </c>
      <c r="AO110" s="48">
        <f>-IF($E110=AO$3,$G110,0)+IF($H110=AO$3,$J110,0)</f>
        <v/>
      </c>
      <c r="AP110" s="46">
        <f>IF($E110=AP$3,$G110,0)-IF($H110=AP$3,$J110,0)</f>
        <v/>
      </c>
      <c r="AQ110" s="47">
        <f>IF($E110=AQ$3,$G110,0)-IF($H110=AQ$3,$J110,0)</f>
        <v/>
      </c>
      <c r="AR110" s="47">
        <f>IF($E110=AR$3,$G110,0)-IF($H110=AR$3,$J110,0)</f>
        <v/>
      </c>
      <c r="AS110" s="47">
        <f>IF($E110=AS$3,$G110,0)-IF($H110=AS$3,$J110,0)</f>
        <v/>
      </c>
      <c r="AT110" s="47">
        <f>IF($E110=AT$3,$G110,0)-IF($H110=AT$3,$J110,0)</f>
        <v/>
      </c>
      <c r="AU110" s="47">
        <f>IF($E110=AU$3,$G110,0)-IF($H110=AU$3,$J110,0)</f>
        <v/>
      </c>
      <c r="AV110" s="47">
        <f>IF($E110=AV$3,$G110,0)-IF($H110=AV$3,$J110,0)</f>
        <v/>
      </c>
      <c r="AW110" s="47">
        <f>IF($E110=AW$3,$G110,0)-IF($H110=AW$3,$J110,0)</f>
        <v/>
      </c>
      <c r="AX110" s="47">
        <f>IF($E110=AX$3,$G110,0)-IF($H110=AX$3,$J110,0)</f>
        <v/>
      </c>
      <c r="AY110" s="47">
        <f>IF($E110=AY$3,$G110,0)-IF($H110=AY$3,$J110,0)</f>
        <v/>
      </c>
      <c r="AZ110" s="47">
        <f>IF($E110=AZ$3,$G110,0)-IF($H110=AZ$3,$J110,0)</f>
        <v/>
      </c>
      <c r="BA110" s="47">
        <f>IF($E110=BA$3,$G110,0)-IF($H110=BA$3,$J110,0)</f>
        <v/>
      </c>
      <c r="BB110" s="47">
        <f>IF($E110=BB$3,$G110,0)-IF($H110=BB$3,$J110,0)</f>
        <v/>
      </c>
      <c r="BC110" s="47">
        <f>IF($E110=BC$3,$G110,0)-IF($H110=BC$3,$J110,0)</f>
        <v/>
      </c>
      <c r="BD110" s="47">
        <f>IF($E110=BD$3,$G110,0)-IF($H110=BD$3,$J110,0)</f>
        <v/>
      </c>
      <c r="BE110" s="47">
        <f>IF($E110=BE$3,$G110,0)-IF($H110=BE$3,$J110,0)</f>
        <v/>
      </c>
      <c r="BF110" s="47">
        <f>IF($E110=BF$3,$G110,0)-IF($H110=BF$3,$J110,0)</f>
        <v/>
      </c>
      <c r="BG110" s="47">
        <f>IF($E110=BG$3,$G110,0)-IF($H110=BG$3,$J110,0)</f>
        <v/>
      </c>
      <c r="BH110" s="47">
        <f>IF($E110=BH$3,$G110,0)-IF($H110=BH$3,$J110,0)</f>
        <v/>
      </c>
      <c r="BI110" s="47">
        <f>IF($E110=BI$3,$G110,0)-IF($H110=BI$3,$J110,0)</f>
        <v/>
      </c>
      <c r="BJ110" s="47">
        <f>IF($E110=BJ$3,$G110,0)-IF($H110=BJ$3,$J110,0)</f>
        <v/>
      </c>
      <c r="BK110" s="47">
        <f>IF($E110=BK$3,$G110,0)-IF($H110=BK$3,$J110,0)</f>
        <v/>
      </c>
      <c r="BL110" s="46">
        <f>-IF($E110=BL$3,$G110,0)+IF($H110=BL$3,$J110,0)</f>
        <v/>
      </c>
      <c r="BM110" s="47">
        <f>-IF($E110=BM$3,$G110,0)+IF($H110=BM$3,$J110,0)</f>
        <v/>
      </c>
      <c r="BN110" s="47">
        <f>-IF($E110=BN$3,$G110,0)+IF($H110=BN$3,$J110,0)</f>
        <v/>
      </c>
      <c r="BO110" s="47">
        <f>-IF($E110=BO$3,$G110,0)+IF($H110=BO$3,$J110,0)</f>
        <v/>
      </c>
      <c r="BP110" s="47">
        <f>-IF($E110=BP$3,$G110,0)+IF($H110=BP$3,$J110,0)</f>
        <v/>
      </c>
      <c r="BQ110" s="47">
        <f>-IF($E110=BQ$3,$G110,0)+IF($H110=BQ$3,$J110,0)</f>
        <v/>
      </c>
      <c r="BR110" s="47">
        <f>-IF($E110=BR$3,$G110,0)+IF($H110=BR$3,$J110,0)</f>
        <v/>
      </c>
      <c r="BS110" s="47">
        <f>-IF($E110=BS$3,$G110,0)+IF($H110=BS$3,$J110,0)</f>
        <v/>
      </c>
      <c r="BT110" s="47">
        <f>-IF($E110=BT$3,$G110,0)+IF($H110=BT$3,$J110,0)</f>
        <v/>
      </c>
      <c r="BU110" s="46">
        <f>+G110-J110</f>
        <v/>
      </c>
      <c r="BV110" s="48">
        <f>-IF($E110=BV$3,$G110,0)+IF($H110=BV$3,$J110,0)</f>
        <v/>
      </c>
      <c r="BW110" s="3" t="n"/>
    </row>
    <row r="111" ht="15.75" customHeight="1" s="214">
      <c r="A111" s="7" t="n"/>
      <c r="B111" s="8" t="n"/>
      <c r="C111" s="9" t="n"/>
      <c r="D111" s="10" t="n"/>
      <c r="E111" s="247" t="n"/>
      <c r="F111" s="11">
        <f>IF(E111="","",IF(ISNA(VLOOKUP(E111,科目コード表!$C$4:$D$67,2,FALSE)),"該当科目なし",VLOOKUP(E111,科目コード表!$C$4:$D$67,2,FALSE)))</f>
        <v/>
      </c>
      <c r="G111" s="38" t="n"/>
      <c r="H111" s="248" t="n"/>
      <c r="I111" s="11">
        <f>IF(H111="","",IF(ISNA(VLOOKUP(H111,科目コード表!$C$4:$D$67,2,FALSE)),"該当科目なし",VLOOKUP(H111,科目コード表!$C$4:$D$67,2,FALSE)))</f>
        <v/>
      </c>
      <c r="J111" s="40" t="n"/>
      <c r="L111" s="46">
        <f>IF($E111=L$3,$G111,0)-IF($H111=L$3,$J111,0)</f>
        <v/>
      </c>
      <c r="M111" s="47">
        <f>IF($E111=M$3,$G111,0)-IF($H111=M$3,$J111,0)</f>
        <v/>
      </c>
      <c r="N111" s="47">
        <f>IF($E111=N$3,$G111,0)-IF($H111=N$3,$J111,0)</f>
        <v/>
      </c>
      <c r="O111" s="47">
        <f>IF($E111=O$3,$G111,0)-IF($H111=O$3,$J111,0)</f>
        <v/>
      </c>
      <c r="P111" s="47">
        <f>IF($E111=P$3,$G111,0)-IF($H111=P$3,$J111,0)</f>
        <v/>
      </c>
      <c r="Q111" s="47">
        <f>IF($E111=Q$3,$G111,0)-IF($H111=Q$3,$J111,0)</f>
        <v/>
      </c>
      <c r="R111" s="47">
        <f>IF($E111=R$3,$G111,0)-IF($H111=R$3,$J111,0)</f>
        <v/>
      </c>
      <c r="S111" s="47">
        <f>IF($E111=S$3,$G111,0)-IF($H111=S$3,$J111,0)</f>
        <v/>
      </c>
      <c r="T111" s="47">
        <f>IF($E111=T$3,$G111,0)-IF($H111=T$3,$J111,0)</f>
        <v/>
      </c>
      <c r="U111" s="47">
        <f>IF($E111=U$3,$G111,0)-IF($H111=U$3,$J111,0)</f>
        <v/>
      </c>
      <c r="V111" s="47">
        <f>IF($E111=V$3,$G111,0)-IF($H111=V$3,$J111,0)</f>
        <v/>
      </c>
      <c r="W111" s="47">
        <f>IF($E111=W$3,$G111,0)-IF($H111=W$3,$J111,0)</f>
        <v/>
      </c>
      <c r="X111" s="47">
        <f>IF($E111=X$3,$G111,0)-IF($H111=X$3,$J111,0)</f>
        <v/>
      </c>
      <c r="Y111" s="47">
        <f>IF($E111=Y$3,$G111,0)-IF($H111=Y$3,$J111,0)</f>
        <v/>
      </c>
      <c r="Z111" s="47">
        <f>IF($E111=Z$3,$G111,0)-IF($H111=Z$3,$J111,0)</f>
        <v/>
      </c>
      <c r="AA111" s="47">
        <f>IF($E111=AA$3,$G111,0)-IF($H111=AA$3,$J111,0)</f>
        <v/>
      </c>
      <c r="AB111" s="47">
        <f>IF($E111=AB$3,$G111,0)-IF($H111=AB$3,$J111,0)</f>
        <v/>
      </c>
      <c r="AC111" s="47">
        <f>IF($E111=AC$3,$G111,0)-IF($H111=AC$3,$J111,0)</f>
        <v/>
      </c>
      <c r="AD111" s="47">
        <f>IF($E111=AD$3,$G111,0)-IF($H111=AD$3,$J111,0)</f>
        <v/>
      </c>
      <c r="AE111" s="47">
        <f>IF($E111=AE$3,$G111,0)-IF($H111=AE$3,$J111,0)</f>
        <v/>
      </c>
      <c r="AF111" s="47">
        <f>IF($E111=AF$3,$G111,0)-IF($H111=AF$3,$J111,0)</f>
        <v/>
      </c>
      <c r="AG111" s="47">
        <f>IF($E111=AG$3,$G111,0)-IF($H111=AG$3,$J111,0)</f>
        <v/>
      </c>
      <c r="AH111" s="47">
        <f>IF($E111=AH$3,$G111,0)-IF($H111=AH$3,$J111,0)</f>
        <v/>
      </c>
      <c r="AI111" s="47">
        <f>IF($E111=AI$3,$G111,0)-IF($H111=AI$3,$J111,0)</f>
        <v/>
      </c>
      <c r="AJ111" s="47">
        <f>IF($E111=AJ$3,$G111,0)-IF($H111=AJ$3,$J111,0)</f>
        <v/>
      </c>
      <c r="AK111" s="47">
        <f>IF($E111=AK$3,$G111,0)-IF($H111=AK$3,$J111,0)</f>
        <v/>
      </c>
      <c r="AL111" s="48">
        <f>IF($E111=AL$3,$G111,0)-IF($H111=AL$3,$J111,0)</f>
        <v/>
      </c>
      <c r="AM111" s="46">
        <f>-IF($E111=AM$3,$G111,0)+IF($H111=AM$3,$J111,0)</f>
        <v/>
      </c>
      <c r="AN111" s="47">
        <f>-IF($E111=AN$3,$G111,0)+IF($H111=AN$3,$J111,0)</f>
        <v/>
      </c>
      <c r="AO111" s="48">
        <f>-IF($E111=AO$3,$G111,0)+IF($H111=AO$3,$J111,0)</f>
        <v/>
      </c>
      <c r="AP111" s="46">
        <f>IF($E111=AP$3,$G111,0)-IF($H111=AP$3,$J111,0)</f>
        <v/>
      </c>
      <c r="AQ111" s="47">
        <f>IF($E111=AQ$3,$G111,0)-IF($H111=AQ$3,$J111,0)</f>
        <v/>
      </c>
      <c r="AR111" s="47">
        <f>IF($E111=AR$3,$G111,0)-IF($H111=AR$3,$J111,0)</f>
        <v/>
      </c>
      <c r="AS111" s="47">
        <f>IF($E111=AS$3,$G111,0)-IF($H111=AS$3,$J111,0)</f>
        <v/>
      </c>
      <c r="AT111" s="47">
        <f>IF($E111=AT$3,$G111,0)-IF($H111=AT$3,$J111,0)</f>
        <v/>
      </c>
      <c r="AU111" s="47">
        <f>IF($E111=AU$3,$G111,0)-IF($H111=AU$3,$J111,0)</f>
        <v/>
      </c>
      <c r="AV111" s="47">
        <f>IF($E111=AV$3,$G111,0)-IF($H111=AV$3,$J111,0)</f>
        <v/>
      </c>
      <c r="AW111" s="47">
        <f>IF($E111=AW$3,$G111,0)-IF($H111=AW$3,$J111,0)</f>
        <v/>
      </c>
      <c r="AX111" s="47">
        <f>IF($E111=AX$3,$G111,0)-IF($H111=AX$3,$J111,0)</f>
        <v/>
      </c>
      <c r="AY111" s="47">
        <f>IF($E111=AY$3,$G111,0)-IF($H111=AY$3,$J111,0)</f>
        <v/>
      </c>
      <c r="AZ111" s="47">
        <f>IF($E111=AZ$3,$G111,0)-IF($H111=AZ$3,$J111,0)</f>
        <v/>
      </c>
      <c r="BA111" s="47">
        <f>IF($E111=BA$3,$G111,0)-IF($H111=BA$3,$J111,0)</f>
        <v/>
      </c>
      <c r="BB111" s="47">
        <f>IF($E111=BB$3,$G111,0)-IF($H111=BB$3,$J111,0)</f>
        <v/>
      </c>
      <c r="BC111" s="47">
        <f>IF($E111=BC$3,$G111,0)-IF($H111=BC$3,$J111,0)</f>
        <v/>
      </c>
      <c r="BD111" s="47">
        <f>IF($E111=BD$3,$G111,0)-IF($H111=BD$3,$J111,0)</f>
        <v/>
      </c>
      <c r="BE111" s="47">
        <f>IF($E111=BE$3,$G111,0)-IF($H111=BE$3,$J111,0)</f>
        <v/>
      </c>
      <c r="BF111" s="47">
        <f>IF($E111=BF$3,$G111,0)-IF($H111=BF$3,$J111,0)</f>
        <v/>
      </c>
      <c r="BG111" s="47">
        <f>IF($E111=BG$3,$G111,0)-IF($H111=BG$3,$J111,0)</f>
        <v/>
      </c>
      <c r="BH111" s="47">
        <f>IF($E111=BH$3,$G111,0)-IF($H111=BH$3,$J111,0)</f>
        <v/>
      </c>
      <c r="BI111" s="47">
        <f>IF($E111=BI$3,$G111,0)-IF($H111=BI$3,$J111,0)</f>
        <v/>
      </c>
      <c r="BJ111" s="47">
        <f>IF($E111=BJ$3,$G111,0)-IF($H111=BJ$3,$J111,0)</f>
        <v/>
      </c>
      <c r="BK111" s="47">
        <f>IF($E111=BK$3,$G111,0)-IF($H111=BK$3,$J111,0)</f>
        <v/>
      </c>
      <c r="BL111" s="46">
        <f>-IF($E111=BL$3,$G111,0)+IF($H111=BL$3,$J111,0)</f>
        <v/>
      </c>
      <c r="BM111" s="47">
        <f>-IF($E111=BM$3,$G111,0)+IF($H111=BM$3,$J111,0)</f>
        <v/>
      </c>
      <c r="BN111" s="47">
        <f>-IF($E111=BN$3,$G111,0)+IF($H111=BN$3,$J111,0)</f>
        <v/>
      </c>
      <c r="BO111" s="47">
        <f>-IF($E111=BO$3,$G111,0)+IF($H111=BO$3,$J111,0)</f>
        <v/>
      </c>
      <c r="BP111" s="47">
        <f>-IF($E111=BP$3,$G111,0)+IF($H111=BP$3,$J111,0)</f>
        <v/>
      </c>
      <c r="BQ111" s="47">
        <f>-IF($E111=BQ$3,$G111,0)+IF($H111=BQ$3,$J111,0)</f>
        <v/>
      </c>
      <c r="BR111" s="47">
        <f>-IF($E111=BR$3,$G111,0)+IF($H111=BR$3,$J111,0)</f>
        <v/>
      </c>
      <c r="BS111" s="47">
        <f>-IF($E111=BS$3,$G111,0)+IF($H111=BS$3,$J111,0)</f>
        <v/>
      </c>
      <c r="BT111" s="47">
        <f>-IF($E111=BT$3,$G111,0)+IF($H111=BT$3,$J111,0)</f>
        <v/>
      </c>
      <c r="BU111" s="46">
        <f>+G111-J111</f>
        <v/>
      </c>
      <c r="BV111" s="48">
        <f>-IF($E111=BV$3,$G111,0)+IF($H111=BV$3,$J111,0)</f>
        <v/>
      </c>
      <c r="BW111" s="3" t="n"/>
    </row>
    <row r="112" ht="15.75" customHeight="1" s="214">
      <c r="A112" s="7" t="n"/>
      <c r="B112" s="8" t="n"/>
      <c r="C112" s="9" t="n"/>
      <c r="D112" s="10" t="n"/>
      <c r="E112" s="247" t="n"/>
      <c r="F112" s="11">
        <f>IF(E112="","",IF(ISNA(VLOOKUP(E112,科目コード表!$C$4:$D$67,2,FALSE)),"該当科目なし",VLOOKUP(E112,科目コード表!$C$4:$D$67,2,FALSE)))</f>
        <v/>
      </c>
      <c r="G112" s="38" t="n"/>
      <c r="H112" s="248" t="n"/>
      <c r="I112" s="11">
        <f>IF(H112="","",IF(ISNA(VLOOKUP(H112,科目コード表!$C$4:$D$67,2,FALSE)),"該当科目なし",VLOOKUP(H112,科目コード表!$C$4:$D$67,2,FALSE)))</f>
        <v/>
      </c>
      <c r="J112" s="40" t="n"/>
      <c r="L112" s="46">
        <f>IF($E112=L$3,$G112,0)-IF($H112=L$3,$J112,0)</f>
        <v/>
      </c>
      <c r="M112" s="47">
        <f>IF($E112=M$3,$G112,0)-IF($H112=M$3,$J112,0)</f>
        <v/>
      </c>
      <c r="N112" s="47">
        <f>IF($E112=N$3,$G112,0)-IF($H112=N$3,$J112,0)</f>
        <v/>
      </c>
      <c r="O112" s="47">
        <f>IF($E112=O$3,$G112,0)-IF($H112=O$3,$J112,0)</f>
        <v/>
      </c>
      <c r="P112" s="47">
        <f>IF($E112=P$3,$G112,0)-IF($H112=P$3,$J112,0)</f>
        <v/>
      </c>
      <c r="Q112" s="47">
        <f>IF($E112=Q$3,$G112,0)-IF($H112=Q$3,$J112,0)</f>
        <v/>
      </c>
      <c r="R112" s="47">
        <f>IF($E112=R$3,$G112,0)-IF($H112=R$3,$J112,0)</f>
        <v/>
      </c>
      <c r="S112" s="47">
        <f>IF($E112=S$3,$G112,0)-IF($H112=S$3,$J112,0)</f>
        <v/>
      </c>
      <c r="T112" s="47">
        <f>IF($E112=T$3,$G112,0)-IF($H112=T$3,$J112,0)</f>
        <v/>
      </c>
      <c r="U112" s="47">
        <f>IF($E112=U$3,$G112,0)-IF($H112=U$3,$J112,0)</f>
        <v/>
      </c>
      <c r="V112" s="47">
        <f>IF($E112=V$3,$G112,0)-IF($H112=V$3,$J112,0)</f>
        <v/>
      </c>
      <c r="W112" s="47">
        <f>IF($E112=W$3,$G112,0)-IF($H112=W$3,$J112,0)</f>
        <v/>
      </c>
      <c r="X112" s="47">
        <f>IF($E112=X$3,$G112,0)-IF($H112=X$3,$J112,0)</f>
        <v/>
      </c>
      <c r="Y112" s="47">
        <f>IF($E112=Y$3,$G112,0)-IF($H112=Y$3,$J112,0)</f>
        <v/>
      </c>
      <c r="Z112" s="47">
        <f>IF($E112=Z$3,$G112,0)-IF($H112=Z$3,$J112,0)</f>
        <v/>
      </c>
      <c r="AA112" s="47">
        <f>IF($E112=AA$3,$G112,0)-IF($H112=AA$3,$J112,0)</f>
        <v/>
      </c>
      <c r="AB112" s="47">
        <f>IF($E112=AB$3,$G112,0)-IF($H112=AB$3,$J112,0)</f>
        <v/>
      </c>
      <c r="AC112" s="47">
        <f>IF($E112=AC$3,$G112,0)-IF($H112=AC$3,$J112,0)</f>
        <v/>
      </c>
      <c r="AD112" s="47">
        <f>IF($E112=AD$3,$G112,0)-IF($H112=AD$3,$J112,0)</f>
        <v/>
      </c>
      <c r="AE112" s="47">
        <f>IF($E112=AE$3,$G112,0)-IF($H112=AE$3,$J112,0)</f>
        <v/>
      </c>
      <c r="AF112" s="47">
        <f>IF($E112=AF$3,$G112,0)-IF($H112=AF$3,$J112,0)</f>
        <v/>
      </c>
      <c r="AG112" s="47">
        <f>IF($E112=AG$3,$G112,0)-IF($H112=AG$3,$J112,0)</f>
        <v/>
      </c>
      <c r="AH112" s="47">
        <f>IF($E112=AH$3,$G112,0)-IF($H112=AH$3,$J112,0)</f>
        <v/>
      </c>
      <c r="AI112" s="47">
        <f>IF($E112=AI$3,$G112,0)-IF($H112=AI$3,$J112,0)</f>
        <v/>
      </c>
      <c r="AJ112" s="47">
        <f>IF($E112=AJ$3,$G112,0)-IF($H112=AJ$3,$J112,0)</f>
        <v/>
      </c>
      <c r="AK112" s="47">
        <f>IF($E112=AK$3,$G112,0)-IF($H112=AK$3,$J112,0)</f>
        <v/>
      </c>
      <c r="AL112" s="48">
        <f>IF($E112=AL$3,$G112,0)-IF($H112=AL$3,$J112,0)</f>
        <v/>
      </c>
      <c r="AM112" s="46">
        <f>-IF($E112=AM$3,$G112,0)+IF($H112=AM$3,$J112,0)</f>
        <v/>
      </c>
      <c r="AN112" s="47">
        <f>-IF($E112=AN$3,$G112,0)+IF($H112=AN$3,$J112,0)</f>
        <v/>
      </c>
      <c r="AO112" s="48">
        <f>-IF($E112=AO$3,$G112,0)+IF($H112=AO$3,$J112,0)</f>
        <v/>
      </c>
      <c r="AP112" s="46">
        <f>IF($E112=AP$3,$G112,0)-IF($H112=AP$3,$J112,0)</f>
        <v/>
      </c>
      <c r="AQ112" s="47">
        <f>IF($E112=AQ$3,$G112,0)-IF($H112=AQ$3,$J112,0)</f>
        <v/>
      </c>
      <c r="AR112" s="47">
        <f>IF($E112=AR$3,$G112,0)-IF($H112=AR$3,$J112,0)</f>
        <v/>
      </c>
      <c r="AS112" s="47">
        <f>IF($E112=AS$3,$G112,0)-IF($H112=AS$3,$J112,0)</f>
        <v/>
      </c>
      <c r="AT112" s="47">
        <f>IF($E112=AT$3,$G112,0)-IF($H112=AT$3,$J112,0)</f>
        <v/>
      </c>
      <c r="AU112" s="47">
        <f>IF($E112=AU$3,$G112,0)-IF($H112=AU$3,$J112,0)</f>
        <v/>
      </c>
      <c r="AV112" s="47">
        <f>IF($E112=AV$3,$G112,0)-IF($H112=AV$3,$J112,0)</f>
        <v/>
      </c>
      <c r="AW112" s="47">
        <f>IF($E112=AW$3,$G112,0)-IF($H112=AW$3,$J112,0)</f>
        <v/>
      </c>
      <c r="AX112" s="47">
        <f>IF($E112=AX$3,$G112,0)-IF($H112=AX$3,$J112,0)</f>
        <v/>
      </c>
      <c r="AY112" s="47">
        <f>IF($E112=AY$3,$G112,0)-IF($H112=AY$3,$J112,0)</f>
        <v/>
      </c>
      <c r="AZ112" s="47">
        <f>IF($E112=AZ$3,$G112,0)-IF($H112=AZ$3,$J112,0)</f>
        <v/>
      </c>
      <c r="BA112" s="47">
        <f>IF($E112=BA$3,$G112,0)-IF($H112=BA$3,$J112,0)</f>
        <v/>
      </c>
      <c r="BB112" s="47">
        <f>IF($E112=BB$3,$G112,0)-IF($H112=BB$3,$J112,0)</f>
        <v/>
      </c>
      <c r="BC112" s="47">
        <f>IF($E112=BC$3,$G112,0)-IF($H112=BC$3,$J112,0)</f>
        <v/>
      </c>
      <c r="BD112" s="47">
        <f>IF($E112=BD$3,$G112,0)-IF($H112=BD$3,$J112,0)</f>
        <v/>
      </c>
      <c r="BE112" s="47">
        <f>IF($E112=BE$3,$G112,0)-IF($H112=BE$3,$J112,0)</f>
        <v/>
      </c>
      <c r="BF112" s="47">
        <f>IF($E112=BF$3,$G112,0)-IF($H112=BF$3,$J112,0)</f>
        <v/>
      </c>
      <c r="BG112" s="47">
        <f>IF($E112=BG$3,$G112,0)-IF($H112=BG$3,$J112,0)</f>
        <v/>
      </c>
      <c r="BH112" s="47">
        <f>IF($E112=BH$3,$G112,0)-IF($H112=BH$3,$J112,0)</f>
        <v/>
      </c>
      <c r="BI112" s="47">
        <f>IF($E112=BI$3,$G112,0)-IF($H112=BI$3,$J112,0)</f>
        <v/>
      </c>
      <c r="BJ112" s="47">
        <f>IF($E112=BJ$3,$G112,0)-IF($H112=BJ$3,$J112,0)</f>
        <v/>
      </c>
      <c r="BK112" s="47">
        <f>IF($E112=BK$3,$G112,0)-IF($H112=BK$3,$J112,0)</f>
        <v/>
      </c>
      <c r="BL112" s="46">
        <f>-IF($E112=BL$3,$G112,0)+IF($H112=BL$3,$J112,0)</f>
        <v/>
      </c>
      <c r="BM112" s="47">
        <f>-IF($E112=BM$3,$G112,0)+IF($H112=BM$3,$J112,0)</f>
        <v/>
      </c>
      <c r="BN112" s="47">
        <f>-IF($E112=BN$3,$G112,0)+IF($H112=BN$3,$J112,0)</f>
        <v/>
      </c>
      <c r="BO112" s="47">
        <f>-IF($E112=BO$3,$G112,0)+IF($H112=BO$3,$J112,0)</f>
        <v/>
      </c>
      <c r="BP112" s="47">
        <f>-IF($E112=BP$3,$G112,0)+IF($H112=BP$3,$J112,0)</f>
        <v/>
      </c>
      <c r="BQ112" s="47">
        <f>-IF($E112=BQ$3,$G112,0)+IF($H112=BQ$3,$J112,0)</f>
        <v/>
      </c>
      <c r="BR112" s="47">
        <f>-IF($E112=BR$3,$G112,0)+IF($H112=BR$3,$J112,0)</f>
        <v/>
      </c>
      <c r="BS112" s="47">
        <f>-IF($E112=BS$3,$G112,0)+IF($H112=BS$3,$J112,0)</f>
        <v/>
      </c>
      <c r="BT112" s="47">
        <f>-IF($E112=BT$3,$G112,0)+IF($H112=BT$3,$J112,0)</f>
        <v/>
      </c>
      <c r="BU112" s="46">
        <f>+G112-J112</f>
        <v/>
      </c>
      <c r="BV112" s="48">
        <f>-IF($E112=BV$3,$G112,0)+IF($H112=BV$3,$J112,0)</f>
        <v/>
      </c>
      <c r="BW112" s="3" t="n"/>
    </row>
    <row r="113" ht="15.75" customHeight="1" s="214">
      <c r="A113" s="7" t="n"/>
      <c r="B113" s="8" t="n"/>
      <c r="C113" s="9" t="n"/>
      <c r="D113" s="10" t="n"/>
      <c r="E113" s="247" t="n"/>
      <c r="F113" s="11">
        <f>IF(E113="","",IF(ISNA(VLOOKUP(E113,科目コード表!$C$4:$D$67,2,FALSE)),"該当科目なし",VLOOKUP(E113,科目コード表!$C$4:$D$67,2,FALSE)))</f>
        <v/>
      </c>
      <c r="G113" s="38" t="n"/>
      <c r="H113" s="248" t="n"/>
      <c r="I113" s="11">
        <f>IF(H113="","",IF(ISNA(VLOOKUP(H113,科目コード表!$C$4:$D$67,2,FALSE)),"該当科目なし",VLOOKUP(H113,科目コード表!$C$4:$D$67,2,FALSE)))</f>
        <v/>
      </c>
      <c r="J113" s="40" t="n"/>
      <c r="L113" s="46">
        <f>IF($E113=L$3,$G113,0)-IF($H113=L$3,$J113,0)</f>
        <v/>
      </c>
      <c r="M113" s="47">
        <f>IF($E113=M$3,$G113,0)-IF($H113=M$3,$J113,0)</f>
        <v/>
      </c>
      <c r="N113" s="47">
        <f>IF($E113=N$3,$G113,0)-IF($H113=N$3,$J113,0)</f>
        <v/>
      </c>
      <c r="O113" s="47">
        <f>IF($E113=O$3,$G113,0)-IF($H113=O$3,$J113,0)</f>
        <v/>
      </c>
      <c r="P113" s="47">
        <f>IF($E113=P$3,$G113,0)-IF($H113=P$3,$J113,0)</f>
        <v/>
      </c>
      <c r="Q113" s="47">
        <f>IF($E113=Q$3,$G113,0)-IF($H113=Q$3,$J113,0)</f>
        <v/>
      </c>
      <c r="R113" s="47">
        <f>IF($E113=R$3,$G113,0)-IF($H113=R$3,$J113,0)</f>
        <v/>
      </c>
      <c r="S113" s="47">
        <f>IF($E113=S$3,$G113,0)-IF($H113=S$3,$J113,0)</f>
        <v/>
      </c>
      <c r="T113" s="47">
        <f>IF($E113=T$3,$G113,0)-IF($H113=T$3,$J113,0)</f>
        <v/>
      </c>
      <c r="U113" s="47">
        <f>IF($E113=U$3,$G113,0)-IF($H113=U$3,$J113,0)</f>
        <v/>
      </c>
      <c r="V113" s="47">
        <f>IF($E113=V$3,$G113,0)-IF($H113=V$3,$J113,0)</f>
        <v/>
      </c>
      <c r="W113" s="47">
        <f>IF($E113=W$3,$G113,0)-IF($H113=W$3,$J113,0)</f>
        <v/>
      </c>
      <c r="X113" s="47">
        <f>IF($E113=X$3,$G113,0)-IF($H113=X$3,$J113,0)</f>
        <v/>
      </c>
      <c r="Y113" s="47">
        <f>IF($E113=Y$3,$G113,0)-IF($H113=Y$3,$J113,0)</f>
        <v/>
      </c>
      <c r="Z113" s="47">
        <f>IF($E113=Z$3,$G113,0)-IF($H113=Z$3,$J113,0)</f>
        <v/>
      </c>
      <c r="AA113" s="47">
        <f>IF($E113=AA$3,$G113,0)-IF($H113=AA$3,$J113,0)</f>
        <v/>
      </c>
      <c r="AB113" s="47">
        <f>IF($E113=AB$3,$G113,0)-IF($H113=AB$3,$J113,0)</f>
        <v/>
      </c>
      <c r="AC113" s="47">
        <f>IF($E113=AC$3,$G113,0)-IF($H113=AC$3,$J113,0)</f>
        <v/>
      </c>
      <c r="AD113" s="47">
        <f>IF($E113=AD$3,$G113,0)-IF($H113=AD$3,$J113,0)</f>
        <v/>
      </c>
      <c r="AE113" s="47">
        <f>IF($E113=AE$3,$G113,0)-IF($H113=AE$3,$J113,0)</f>
        <v/>
      </c>
      <c r="AF113" s="47">
        <f>IF($E113=AF$3,$G113,0)-IF($H113=AF$3,$J113,0)</f>
        <v/>
      </c>
      <c r="AG113" s="47">
        <f>IF($E113=AG$3,$G113,0)-IF($H113=AG$3,$J113,0)</f>
        <v/>
      </c>
      <c r="AH113" s="47">
        <f>IF($E113=AH$3,$G113,0)-IF($H113=AH$3,$J113,0)</f>
        <v/>
      </c>
      <c r="AI113" s="47">
        <f>IF($E113=AI$3,$G113,0)-IF($H113=AI$3,$J113,0)</f>
        <v/>
      </c>
      <c r="AJ113" s="47">
        <f>IF($E113=AJ$3,$G113,0)-IF($H113=AJ$3,$J113,0)</f>
        <v/>
      </c>
      <c r="AK113" s="47">
        <f>IF($E113=AK$3,$G113,0)-IF($H113=AK$3,$J113,0)</f>
        <v/>
      </c>
      <c r="AL113" s="48">
        <f>IF($E113=AL$3,$G113,0)-IF($H113=AL$3,$J113,0)</f>
        <v/>
      </c>
      <c r="AM113" s="46">
        <f>-IF($E113=AM$3,$G113,0)+IF($H113=AM$3,$J113,0)</f>
        <v/>
      </c>
      <c r="AN113" s="47">
        <f>-IF($E113=AN$3,$G113,0)+IF($H113=AN$3,$J113,0)</f>
        <v/>
      </c>
      <c r="AO113" s="48">
        <f>-IF($E113=AO$3,$G113,0)+IF($H113=AO$3,$J113,0)</f>
        <v/>
      </c>
      <c r="AP113" s="46">
        <f>IF($E113=AP$3,$G113,0)-IF($H113=AP$3,$J113,0)</f>
        <v/>
      </c>
      <c r="AQ113" s="47">
        <f>IF($E113=AQ$3,$G113,0)-IF($H113=AQ$3,$J113,0)</f>
        <v/>
      </c>
      <c r="AR113" s="47">
        <f>IF($E113=AR$3,$G113,0)-IF($H113=AR$3,$J113,0)</f>
        <v/>
      </c>
      <c r="AS113" s="47">
        <f>IF($E113=AS$3,$G113,0)-IF($H113=AS$3,$J113,0)</f>
        <v/>
      </c>
      <c r="AT113" s="47">
        <f>IF($E113=AT$3,$G113,0)-IF($H113=AT$3,$J113,0)</f>
        <v/>
      </c>
      <c r="AU113" s="47">
        <f>IF($E113=AU$3,$G113,0)-IF($H113=AU$3,$J113,0)</f>
        <v/>
      </c>
      <c r="AV113" s="47">
        <f>IF($E113=AV$3,$G113,0)-IF($H113=AV$3,$J113,0)</f>
        <v/>
      </c>
      <c r="AW113" s="47">
        <f>IF($E113=AW$3,$G113,0)-IF($H113=AW$3,$J113,0)</f>
        <v/>
      </c>
      <c r="AX113" s="47">
        <f>IF($E113=AX$3,$G113,0)-IF($H113=AX$3,$J113,0)</f>
        <v/>
      </c>
      <c r="AY113" s="47">
        <f>IF($E113=AY$3,$G113,0)-IF($H113=AY$3,$J113,0)</f>
        <v/>
      </c>
      <c r="AZ113" s="47">
        <f>IF($E113=AZ$3,$G113,0)-IF($H113=AZ$3,$J113,0)</f>
        <v/>
      </c>
      <c r="BA113" s="47">
        <f>IF($E113=BA$3,$G113,0)-IF($H113=BA$3,$J113,0)</f>
        <v/>
      </c>
      <c r="BB113" s="47">
        <f>IF($E113=BB$3,$G113,0)-IF($H113=BB$3,$J113,0)</f>
        <v/>
      </c>
      <c r="BC113" s="47">
        <f>IF($E113=BC$3,$G113,0)-IF($H113=BC$3,$J113,0)</f>
        <v/>
      </c>
      <c r="BD113" s="47">
        <f>IF($E113=BD$3,$G113,0)-IF($H113=BD$3,$J113,0)</f>
        <v/>
      </c>
      <c r="BE113" s="47">
        <f>IF($E113=BE$3,$G113,0)-IF($H113=BE$3,$J113,0)</f>
        <v/>
      </c>
      <c r="BF113" s="47">
        <f>IF($E113=BF$3,$G113,0)-IF($H113=BF$3,$J113,0)</f>
        <v/>
      </c>
      <c r="BG113" s="47">
        <f>IF($E113=BG$3,$G113,0)-IF($H113=BG$3,$J113,0)</f>
        <v/>
      </c>
      <c r="BH113" s="47">
        <f>IF($E113=BH$3,$G113,0)-IF($H113=BH$3,$J113,0)</f>
        <v/>
      </c>
      <c r="BI113" s="47">
        <f>IF($E113=BI$3,$G113,0)-IF($H113=BI$3,$J113,0)</f>
        <v/>
      </c>
      <c r="BJ113" s="47">
        <f>IF($E113=BJ$3,$G113,0)-IF($H113=BJ$3,$J113,0)</f>
        <v/>
      </c>
      <c r="BK113" s="47">
        <f>IF($E113=BK$3,$G113,0)-IF($H113=BK$3,$J113,0)</f>
        <v/>
      </c>
      <c r="BL113" s="46">
        <f>-IF($E113=BL$3,$G113,0)+IF($H113=BL$3,$J113,0)</f>
        <v/>
      </c>
      <c r="BM113" s="47">
        <f>-IF($E113=BM$3,$G113,0)+IF($H113=BM$3,$J113,0)</f>
        <v/>
      </c>
      <c r="BN113" s="47">
        <f>-IF($E113=BN$3,$G113,0)+IF($H113=BN$3,$J113,0)</f>
        <v/>
      </c>
      <c r="BO113" s="47">
        <f>-IF($E113=BO$3,$G113,0)+IF($H113=BO$3,$J113,0)</f>
        <v/>
      </c>
      <c r="BP113" s="47">
        <f>-IF($E113=BP$3,$G113,0)+IF($H113=BP$3,$J113,0)</f>
        <v/>
      </c>
      <c r="BQ113" s="47">
        <f>-IF($E113=BQ$3,$G113,0)+IF($H113=BQ$3,$J113,0)</f>
        <v/>
      </c>
      <c r="BR113" s="47">
        <f>-IF($E113=BR$3,$G113,0)+IF($H113=BR$3,$J113,0)</f>
        <v/>
      </c>
      <c r="BS113" s="47">
        <f>-IF($E113=BS$3,$G113,0)+IF($H113=BS$3,$J113,0)</f>
        <v/>
      </c>
      <c r="BT113" s="47">
        <f>-IF($E113=BT$3,$G113,0)+IF($H113=BT$3,$J113,0)</f>
        <v/>
      </c>
      <c r="BU113" s="46">
        <f>+G113-J113</f>
        <v/>
      </c>
      <c r="BV113" s="48">
        <f>-IF($E113=BV$3,$G113,0)+IF($H113=BV$3,$J113,0)</f>
        <v/>
      </c>
      <c r="BW113" s="3" t="n"/>
    </row>
    <row r="114" ht="15.75" customHeight="1" s="214">
      <c r="A114" s="7" t="n"/>
      <c r="B114" s="8" t="n"/>
      <c r="C114" s="9" t="n"/>
      <c r="D114" s="10" t="n"/>
      <c r="E114" s="247" t="n"/>
      <c r="F114" s="11">
        <f>IF(E114="","",IF(ISNA(VLOOKUP(E114,科目コード表!$C$4:$D$67,2,FALSE)),"該当科目なし",VLOOKUP(E114,科目コード表!$C$4:$D$67,2,FALSE)))</f>
        <v/>
      </c>
      <c r="G114" s="38" t="n"/>
      <c r="H114" s="248" t="n"/>
      <c r="I114" s="11">
        <f>IF(H114="","",IF(ISNA(VLOOKUP(H114,科目コード表!$C$4:$D$67,2,FALSE)),"該当科目なし",VLOOKUP(H114,科目コード表!$C$4:$D$67,2,FALSE)))</f>
        <v/>
      </c>
      <c r="J114" s="40" t="n"/>
      <c r="L114" s="46">
        <f>IF($E114=L$3,$G114,0)-IF($H114=L$3,$J114,0)</f>
        <v/>
      </c>
      <c r="M114" s="47">
        <f>IF($E114=M$3,$G114,0)-IF($H114=M$3,$J114,0)</f>
        <v/>
      </c>
      <c r="N114" s="47">
        <f>IF($E114=N$3,$G114,0)-IF($H114=N$3,$J114,0)</f>
        <v/>
      </c>
      <c r="O114" s="47">
        <f>IF($E114=O$3,$G114,0)-IF($H114=O$3,$J114,0)</f>
        <v/>
      </c>
      <c r="P114" s="47">
        <f>IF($E114=P$3,$G114,0)-IF($H114=P$3,$J114,0)</f>
        <v/>
      </c>
      <c r="Q114" s="47">
        <f>IF($E114=Q$3,$G114,0)-IF($H114=Q$3,$J114,0)</f>
        <v/>
      </c>
      <c r="R114" s="47">
        <f>IF($E114=R$3,$G114,0)-IF($H114=R$3,$J114,0)</f>
        <v/>
      </c>
      <c r="S114" s="47">
        <f>IF($E114=S$3,$G114,0)-IF($H114=S$3,$J114,0)</f>
        <v/>
      </c>
      <c r="T114" s="47">
        <f>IF($E114=T$3,$G114,0)-IF($H114=T$3,$J114,0)</f>
        <v/>
      </c>
      <c r="U114" s="47">
        <f>IF($E114=U$3,$G114,0)-IF($H114=U$3,$J114,0)</f>
        <v/>
      </c>
      <c r="V114" s="47">
        <f>IF($E114=V$3,$G114,0)-IF($H114=V$3,$J114,0)</f>
        <v/>
      </c>
      <c r="W114" s="47">
        <f>IF($E114=W$3,$G114,0)-IF($H114=W$3,$J114,0)</f>
        <v/>
      </c>
      <c r="X114" s="47">
        <f>IF($E114=X$3,$G114,0)-IF($H114=X$3,$J114,0)</f>
        <v/>
      </c>
      <c r="Y114" s="47">
        <f>IF($E114=Y$3,$G114,0)-IF($H114=Y$3,$J114,0)</f>
        <v/>
      </c>
      <c r="Z114" s="47">
        <f>IF($E114=Z$3,$G114,0)-IF($H114=Z$3,$J114,0)</f>
        <v/>
      </c>
      <c r="AA114" s="47">
        <f>IF($E114=AA$3,$G114,0)-IF($H114=AA$3,$J114,0)</f>
        <v/>
      </c>
      <c r="AB114" s="47">
        <f>IF($E114=AB$3,$G114,0)-IF($H114=AB$3,$J114,0)</f>
        <v/>
      </c>
      <c r="AC114" s="47">
        <f>IF($E114=AC$3,$G114,0)-IF($H114=AC$3,$J114,0)</f>
        <v/>
      </c>
      <c r="AD114" s="47">
        <f>IF($E114=AD$3,$G114,0)-IF($H114=AD$3,$J114,0)</f>
        <v/>
      </c>
      <c r="AE114" s="47">
        <f>IF($E114=AE$3,$G114,0)-IF($H114=AE$3,$J114,0)</f>
        <v/>
      </c>
      <c r="AF114" s="47">
        <f>IF($E114=AF$3,$G114,0)-IF($H114=AF$3,$J114,0)</f>
        <v/>
      </c>
      <c r="AG114" s="47">
        <f>IF($E114=AG$3,$G114,0)-IF($H114=AG$3,$J114,0)</f>
        <v/>
      </c>
      <c r="AH114" s="47">
        <f>IF($E114=AH$3,$G114,0)-IF($H114=AH$3,$J114,0)</f>
        <v/>
      </c>
      <c r="AI114" s="47">
        <f>IF($E114=AI$3,$G114,0)-IF($H114=AI$3,$J114,0)</f>
        <v/>
      </c>
      <c r="AJ114" s="47">
        <f>IF($E114=AJ$3,$G114,0)-IF($H114=AJ$3,$J114,0)</f>
        <v/>
      </c>
      <c r="AK114" s="47">
        <f>IF($E114=AK$3,$G114,0)-IF($H114=AK$3,$J114,0)</f>
        <v/>
      </c>
      <c r="AL114" s="48">
        <f>IF($E114=AL$3,$G114,0)-IF($H114=AL$3,$J114,0)</f>
        <v/>
      </c>
      <c r="AM114" s="46">
        <f>-IF($E114=AM$3,$G114,0)+IF($H114=AM$3,$J114,0)</f>
        <v/>
      </c>
      <c r="AN114" s="47">
        <f>-IF($E114=AN$3,$G114,0)+IF($H114=AN$3,$J114,0)</f>
        <v/>
      </c>
      <c r="AO114" s="48">
        <f>-IF($E114=AO$3,$G114,0)+IF($H114=AO$3,$J114,0)</f>
        <v/>
      </c>
      <c r="AP114" s="46">
        <f>IF($E114=AP$3,$G114,0)-IF($H114=AP$3,$J114,0)</f>
        <v/>
      </c>
      <c r="AQ114" s="47">
        <f>IF($E114=AQ$3,$G114,0)-IF($H114=AQ$3,$J114,0)</f>
        <v/>
      </c>
      <c r="AR114" s="47">
        <f>IF($E114=AR$3,$G114,0)-IF($H114=AR$3,$J114,0)</f>
        <v/>
      </c>
      <c r="AS114" s="47">
        <f>IF($E114=AS$3,$G114,0)-IF($H114=AS$3,$J114,0)</f>
        <v/>
      </c>
      <c r="AT114" s="47">
        <f>IF($E114=AT$3,$G114,0)-IF($H114=AT$3,$J114,0)</f>
        <v/>
      </c>
      <c r="AU114" s="47">
        <f>IF($E114=AU$3,$G114,0)-IF($H114=AU$3,$J114,0)</f>
        <v/>
      </c>
      <c r="AV114" s="47">
        <f>IF($E114=AV$3,$G114,0)-IF($H114=AV$3,$J114,0)</f>
        <v/>
      </c>
      <c r="AW114" s="47">
        <f>IF($E114=AW$3,$G114,0)-IF($H114=AW$3,$J114,0)</f>
        <v/>
      </c>
      <c r="AX114" s="47">
        <f>IF($E114=AX$3,$G114,0)-IF($H114=AX$3,$J114,0)</f>
        <v/>
      </c>
      <c r="AY114" s="47">
        <f>IF($E114=AY$3,$G114,0)-IF($H114=AY$3,$J114,0)</f>
        <v/>
      </c>
      <c r="AZ114" s="47">
        <f>IF($E114=AZ$3,$G114,0)-IF($H114=AZ$3,$J114,0)</f>
        <v/>
      </c>
      <c r="BA114" s="47">
        <f>IF($E114=BA$3,$G114,0)-IF($H114=BA$3,$J114,0)</f>
        <v/>
      </c>
      <c r="BB114" s="47">
        <f>IF($E114=BB$3,$G114,0)-IF($H114=BB$3,$J114,0)</f>
        <v/>
      </c>
      <c r="BC114" s="47">
        <f>IF($E114=BC$3,$G114,0)-IF($H114=BC$3,$J114,0)</f>
        <v/>
      </c>
      <c r="BD114" s="47">
        <f>IF($E114=BD$3,$G114,0)-IF($H114=BD$3,$J114,0)</f>
        <v/>
      </c>
      <c r="BE114" s="47">
        <f>IF($E114=BE$3,$G114,0)-IF($H114=BE$3,$J114,0)</f>
        <v/>
      </c>
      <c r="BF114" s="47">
        <f>IF($E114=BF$3,$G114,0)-IF($H114=BF$3,$J114,0)</f>
        <v/>
      </c>
      <c r="BG114" s="47">
        <f>IF($E114=BG$3,$G114,0)-IF($H114=BG$3,$J114,0)</f>
        <v/>
      </c>
      <c r="BH114" s="47">
        <f>IF($E114=BH$3,$G114,0)-IF($H114=BH$3,$J114,0)</f>
        <v/>
      </c>
      <c r="BI114" s="47">
        <f>IF($E114=BI$3,$G114,0)-IF($H114=BI$3,$J114,0)</f>
        <v/>
      </c>
      <c r="BJ114" s="47">
        <f>IF($E114=BJ$3,$G114,0)-IF($H114=BJ$3,$J114,0)</f>
        <v/>
      </c>
      <c r="BK114" s="47">
        <f>IF($E114=BK$3,$G114,0)-IF($H114=BK$3,$J114,0)</f>
        <v/>
      </c>
      <c r="BL114" s="46">
        <f>-IF($E114=BL$3,$G114,0)+IF($H114=BL$3,$J114,0)</f>
        <v/>
      </c>
      <c r="BM114" s="47">
        <f>-IF($E114=BM$3,$G114,0)+IF($H114=BM$3,$J114,0)</f>
        <v/>
      </c>
      <c r="BN114" s="47">
        <f>-IF($E114=BN$3,$G114,0)+IF($H114=BN$3,$J114,0)</f>
        <v/>
      </c>
      <c r="BO114" s="47">
        <f>-IF($E114=BO$3,$G114,0)+IF($H114=BO$3,$J114,0)</f>
        <v/>
      </c>
      <c r="BP114" s="47">
        <f>-IF($E114=BP$3,$G114,0)+IF($H114=BP$3,$J114,0)</f>
        <v/>
      </c>
      <c r="BQ114" s="47">
        <f>-IF($E114=BQ$3,$G114,0)+IF($H114=BQ$3,$J114,0)</f>
        <v/>
      </c>
      <c r="BR114" s="47">
        <f>-IF($E114=BR$3,$G114,0)+IF($H114=BR$3,$J114,0)</f>
        <v/>
      </c>
      <c r="BS114" s="47">
        <f>-IF($E114=BS$3,$G114,0)+IF($H114=BS$3,$J114,0)</f>
        <v/>
      </c>
      <c r="BT114" s="47">
        <f>-IF($E114=BT$3,$G114,0)+IF($H114=BT$3,$J114,0)</f>
        <v/>
      </c>
      <c r="BU114" s="46">
        <f>+G114-J114</f>
        <v/>
      </c>
      <c r="BV114" s="48">
        <f>-IF($E114=BV$3,$G114,0)+IF($H114=BV$3,$J114,0)</f>
        <v/>
      </c>
      <c r="BW114" s="3" t="n"/>
    </row>
    <row r="115" ht="15.75" customHeight="1" s="214">
      <c r="A115" s="7" t="n"/>
      <c r="B115" s="8" t="n"/>
      <c r="C115" s="9" t="n"/>
      <c r="D115" s="10" t="n"/>
      <c r="E115" s="247" t="n"/>
      <c r="F115" s="11">
        <f>IF(E115="","",IF(ISNA(VLOOKUP(E115,科目コード表!$C$4:$D$67,2,FALSE)),"該当科目なし",VLOOKUP(E115,科目コード表!$C$4:$D$67,2,FALSE)))</f>
        <v/>
      </c>
      <c r="G115" s="38" t="n"/>
      <c r="H115" s="248" t="n"/>
      <c r="I115" s="11">
        <f>IF(H115="","",IF(ISNA(VLOOKUP(H115,科目コード表!$C$4:$D$67,2,FALSE)),"該当科目なし",VLOOKUP(H115,科目コード表!$C$4:$D$67,2,FALSE)))</f>
        <v/>
      </c>
      <c r="J115" s="40" t="n"/>
      <c r="L115" s="46">
        <f>IF($E115=L$3,$G115,0)-IF($H115=L$3,$J115,0)</f>
        <v/>
      </c>
      <c r="M115" s="47">
        <f>IF($E115=M$3,$G115,0)-IF($H115=M$3,$J115,0)</f>
        <v/>
      </c>
      <c r="N115" s="47">
        <f>IF($E115=N$3,$G115,0)-IF($H115=N$3,$J115,0)</f>
        <v/>
      </c>
      <c r="O115" s="47">
        <f>IF($E115=O$3,$G115,0)-IF($H115=O$3,$J115,0)</f>
        <v/>
      </c>
      <c r="P115" s="47">
        <f>IF($E115=P$3,$G115,0)-IF($H115=P$3,$J115,0)</f>
        <v/>
      </c>
      <c r="Q115" s="47">
        <f>IF($E115=Q$3,$G115,0)-IF($H115=Q$3,$J115,0)</f>
        <v/>
      </c>
      <c r="R115" s="47">
        <f>IF($E115=R$3,$G115,0)-IF($H115=R$3,$J115,0)</f>
        <v/>
      </c>
      <c r="S115" s="47">
        <f>IF($E115=S$3,$G115,0)-IF($H115=S$3,$J115,0)</f>
        <v/>
      </c>
      <c r="T115" s="47">
        <f>IF($E115=T$3,$G115,0)-IF($H115=T$3,$J115,0)</f>
        <v/>
      </c>
      <c r="U115" s="47">
        <f>IF($E115=U$3,$G115,0)-IF($H115=U$3,$J115,0)</f>
        <v/>
      </c>
      <c r="V115" s="47">
        <f>IF($E115=V$3,$G115,0)-IF($H115=V$3,$J115,0)</f>
        <v/>
      </c>
      <c r="W115" s="47">
        <f>IF($E115=W$3,$G115,0)-IF($H115=W$3,$J115,0)</f>
        <v/>
      </c>
      <c r="X115" s="47">
        <f>IF($E115=X$3,$G115,0)-IF($H115=X$3,$J115,0)</f>
        <v/>
      </c>
      <c r="Y115" s="47">
        <f>IF($E115=Y$3,$G115,0)-IF($H115=Y$3,$J115,0)</f>
        <v/>
      </c>
      <c r="Z115" s="47">
        <f>IF($E115=Z$3,$G115,0)-IF($H115=Z$3,$J115,0)</f>
        <v/>
      </c>
      <c r="AA115" s="47">
        <f>IF($E115=AA$3,$G115,0)-IF($H115=AA$3,$J115,0)</f>
        <v/>
      </c>
      <c r="AB115" s="47">
        <f>IF($E115=AB$3,$G115,0)-IF($H115=AB$3,$J115,0)</f>
        <v/>
      </c>
      <c r="AC115" s="47">
        <f>IF($E115=AC$3,$G115,0)-IF($H115=AC$3,$J115,0)</f>
        <v/>
      </c>
      <c r="AD115" s="47">
        <f>IF($E115=AD$3,$G115,0)-IF($H115=AD$3,$J115,0)</f>
        <v/>
      </c>
      <c r="AE115" s="47">
        <f>IF($E115=AE$3,$G115,0)-IF($H115=AE$3,$J115,0)</f>
        <v/>
      </c>
      <c r="AF115" s="47">
        <f>IF($E115=AF$3,$G115,0)-IF($H115=AF$3,$J115,0)</f>
        <v/>
      </c>
      <c r="AG115" s="47">
        <f>IF($E115=AG$3,$G115,0)-IF($H115=AG$3,$J115,0)</f>
        <v/>
      </c>
      <c r="AH115" s="47">
        <f>IF($E115=AH$3,$G115,0)-IF($H115=AH$3,$J115,0)</f>
        <v/>
      </c>
      <c r="AI115" s="47">
        <f>IF($E115=AI$3,$G115,0)-IF($H115=AI$3,$J115,0)</f>
        <v/>
      </c>
      <c r="AJ115" s="47">
        <f>IF($E115=AJ$3,$G115,0)-IF($H115=AJ$3,$J115,0)</f>
        <v/>
      </c>
      <c r="AK115" s="47">
        <f>IF($E115=AK$3,$G115,0)-IF($H115=AK$3,$J115,0)</f>
        <v/>
      </c>
      <c r="AL115" s="48">
        <f>IF($E115=AL$3,$G115,0)-IF($H115=AL$3,$J115,0)</f>
        <v/>
      </c>
      <c r="AM115" s="46">
        <f>-IF($E115=AM$3,$G115,0)+IF($H115=AM$3,$J115,0)</f>
        <v/>
      </c>
      <c r="AN115" s="47">
        <f>-IF($E115=AN$3,$G115,0)+IF($H115=AN$3,$J115,0)</f>
        <v/>
      </c>
      <c r="AO115" s="48">
        <f>-IF($E115=AO$3,$G115,0)+IF($H115=AO$3,$J115,0)</f>
        <v/>
      </c>
      <c r="AP115" s="46">
        <f>IF($E115=AP$3,$G115,0)-IF($H115=AP$3,$J115,0)</f>
        <v/>
      </c>
      <c r="AQ115" s="47">
        <f>IF($E115=AQ$3,$G115,0)-IF($H115=AQ$3,$J115,0)</f>
        <v/>
      </c>
      <c r="AR115" s="47">
        <f>IF($E115=AR$3,$G115,0)-IF($H115=AR$3,$J115,0)</f>
        <v/>
      </c>
      <c r="AS115" s="47">
        <f>IF($E115=AS$3,$G115,0)-IF($H115=AS$3,$J115,0)</f>
        <v/>
      </c>
      <c r="AT115" s="47">
        <f>IF($E115=AT$3,$G115,0)-IF($H115=AT$3,$J115,0)</f>
        <v/>
      </c>
      <c r="AU115" s="47">
        <f>IF($E115=AU$3,$G115,0)-IF($H115=AU$3,$J115,0)</f>
        <v/>
      </c>
      <c r="AV115" s="47">
        <f>IF($E115=AV$3,$G115,0)-IF($H115=AV$3,$J115,0)</f>
        <v/>
      </c>
      <c r="AW115" s="47">
        <f>IF($E115=AW$3,$G115,0)-IF($H115=AW$3,$J115,0)</f>
        <v/>
      </c>
      <c r="AX115" s="47">
        <f>IF($E115=AX$3,$G115,0)-IF($H115=AX$3,$J115,0)</f>
        <v/>
      </c>
      <c r="AY115" s="47">
        <f>IF($E115=AY$3,$G115,0)-IF($H115=AY$3,$J115,0)</f>
        <v/>
      </c>
      <c r="AZ115" s="47">
        <f>IF($E115=AZ$3,$G115,0)-IF($H115=AZ$3,$J115,0)</f>
        <v/>
      </c>
      <c r="BA115" s="47">
        <f>IF($E115=BA$3,$G115,0)-IF($H115=BA$3,$J115,0)</f>
        <v/>
      </c>
      <c r="BB115" s="47">
        <f>IF($E115=BB$3,$G115,0)-IF($H115=BB$3,$J115,0)</f>
        <v/>
      </c>
      <c r="BC115" s="47">
        <f>IF($E115=BC$3,$G115,0)-IF($H115=BC$3,$J115,0)</f>
        <v/>
      </c>
      <c r="BD115" s="47">
        <f>IF($E115=BD$3,$G115,0)-IF($H115=BD$3,$J115,0)</f>
        <v/>
      </c>
      <c r="BE115" s="47">
        <f>IF($E115=BE$3,$G115,0)-IF($H115=BE$3,$J115,0)</f>
        <v/>
      </c>
      <c r="BF115" s="47">
        <f>IF($E115=BF$3,$G115,0)-IF($H115=BF$3,$J115,0)</f>
        <v/>
      </c>
      <c r="BG115" s="47">
        <f>IF($E115=BG$3,$G115,0)-IF($H115=BG$3,$J115,0)</f>
        <v/>
      </c>
      <c r="BH115" s="47">
        <f>IF($E115=BH$3,$G115,0)-IF($H115=BH$3,$J115,0)</f>
        <v/>
      </c>
      <c r="BI115" s="47">
        <f>IF($E115=BI$3,$G115,0)-IF($H115=BI$3,$J115,0)</f>
        <v/>
      </c>
      <c r="BJ115" s="47">
        <f>IF($E115=BJ$3,$G115,0)-IF($H115=BJ$3,$J115,0)</f>
        <v/>
      </c>
      <c r="BK115" s="47">
        <f>IF($E115=BK$3,$G115,0)-IF($H115=BK$3,$J115,0)</f>
        <v/>
      </c>
      <c r="BL115" s="46">
        <f>-IF($E115=BL$3,$G115,0)+IF($H115=BL$3,$J115,0)</f>
        <v/>
      </c>
      <c r="BM115" s="47">
        <f>-IF($E115=BM$3,$G115,0)+IF($H115=BM$3,$J115,0)</f>
        <v/>
      </c>
      <c r="BN115" s="47">
        <f>-IF($E115=BN$3,$G115,0)+IF($H115=BN$3,$J115,0)</f>
        <v/>
      </c>
      <c r="BO115" s="47">
        <f>-IF($E115=BO$3,$G115,0)+IF($H115=BO$3,$J115,0)</f>
        <v/>
      </c>
      <c r="BP115" s="47">
        <f>-IF($E115=BP$3,$G115,0)+IF($H115=BP$3,$J115,0)</f>
        <v/>
      </c>
      <c r="BQ115" s="47">
        <f>-IF($E115=BQ$3,$G115,0)+IF($H115=BQ$3,$J115,0)</f>
        <v/>
      </c>
      <c r="BR115" s="47">
        <f>-IF($E115=BR$3,$G115,0)+IF($H115=BR$3,$J115,0)</f>
        <v/>
      </c>
      <c r="BS115" s="47">
        <f>-IF($E115=BS$3,$G115,0)+IF($H115=BS$3,$J115,0)</f>
        <v/>
      </c>
      <c r="BT115" s="47">
        <f>-IF($E115=BT$3,$G115,0)+IF($H115=BT$3,$J115,0)</f>
        <v/>
      </c>
      <c r="BU115" s="46">
        <f>+G115-J115</f>
        <v/>
      </c>
      <c r="BV115" s="48">
        <f>-IF($E115=BV$3,$G115,0)+IF($H115=BV$3,$J115,0)</f>
        <v/>
      </c>
      <c r="BW115" s="3" t="n"/>
    </row>
    <row r="116" ht="15.75" customHeight="1" s="214">
      <c r="A116" s="7" t="n"/>
      <c r="B116" s="8" t="n"/>
      <c r="C116" s="9" t="n"/>
      <c r="D116" s="10" t="n"/>
      <c r="E116" s="247" t="n"/>
      <c r="F116" s="11">
        <f>IF(E116="","",IF(ISNA(VLOOKUP(E116,科目コード表!$C$4:$D$67,2,FALSE)),"該当科目なし",VLOOKUP(E116,科目コード表!$C$4:$D$67,2,FALSE)))</f>
        <v/>
      </c>
      <c r="G116" s="38" t="n"/>
      <c r="H116" s="248" t="n"/>
      <c r="I116" s="11">
        <f>IF(H116="","",IF(ISNA(VLOOKUP(H116,科目コード表!$C$4:$D$67,2,FALSE)),"該当科目なし",VLOOKUP(H116,科目コード表!$C$4:$D$67,2,FALSE)))</f>
        <v/>
      </c>
      <c r="J116" s="40" t="n"/>
      <c r="L116" s="46">
        <f>IF($E116=L$3,$G116,0)-IF($H116=L$3,$J116,0)</f>
        <v/>
      </c>
      <c r="M116" s="47">
        <f>IF($E116=M$3,$G116,0)-IF($H116=M$3,$J116,0)</f>
        <v/>
      </c>
      <c r="N116" s="47">
        <f>IF($E116=N$3,$G116,0)-IF($H116=N$3,$J116,0)</f>
        <v/>
      </c>
      <c r="O116" s="47">
        <f>IF($E116=O$3,$G116,0)-IF($H116=O$3,$J116,0)</f>
        <v/>
      </c>
      <c r="P116" s="47">
        <f>IF($E116=P$3,$G116,0)-IF($H116=P$3,$J116,0)</f>
        <v/>
      </c>
      <c r="Q116" s="47">
        <f>IF($E116=Q$3,$G116,0)-IF($H116=Q$3,$J116,0)</f>
        <v/>
      </c>
      <c r="R116" s="47">
        <f>IF($E116=R$3,$G116,0)-IF($H116=R$3,$J116,0)</f>
        <v/>
      </c>
      <c r="S116" s="47">
        <f>IF($E116=S$3,$G116,0)-IF($H116=S$3,$J116,0)</f>
        <v/>
      </c>
      <c r="T116" s="47">
        <f>IF($E116=T$3,$G116,0)-IF($H116=T$3,$J116,0)</f>
        <v/>
      </c>
      <c r="U116" s="47">
        <f>IF($E116=U$3,$G116,0)-IF($H116=U$3,$J116,0)</f>
        <v/>
      </c>
      <c r="V116" s="47">
        <f>IF($E116=V$3,$G116,0)-IF($H116=V$3,$J116,0)</f>
        <v/>
      </c>
      <c r="W116" s="47">
        <f>IF($E116=W$3,$G116,0)-IF($H116=W$3,$J116,0)</f>
        <v/>
      </c>
      <c r="X116" s="47">
        <f>IF($E116=X$3,$G116,0)-IF($H116=X$3,$J116,0)</f>
        <v/>
      </c>
      <c r="Y116" s="47">
        <f>IF($E116=Y$3,$G116,0)-IF($H116=Y$3,$J116,0)</f>
        <v/>
      </c>
      <c r="Z116" s="47">
        <f>IF($E116=Z$3,$G116,0)-IF($H116=Z$3,$J116,0)</f>
        <v/>
      </c>
      <c r="AA116" s="47">
        <f>IF($E116=AA$3,$G116,0)-IF($H116=AA$3,$J116,0)</f>
        <v/>
      </c>
      <c r="AB116" s="47">
        <f>IF($E116=AB$3,$G116,0)-IF($H116=AB$3,$J116,0)</f>
        <v/>
      </c>
      <c r="AC116" s="47">
        <f>IF($E116=AC$3,$G116,0)-IF($H116=AC$3,$J116,0)</f>
        <v/>
      </c>
      <c r="AD116" s="47">
        <f>IF($E116=AD$3,$G116,0)-IF($H116=AD$3,$J116,0)</f>
        <v/>
      </c>
      <c r="AE116" s="47">
        <f>IF($E116=AE$3,$G116,0)-IF($H116=AE$3,$J116,0)</f>
        <v/>
      </c>
      <c r="AF116" s="47">
        <f>IF($E116=AF$3,$G116,0)-IF($H116=AF$3,$J116,0)</f>
        <v/>
      </c>
      <c r="AG116" s="47">
        <f>IF($E116=AG$3,$G116,0)-IF($H116=AG$3,$J116,0)</f>
        <v/>
      </c>
      <c r="AH116" s="47">
        <f>IF($E116=AH$3,$G116,0)-IF($H116=AH$3,$J116,0)</f>
        <v/>
      </c>
      <c r="AI116" s="47">
        <f>IF($E116=AI$3,$G116,0)-IF($H116=AI$3,$J116,0)</f>
        <v/>
      </c>
      <c r="AJ116" s="47">
        <f>IF($E116=AJ$3,$G116,0)-IF($H116=AJ$3,$J116,0)</f>
        <v/>
      </c>
      <c r="AK116" s="47">
        <f>IF($E116=AK$3,$G116,0)-IF($H116=AK$3,$J116,0)</f>
        <v/>
      </c>
      <c r="AL116" s="48">
        <f>IF($E116=AL$3,$G116,0)-IF($H116=AL$3,$J116,0)</f>
        <v/>
      </c>
      <c r="AM116" s="46">
        <f>-IF($E116=AM$3,$G116,0)+IF($H116=AM$3,$J116,0)</f>
        <v/>
      </c>
      <c r="AN116" s="47">
        <f>-IF($E116=AN$3,$G116,0)+IF($H116=AN$3,$J116,0)</f>
        <v/>
      </c>
      <c r="AO116" s="48">
        <f>-IF($E116=AO$3,$G116,0)+IF($H116=AO$3,$J116,0)</f>
        <v/>
      </c>
      <c r="AP116" s="46">
        <f>IF($E116=AP$3,$G116,0)-IF($H116=AP$3,$J116,0)</f>
        <v/>
      </c>
      <c r="AQ116" s="47">
        <f>IF($E116=AQ$3,$G116,0)-IF($H116=AQ$3,$J116,0)</f>
        <v/>
      </c>
      <c r="AR116" s="47">
        <f>IF($E116=AR$3,$G116,0)-IF($H116=AR$3,$J116,0)</f>
        <v/>
      </c>
      <c r="AS116" s="47">
        <f>IF($E116=AS$3,$G116,0)-IF($H116=AS$3,$J116,0)</f>
        <v/>
      </c>
      <c r="AT116" s="47">
        <f>IF($E116=AT$3,$G116,0)-IF($H116=AT$3,$J116,0)</f>
        <v/>
      </c>
      <c r="AU116" s="47">
        <f>IF($E116=AU$3,$G116,0)-IF($H116=AU$3,$J116,0)</f>
        <v/>
      </c>
      <c r="AV116" s="47">
        <f>IF($E116=AV$3,$G116,0)-IF($H116=AV$3,$J116,0)</f>
        <v/>
      </c>
      <c r="AW116" s="47">
        <f>IF($E116=AW$3,$G116,0)-IF($H116=AW$3,$J116,0)</f>
        <v/>
      </c>
      <c r="AX116" s="47">
        <f>IF($E116=AX$3,$G116,0)-IF($H116=AX$3,$J116,0)</f>
        <v/>
      </c>
      <c r="AY116" s="47">
        <f>IF($E116=AY$3,$G116,0)-IF($H116=AY$3,$J116,0)</f>
        <v/>
      </c>
      <c r="AZ116" s="47">
        <f>IF($E116=AZ$3,$G116,0)-IF($H116=AZ$3,$J116,0)</f>
        <v/>
      </c>
      <c r="BA116" s="47">
        <f>IF($E116=BA$3,$G116,0)-IF($H116=BA$3,$J116,0)</f>
        <v/>
      </c>
      <c r="BB116" s="47">
        <f>IF($E116=BB$3,$G116,0)-IF($H116=BB$3,$J116,0)</f>
        <v/>
      </c>
      <c r="BC116" s="47">
        <f>IF($E116=BC$3,$G116,0)-IF($H116=BC$3,$J116,0)</f>
        <v/>
      </c>
      <c r="BD116" s="47">
        <f>IF($E116=BD$3,$G116,0)-IF($H116=BD$3,$J116,0)</f>
        <v/>
      </c>
      <c r="BE116" s="47">
        <f>IF($E116=BE$3,$G116,0)-IF($H116=BE$3,$J116,0)</f>
        <v/>
      </c>
      <c r="BF116" s="47">
        <f>IF($E116=BF$3,$G116,0)-IF($H116=BF$3,$J116,0)</f>
        <v/>
      </c>
      <c r="BG116" s="47">
        <f>IF($E116=BG$3,$G116,0)-IF($H116=BG$3,$J116,0)</f>
        <v/>
      </c>
      <c r="BH116" s="47">
        <f>IF($E116=BH$3,$G116,0)-IF($H116=BH$3,$J116,0)</f>
        <v/>
      </c>
      <c r="BI116" s="47">
        <f>IF($E116=BI$3,$G116,0)-IF($H116=BI$3,$J116,0)</f>
        <v/>
      </c>
      <c r="BJ116" s="47">
        <f>IF($E116=BJ$3,$G116,0)-IF($H116=BJ$3,$J116,0)</f>
        <v/>
      </c>
      <c r="BK116" s="47">
        <f>IF($E116=BK$3,$G116,0)-IF($H116=BK$3,$J116,0)</f>
        <v/>
      </c>
      <c r="BL116" s="46">
        <f>-IF($E116=BL$3,$G116,0)+IF($H116=BL$3,$J116,0)</f>
        <v/>
      </c>
      <c r="BM116" s="47">
        <f>-IF($E116=BM$3,$G116,0)+IF($H116=BM$3,$J116,0)</f>
        <v/>
      </c>
      <c r="BN116" s="47">
        <f>-IF($E116=BN$3,$G116,0)+IF($H116=BN$3,$J116,0)</f>
        <v/>
      </c>
      <c r="BO116" s="47">
        <f>-IF($E116=BO$3,$G116,0)+IF($H116=BO$3,$J116,0)</f>
        <v/>
      </c>
      <c r="BP116" s="47">
        <f>-IF($E116=BP$3,$G116,0)+IF($H116=BP$3,$J116,0)</f>
        <v/>
      </c>
      <c r="BQ116" s="47">
        <f>-IF($E116=BQ$3,$G116,0)+IF($H116=BQ$3,$J116,0)</f>
        <v/>
      </c>
      <c r="BR116" s="47">
        <f>-IF($E116=BR$3,$G116,0)+IF($H116=BR$3,$J116,0)</f>
        <v/>
      </c>
      <c r="BS116" s="47">
        <f>-IF($E116=BS$3,$G116,0)+IF($H116=BS$3,$J116,0)</f>
        <v/>
      </c>
      <c r="BT116" s="47">
        <f>-IF($E116=BT$3,$G116,0)+IF($H116=BT$3,$J116,0)</f>
        <v/>
      </c>
      <c r="BU116" s="46">
        <f>+G116-J116</f>
        <v/>
      </c>
      <c r="BV116" s="48">
        <f>-IF($E116=BV$3,$G116,0)+IF($H116=BV$3,$J116,0)</f>
        <v/>
      </c>
      <c r="BW116" s="3" t="n"/>
    </row>
    <row r="117" ht="15.75" customHeight="1" s="214">
      <c r="A117" s="7" t="n"/>
      <c r="B117" s="8" t="n"/>
      <c r="C117" s="9" t="n"/>
      <c r="D117" s="10" t="n"/>
      <c r="E117" s="247" t="n"/>
      <c r="F117" s="11">
        <f>IF(E117="","",IF(ISNA(VLOOKUP(E117,科目コード表!$C$4:$D$67,2,FALSE)),"該当科目なし",VLOOKUP(E117,科目コード表!$C$4:$D$67,2,FALSE)))</f>
        <v/>
      </c>
      <c r="G117" s="38" t="n"/>
      <c r="H117" s="248" t="n"/>
      <c r="I117" s="11">
        <f>IF(H117="","",IF(ISNA(VLOOKUP(H117,科目コード表!$C$4:$D$67,2,FALSE)),"該当科目なし",VLOOKUP(H117,科目コード表!$C$4:$D$67,2,FALSE)))</f>
        <v/>
      </c>
      <c r="J117" s="40" t="n"/>
      <c r="L117" s="46">
        <f>IF($E117=L$3,$G117,0)-IF($H117=L$3,$J117,0)</f>
        <v/>
      </c>
      <c r="M117" s="47">
        <f>IF($E117=M$3,$G117,0)-IF($H117=M$3,$J117,0)</f>
        <v/>
      </c>
      <c r="N117" s="47">
        <f>IF($E117=N$3,$G117,0)-IF($H117=N$3,$J117,0)</f>
        <v/>
      </c>
      <c r="O117" s="47">
        <f>IF($E117=O$3,$G117,0)-IF($H117=O$3,$J117,0)</f>
        <v/>
      </c>
      <c r="P117" s="47">
        <f>IF($E117=P$3,$G117,0)-IF($H117=P$3,$J117,0)</f>
        <v/>
      </c>
      <c r="Q117" s="47">
        <f>IF($E117=Q$3,$G117,0)-IF($H117=Q$3,$J117,0)</f>
        <v/>
      </c>
      <c r="R117" s="47">
        <f>IF($E117=R$3,$G117,0)-IF($H117=R$3,$J117,0)</f>
        <v/>
      </c>
      <c r="S117" s="47">
        <f>IF($E117=S$3,$G117,0)-IF($H117=S$3,$J117,0)</f>
        <v/>
      </c>
      <c r="T117" s="47">
        <f>IF($E117=T$3,$G117,0)-IF($H117=T$3,$J117,0)</f>
        <v/>
      </c>
      <c r="U117" s="47">
        <f>IF($E117=U$3,$G117,0)-IF($H117=U$3,$J117,0)</f>
        <v/>
      </c>
      <c r="V117" s="47">
        <f>IF($E117=V$3,$G117,0)-IF($H117=V$3,$J117,0)</f>
        <v/>
      </c>
      <c r="W117" s="47">
        <f>IF($E117=W$3,$G117,0)-IF($H117=W$3,$J117,0)</f>
        <v/>
      </c>
      <c r="X117" s="47">
        <f>IF($E117=X$3,$G117,0)-IF($H117=X$3,$J117,0)</f>
        <v/>
      </c>
      <c r="Y117" s="47">
        <f>IF($E117=Y$3,$G117,0)-IF($H117=Y$3,$J117,0)</f>
        <v/>
      </c>
      <c r="Z117" s="47">
        <f>IF($E117=Z$3,$G117,0)-IF($H117=Z$3,$J117,0)</f>
        <v/>
      </c>
      <c r="AA117" s="47">
        <f>IF($E117=AA$3,$G117,0)-IF($H117=AA$3,$J117,0)</f>
        <v/>
      </c>
      <c r="AB117" s="47">
        <f>IF($E117=AB$3,$G117,0)-IF($H117=AB$3,$J117,0)</f>
        <v/>
      </c>
      <c r="AC117" s="47">
        <f>IF($E117=AC$3,$G117,0)-IF($H117=AC$3,$J117,0)</f>
        <v/>
      </c>
      <c r="AD117" s="47">
        <f>IF($E117=AD$3,$G117,0)-IF($H117=AD$3,$J117,0)</f>
        <v/>
      </c>
      <c r="AE117" s="47">
        <f>IF($E117=AE$3,$G117,0)-IF($H117=AE$3,$J117,0)</f>
        <v/>
      </c>
      <c r="AF117" s="47">
        <f>IF($E117=AF$3,$G117,0)-IF($H117=AF$3,$J117,0)</f>
        <v/>
      </c>
      <c r="AG117" s="47">
        <f>IF($E117=AG$3,$G117,0)-IF($H117=AG$3,$J117,0)</f>
        <v/>
      </c>
      <c r="AH117" s="47">
        <f>IF($E117=AH$3,$G117,0)-IF($H117=AH$3,$J117,0)</f>
        <v/>
      </c>
      <c r="AI117" s="47">
        <f>IF($E117=AI$3,$G117,0)-IF($H117=AI$3,$J117,0)</f>
        <v/>
      </c>
      <c r="AJ117" s="47">
        <f>IF($E117=AJ$3,$G117,0)-IF($H117=AJ$3,$J117,0)</f>
        <v/>
      </c>
      <c r="AK117" s="47">
        <f>IF($E117=AK$3,$G117,0)-IF($H117=AK$3,$J117,0)</f>
        <v/>
      </c>
      <c r="AL117" s="48">
        <f>IF($E117=AL$3,$G117,0)-IF($H117=AL$3,$J117,0)</f>
        <v/>
      </c>
      <c r="AM117" s="46">
        <f>-IF($E117=AM$3,$G117,0)+IF($H117=AM$3,$J117,0)</f>
        <v/>
      </c>
      <c r="AN117" s="47">
        <f>-IF($E117=AN$3,$G117,0)+IF($H117=AN$3,$J117,0)</f>
        <v/>
      </c>
      <c r="AO117" s="48">
        <f>-IF($E117=AO$3,$G117,0)+IF($H117=AO$3,$J117,0)</f>
        <v/>
      </c>
      <c r="AP117" s="46">
        <f>IF($E117=AP$3,$G117,0)-IF($H117=AP$3,$J117,0)</f>
        <v/>
      </c>
      <c r="AQ117" s="47">
        <f>IF($E117=AQ$3,$G117,0)-IF($H117=AQ$3,$J117,0)</f>
        <v/>
      </c>
      <c r="AR117" s="47">
        <f>IF($E117=AR$3,$G117,0)-IF($H117=AR$3,$J117,0)</f>
        <v/>
      </c>
      <c r="AS117" s="47">
        <f>IF($E117=AS$3,$G117,0)-IF($H117=AS$3,$J117,0)</f>
        <v/>
      </c>
      <c r="AT117" s="47">
        <f>IF($E117=AT$3,$G117,0)-IF($H117=AT$3,$J117,0)</f>
        <v/>
      </c>
      <c r="AU117" s="47">
        <f>IF($E117=AU$3,$G117,0)-IF($H117=AU$3,$J117,0)</f>
        <v/>
      </c>
      <c r="AV117" s="47">
        <f>IF($E117=AV$3,$G117,0)-IF($H117=AV$3,$J117,0)</f>
        <v/>
      </c>
      <c r="AW117" s="47">
        <f>IF($E117=AW$3,$G117,0)-IF($H117=AW$3,$J117,0)</f>
        <v/>
      </c>
      <c r="AX117" s="47">
        <f>IF($E117=AX$3,$G117,0)-IF($H117=AX$3,$J117,0)</f>
        <v/>
      </c>
      <c r="AY117" s="47">
        <f>IF($E117=AY$3,$G117,0)-IF($H117=AY$3,$J117,0)</f>
        <v/>
      </c>
      <c r="AZ117" s="47">
        <f>IF($E117=AZ$3,$G117,0)-IF($H117=AZ$3,$J117,0)</f>
        <v/>
      </c>
      <c r="BA117" s="47">
        <f>IF($E117=BA$3,$G117,0)-IF($H117=BA$3,$J117,0)</f>
        <v/>
      </c>
      <c r="BB117" s="47">
        <f>IF($E117=BB$3,$G117,0)-IF($H117=BB$3,$J117,0)</f>
        <v/>
      </c>
      <c r="BC117" s="47">
        <f>IF($E117=BC$3,$G117,0)-IF($H117=BC$3,$J117,0)</f>
        <v/>
      </c>
      <c r="BD117" s="47">
        <f>IF($E117=BD$3,$G117,0)-IF($H117=BD$3,$J117,0)</f>
        <v/>
      </c>
      <c r="BE117" s="47">
        <f>IF($E117=BE$3,$G117,0)-IF($H117=BE$3,$J117,0)</f>
        <v/>
      </c>
      <c r="BF117" s="47">
        <f>IF($E117=BF$3,$G117,0)-IF($H117=BF$3,$J117,0)</f>
        <v/>
      </c>
      <c r="BG117" s="47">
        <f>IF($E117=BG$3,$G117,0)-IF($H117=BG$3,$J117,0)</f>
        <v/>
      </c>
      <c r="BH117" s="47">
        <f>IF($E117=BH$3,$G117,0)-IF($H117=BH$3,$J117,0)</f>
        <v/>
      </c>
      <c r="BI117" s="47">
        <f>IF($E117=BI$3,$G117,0)-IF($H117=BI$3,$J117,0)</f>
        <v/>
      </c>
      <c r="BJ117" s="47">
        <f>IF($E117=BJ$3,$G117,0)-IF($H117=BJ$3,$J117,0)</f>
        <v/>
      </c>
      <c r="BK117" s="47">
        <f>IF($E117=BK$3,$G117,0)-IF($H117=BK$3,$J117,0)</f>
        <v/>
      </c>
      <c r="BL117" s="46">
        <f>-IF($E117=BL$3,$G117,0)+IF($H117=BL$3,$J117,0)</f>
        <v/>
      </c>
      <c r="BM117" s="47">
        <f>-IF($E117=BM$3,$G117,0)+IF($H117=BM$3,$J117,0)</f>
        <v/>
      </c>
      <c r="BN117" s="47">
        <f>-IF($E117=BN$3,$G117,0)+IF($H117=BN$3,$J117,0)</f>
        <v/>
      </c>
      <c r="BO117" s="47">
        <f>-IF($E117=BO$3,$G117,0)+IF($H117=BO$3,$J117,0)</f>
        <v/>
      </c>
      <c r="BP117" s="47">
        <f>-IF($E117=BP$3,$G117,0)+IF($H117=BP$3,$J117,0)</f>
        <v/>
      </c>
      <c r="BQ117" s="47">
        <f>-IF($E117=BQ$3,$G117,0)+IF($H117=BQ$3,$J117,0)</f>
        <v/>
      </c>
      <c r="BR117" s="47">
        <f>-IF($E117=BR$3,$G117,0)+IF($H117=BR$3,$J117,0)</f>
        <v/>
      </c>
      <c r="BS117" s="47">
        <f>-IF($E117=BS$3,$G117,0)+IF($H117=BS$3,$J117,0)</f>
        <v/>
      </c>
      <c r="BT117" s="47">
        <f>-IF($E117=BT$3,$G117,0)+IF($H117=BT$3,$J117,0)</f>
        <v/>
      </c>
      <c r="BU117" s="46">
        <f>+G117-J117</f>
        <v/>
      </c>
      <c r="BV117" s="48">
        <f>-IF($E117=BV$3,$G117,0)+IF($H117=BV$3,$J117,0)</f>
        <v/>
      </c>
      <c r="BW117" s="3" t="n"/>
    </row>
    <row r="118" ht="15.75" customHeight="1" s="214">
      <c r="A118" s="7" t="n"/>
      <c r="B118" s="8" t="n"/>
      <c r="C118" s="9" t="n"/>
      <c r="D118" s="10" t="n"/>
      <c r="E118" s="247" t="n"/>
      <c r="F118" s="11">
        <f>IF(E118="","",IF(ISNA(VLOOKUP(E118,科目コード表!$C$4:$D$67,2,FALSE)),"該当科目なし",VLOOKUP(E118,科目コード表!$C$4:$D$67,2,FALSE)))</f>
        <v/>
      </c>
      <c r="G118" s="38" t="n"/>
      <c r="H118" s="248" t="n"/>
      <c r="I118" s="11">
        <f>IF(H118="","",IF(ISNA(VLOOKUP(H118,科目コード表!$C$4:$D$67,2,FALSE)),"該当科目なし",VLOOKUP(H118,科目コード表!$C$4:$D$67,2,FALSE)))</f>
        <v/>
      </c>
      <c r="J118" s="40" t="n"/>
      <c r="L118" s="46">
        <f>IF($E118=L$3,$G118,0)-IF($H118=L$3,$J118,0)</f>
        <v/>
      </c>
      <c r="M118" s="47">
        <f>IF($E118=M$3,$G118,0)-IF($H118=M$3,$J118,0)</f>
        <v/>
      </c>
      <c r="N118" s="47">
        <f>IF($E118=N$3,$G118,0)-IF($H118=N$3,$J118,0)</f>
        <v/>
      </c>
      <c r="O118" s="47">
        <f>IF($E118=O$3,$G118,0)-IF($H118=O$3,$J118,0)</f>
        <v/>
      </c>
      <c r="P118" s="47">
        <f>IF($E118=P$3,$G118,0)-IF($H118=P$3,$J118,0)</f>
        <v/>
      </c>
      <c r="Q118" s="47">
        <f>IF($E118=Q$3,$G118,0)-IF($H118=Q$3,$J118,0)</f>
        <v/>
      </c>
      <c r="R118" s="47">
        <f>IF($E118=R$3,$G118,0)-IF($H118=R$3,$J118,0)</f>
        <v/>
      </c>
      <c r="S118" s="47">
        <f>IF($E118=S$3,$G118,0)-IF($H118=S$3,$J118,0)</f>
        <v/>
      </c>
      <c r="T118" s="47">
        <f>IF($E118=T$3,$G118,0)-IF($H118=T$3,$J118,0)</f>
        <v/>
      </c>
      <c r="U118" s="47">
        <f>IF($E118=U$3,$G118,0)-IF($H118=U$3,$J118,0)</f>
        <v/>
      </c>
      <c r="V118" s="47">
        <f>IF($E118=V$3,$G118,0)-IF($H118=V$3,$J118,0)</f>
        <v/>
      </c>
      <c r="W118" s="47">
        <f>IF($E118=W$3,$G118,0)-IF($H118=W$3,$J118,0)</f>
        <v/>
      </c>
      <c r="X118" s="47">
        <f>IF($E118=X$3,$G118,0)-IF($H118=X$3,$J118,0)</f>
        <v/>
      </c>
      <c r="Y118" s="47">
        <f>IF($E118=Y$3,$G118,0)-IF($H118=Y$3,$J118,0)</f>
        <v/>
      </c>
      <c r="Z118" s="47">
        <f>IF($E118=Z$3,$G118,0)-IF($H118=Z$3,$J118,0)</f>
        <v/>
      </c>
      <c r="AA118" s="47">
        <f>IF($E118=AA$3,$G118,0)-IF($H118=AA$3,$J118,0)</f>
        <v/>
      </c>
      <c r="AB118" s="47">
        <f>IF($E118=AB$3,$G118,0)-IF($H118=AB$3,$J118,0)</f>
        <v/>
      </c>
      <c r="AC118" s="47">
        <f>IF($E118=AC$3,$G118,0)-IF($H118=AC$3,$J118,0)</f>
        <v/>
      </c>
      <c r="AD118" s="47">
        <f>IF($E118=AD$3,$G118,0)-IF($H118=AD$3,$J118,0)</f>
        <v/>
      </c>
      <c r="AE118" s="47">
        <f>IF($E118=AE$3,$G118,0)-IF($H118=AE$3,$J118,0)</f>
        <v/>
      </c>
      <c r="AF118" s="47">
        <f>IF($E118=AF$3,$G118,0)-IF($H118=AF$3,$J118,0)</f>
        <v/>
      </c>
      <c r="AG118" s="47">
        <f>IF($E118=AG$3,$G118,0)-IF($H118=AG$3,$J118,0)</f>
        <v/>
      </c>
      <c r="AH118" s="47">
        <f>IF($E118=AH$3,$G118,0)-IF($H118=AH$3,$J118,0)</f>
        <v/>
      </c>
      <c r="AI118" s="47">
        <f>IF($E118=AI$3,$G118,0)-IF($H118=AI$3,$J118,0)</f>
        <v/>
      </c>
      <c r="AJ118" s="47">
        <f>IF($E118=AJ$3,$G118,0)-IF($H118=AJ$3,$J118,0)</f>
        <v/>
      </c>
      <c r="AK118" s="47">
        <f>IF($E118=AK$3,$G118,0)-IF($H118=AK$3,$J118,0)</f>
        <v/>
      </c>
      <c r="AL118" s="48">
        <f>IF($E118=AL$3,$G118,0)-IF($H118=AL$3,$J118,0)</f>
        <v/>
      </c>
      <c r="AM118" s="46">
        <f>-IF($E118=AM$3,$G118,0)+IF($H118=AM$3,$J118,0)</f>
        <v/>
      </c>
      <c r="AN118" s="47">
        <f>-IF($E118=AN$3,$G118,0)+IF($H118=AN$3,$J118,0)</f>
        <v/>
      </c>
      <c r="AO118" s="48">
        <f>-IF($E118=AO$3,$G118,0)+IF($H118=AO$3,$J118,0)</f>
        <v/>
      </c>
      <c r="AP118" s="46">
        <f>IF($E118=AP$3,$G118,0)-IF($H118=AP$3,$J118,0)</f>
        <v/>
      </c>
      <c r="AQ118" s="47">
        <f>IF($E118=AQ$3,$G118,0)-IF($H118=AQ$3,$J118,0)</f>
        <v/>
      </c>
      <c r="AR118" s="47">
        <f>IF($E118=AR$3,$G118,0)-IF($H118=AR$3,$J118,0)</f>
        <v/>
      </c>
      <c r="AS118" s="47">
        <f>IF($E118=AS$3,$G118,0)-IF($H118=AS$3,$J118,0)</f>
        <v/>
      </c>
      <c r="AT118" s="47">
        <f>IF($E118=AT$3,$G118,0)-IF($H118=AT$3,$J118,0)</f>
        <v/>
      </c>
      <c r="AU118" s="47">
        <f>IF($E118=AU$3,$G118,0)-IF($H118=AU$3,$J118,0)</f>
        <v/>
      </c>
      <c r="AV118" s="47">
        <f>IF($E118=AV$3,$G118,0)-IF($H118=AV$3,$J118,0)</f>
        <v/>
      </c>
      <c r="AW118" s="47">
        <f>IF($E118=AW$3,$G118,0)-IF($H118=AW$3,$J118,0)</f>
        <v/>
      </c>
      <c r="AX118" s="47">
        <f>IF($E118=AX$3,$G118,0)-IF($H118=AX$3,$J118,0)</f>
        <v/>
      </c>
      <c r="AY118" s="47">
        <f>IF($E118=AY$3,$G118,0)-IF($H118=AY$3,$J118,0)</f>
        <v/>
      </c>
      <c r="AZ118" s="47">
        <f>IF($E118=AZ$3,$G118,0)-IF($H118=AZ$3,$J118,0)</f>
        <v/>
      </c>
      <c r="BA118" s="47">
        <f>IF($E118=BA$3,$G118,0)-IF($H118=BA$3,$J118,0)</f>
        <v/>
      </c>
      <c r="BB118" s="47">
        <f>IF($E118=BB$3,$G118,0)-IF($H118=BB$3,$J118,0)</f>
        <v/>
      </c>
      <c r="BC118" s="47">
        <f>IF($E118=BC$3,$G118,0)-IF($H118=BC$3,$J118,0)</f>
        <v/>
      </c>
      <c r="BD118" s="47">
        <f>IF($E118=BD$3,$G118,0)-IF($H118=BD$3,$J118,0)</f>
        <v/>
      </c>
      <c r="BE118" s="47">
        <f>IF($E118=BE$3,$G118,0)-IF($H118=BE$3,$J118,0)</f>
        <v/>
      </c>
      <c r="BF118" s="47">
        <f>IF($E118=BF$3,$G118,0)-IF($H118=BF$3,$J118,0)</f>
        <v/>
      </c>
      <c r="BG118" s="47">
        <f>IF($E118=BG$3,$G118,0)-IF($H118=BG$3,$J118,0)</f>
        <v/>
      </c>
      <c r="BH118" s="47">
        <f>IF($E118=BH$3,$G118,0)-IF($H118=BH$3,$J118,0)</f>
        <v/>
      </c>
      <c r="BI118" s="47">
        <f>IF($E118=BI$3,$G118,0)-IF($H118=BI$3,$J118,0)</f>
        <v/>
      </c>
      <c r="BJ118" s="47">
        <f>IF($E118=BJ$3,$G118,0)-IF($H118=BJ$3,$J118,0)</f>
        <v/>
      </c>
      <c r="BK118" s="47">
        <f>IF($E118=BK$3,$G118,0)-IF($H118=BK$3,$J118,0)</f>
        <v/>
      </c>
      <c r="BL118" s="46">
        <f>-IF($E118=BL$3,$G118,0)+IF($H118=BL$3,$J118,0)</f>
        <v/>
      </c>
      <c r="BM118" s="47">
        <f>-IF($E118=BM$3,$G118,0)+IF($H118=BM$3,$J118,0)</f>
        <v/>
      </c>
      <c r="BN118" s="47">
        <f>-IF($E118=BN$3,$G118,0)+IF($H118=BN$3,$J118,0)</f>
        <v/>
      </c>
      <c r="BO118" s="47">
        <f>-IF($E118=BO$3,$G118,0)+IF($H118=BO$3,$J118,0)</f>
        <v/>
      </c>
      <c r="BP118" s="47">
        <f>-IF($E118=BP$3,$G118,0)+IF($H118=BP$3,$J118,0)</f>
        <v/>
      </c>
      <c r="BQ118" s="47">
        <f>-IF($E118=BQ$3,$G118,0)+IF($H118=BQ$3,$J118,0)</f>
        <v/>
      </c>
      <c r="BR118" s="47">
        <f>-IF($E118=BR$3,$G118,0)+IF($H118=BR$3,$J118,0)</f>
        <v/>
      </c>
      <c r="BS118" s="47">
        <f>-IF($E118=BS$3,$G118,0)+IF($H118=BS$3,$J118,0)</f>
        <v/>
      </c>
      <c r="BT118" s="47">
        <f>-IF($E118=BT$3,$G118,0)+IF($H118=BT$3,$J118,0)</f>
        <v/>
      </c>
      <c r="BU118" s="46">
        <f>+G118-J118</f>
        <v/>
      </c>
      <c r="BV118" s="48">
        <f>-IF($E118=BV$3,$G118,0)+IF($H118=BV$3,$J118,0)</f>
        <v/>
      </c>
      <c r="BW118" s="3" t="n"/>
    </row>
    <row r="119" ht="15.75" customHeight="1" s="214">
      <c r="A119" s="7" t="n"/>
      <c r="B119" s="8" t="n"/>
      <c r="C119" s="9" t="n"/>
      <c r="D119" s="10" t="n"/>
      <c r="E119" s="247" t="n"/>
      <c r="F119" s="11">
        <f>IF(E119="","",IF(ISNA(VLOOKUP(E119,科目コード表!$C$4:$D$67,2,FALSE)),"該当科目なし",VLOOKUP(E119,科目コード表!$C$4:$D$67,2,FALSE)))</f>
        <v/>
      </c>
      <c r="G119" s="38" t="n"/>
      <c r="H119" s="248" t="n"/>
      <c r="I119" s="11">
        <f>IF(H119="","",IF(ISNA(VLOOKUP(H119,科目コード表!$C$4:$D$67,2,FALSE)),"該当科目なし",VLOOKUP(H119,科目コード表!$C$4:$D$67,2,FALSE)))</f>
        <v/>
      </c>
      <c r="J119" s="40" t="n"/>
      <c r="L119" s="46">
        <f>IF($E119=L$3,$G119,0)-IF($H119=L$3,$J119,0)</f>
        <v/>
      </c>
      <c r="M119" s="47">
        <f>IF($E119=M$3,$G119,0)-IF($H119=M$3,$J119,0)</f>
        <v/>
      </c>
      <c r="N119" s="47">
        <f>IF($E119=N$3,$G119,0)-IF($H119=N$3,$J119,0)</f>
        <v/>
      </c>
      <c r="O119" s="47">
        <f>IF($E119=O$3,$G119,0)-IF($H119=O$3,$J119,0)</f>
        <v/>
      </c>
      <c r="P119" s="47">
        <f>IF($E119=P$3,$G119,0)-IF($H119=P$3,$J119,0)</f>
        <v/>
      </c>
      <c r="Q119" s="47">
        <f>IF($E119=Q$3,$G119,0)-IF($H119=Q$3,$J119,0)</f>
        <v/>
      </c>
      <c r="R119" s="47">
        <f>IF($E119=R$3,$G119,0)-IF($H119=R$3,$J119,0)</f>
        <v/>
      </c>
      <c r="S119" s="47">
        <f>IF($E119=S$3,$G119,0)-IF($H119=S$3,$J119,0)</f>
        <v/>
      </c>
      <c r="T119" s="47">
        <f>IF($E119=T$3,$G119,0)-IF($H119=T$3,$J119,0)</f>
        <v/>
      </c>
      <c r="U119" s="47">
        <f>IF($E119=U$3,$G119,0)-IF($H119=U$3,$J119,0)</f>
        <v/>
      </c>
      <c r="V119" s="47">
        <f>IF($E119=V$3,$G119,0)-IF($H119=V$3,$J119,0)</f>
        <v/>
      </c>
      <c r="W119" s="47">
        <f>IF($E119=W$3,$G119,0)-IF($H119=W$3,$J119,0)</f>
        <v/>
      </c>
      <c r="X119" s="47">
        <f>IF($E119=X$3,$G119,0)-IF($H119=X$3,$J119,0)</f>
        <v/>
      </c>
      <c r="Y119" s="47">
        <f>IF($E119=Y$3,$G119,0)-IF($H119=Y$3,$J119,0)</f>
        <v/>
      </c>
      <c r="Z119" s="47">
        <f>IF($E119=Z$3,$G119,0)-IF($H119=Z$3,$J119,0)</f>
        <v/>
      </c>
      <c r="AA119" s="47">
        <f>IF($E119=AA$3,$G119,0)-IF($H119=AA$3,$J119,0)</f>
        <v/>
      </c>
      <c r="AB119" s="47">
        <f>IF($E119=AB$3,$G119,0)-IF($H119=AB$3,$J119,0)</f>
        <v/>
      </c>
      <c r="AC119" s="47">
        <f>IF($E119=AC$3,$G119,0)-IF($H119=AC$3,$J119,0)</f>
        <v/>
      </c>
      <c r="AD119" s="47">
        <f>IF($E119=AD$3,$G119,0)-IF($H119=AD$3,$J119,0)</f>
        <v/>
      </c>
      <c r="AE119" s="47">
        <f>IF($E119=AE$3,$G119,0)-IF($H119=AE$3,$J119,0)</f>
        <v/>
      </c>
      <c r="AF119" s="47">
        <f>IF($E119=AF$3,$G119,0)-IF($H119=AF$3,$J119,0)</f>
        <v/>
      </c>
      <c r="AG119" s="47">
        <f>IF($E119=AG$3,$G119,0)-IF($H119=AG$3,$J119,0)</f>
        <v/>
      </c>
      <c r="AH119" s="47">
        <f>IF($E119=AH$3,$G119,0)-IF($H119=AH$3,$J119,0)</f>
        <v/>
      </c>
      <c r="AI119" s="47">
        <f>IF($E119=AI$3,$G119,0)-IF($H119=AI$3,$J119,0)</f>
        <v/>
      </c>
      <c r="AJ119" s="47">
        <f>IF($E119=AJ$3,$G119,0)-IF($H119=AJ$3,$J119,0)</f>
        <v/>
      </c>
      <c r="AK119" s="47">
        <f>IF($E119=AK$3,$G119,0)-IF($H119=AK$3,$J119,0)</f>
        <v/>
      </c>
      <c r="AL119" s="48">
        <f>IF($E119=AL$3,$G119,0)-IF($H119=AL$3,$J119,0)</f>
        <v/>
      </c>
      <c r="AM119" s="46">
        <f>-IF($E119=AM$3,$G119,0)+IF($H119=AM$3,$J119,0)</f>
        <v/>
      </c>
      <c r="AN119" s="47">
        <f>-IF($E119=AN$3,$G119,0)+IF($H119=AN$3,$J119,0)</f>
        <v/>
      </c>
      <c r="AO119" s="48">
        <f>-IF($E119=AO$3,$G119,0)+IF($H119=AO$3,$J119,0)</f>
        <v/>
      </c>
      <c r="AP119" s="46">
        <f>IF($E119=AP$3,$G119,0)-IF($H119=AP$3,$J119,0)</f>
        <v/>
      </c>
      <c r="AQ119" s="47">
        <f>IF($E119=AQ$3,$G119,0)-IF($H119=AQ$3,$J119,0)</f>
        <v/>
      </c>
      <c r="AR119" s="47">
        <f>IF($E119=AR$3,$G119,0)-IF($H119=AR$3,$J119,0)</f>
        <v/>
      </c>
      <c r="AS119" s="47">
        <f>IF($E119=AS$3,$G119,0)-IF($H119=AS$3,$J119,0)</f>
        <v/>
      </c>
      <c r="AT119" s="47">
        <f>IF($E119=AT$3,$G119,0)-IF($H119=AT$3,$J119,0)</f>
        <v/>
      </c>
      <c r="AU119" s="47">
        <f>IF($E119=AU$3,$G119,0)-IF($H119=AU$3,$J119,0)</f>
        <v/>
      </c>
      <c r="AV119" s="47">
        <f>IF($E119=AV$3,$G119,0)-IF($H119=AV$3,$J119,0)</f>
        <v/>
      </c>
      <c r="AW119" s="47">
        <f>IF($E119=AW$3,$G119,0)-IF($H119=AW$3,$J119,0)</f>
        <v/>
      </c>
      <c r="AX119" s="47">
        <f>IF($E119=AX$3,$G119,0)-IF($H119=AX$3,$J119,0)</f>
        <v/>
      </c>
      <c r="AY119" s="47">
        <f>IF($E119=AY$3,$G119,0)-IF($H119=AY$3,$J119,0)</f>
        <v/>
      </c>
      <c r="AZ119" s="47">
        <f>IF($E119=AZ$3,$G119,0)-IF($H119=AZ$3,$J119,0)</f>
        <v/>
      </c>
      <c r="BA119" s="47">
        <f>IF($E119=BA$3,$G119,0)-IF($H119=BA$3,$J119,0)</f>
        <v/>
      </c>
      <c r="BB119" s="47">
        <f>IF($E119=BB$3,$G119,0)-IF($H119=BB$3,$J119,0)</f>
        <v/>
      </c>
      <c r="BC119" s="47">
        <f>IF($E119=BC$3,$G119,0)-IF($H119=BC$3,$J119,0)</f>
        <v/>
      </c>
      <c r="BD119" s="47">
        <f>IF($E119=BD$3,$G119,0)-IF($H119=BD$3,$J119,0)</f>
        <v/>
      </c>
      <c r="BE119" s="47">
        <f>IF($E119=BE$3,$G119,0)-IF($H119=BE$3,$J119,0)</f>
        <v/>
      </c>
      <c r="BF119" s="47">
        <f>IF($E119=BF$3,$G119,0)-IF($H119=BF$3,$J119,0)</f>
        <v/>
      </c>
      <c r="BG119" s="47">
        <f>IF($E119=BG$3,$G119,0)-IF($H119=BG$3,$J119,0)</f>
        <v/>
      </c>
      <c r="BH119" s="47">
        <f>IF($E119=BH$3,$G119,0)-IF($H119=BH$3,$J119,0)</f>
        <v/>
      </c>
      <c r="BI119" s="47">
        <f>IF($E119=BI$3,$G119,0)-IF($H119=BI$3,$J119,0)</f>
        <v/>
      </c>
      <c r="BJ119" s="47">
        <f>IF($E119=BJ$3,$G119,0)-IF($H119=BJ$3,$J119,0)</f>
        <v/>
      </c>
      <c r="BK119" s="47">
        <f>IF($E119=BK$3,$G119,0)-IF($H119=BK$3,$J119,0)</f>
        <v/>
      </c>
      <c r="BL119" s="46">
        <f>-IF($E119=BL$3,$G119,0)+IF($H119=BL$3,$J119,0)</f>
        <v/>
      </c>
      <c r="BM119" s="47">
        <f>-IF($E119=BM$3,$G119,0)+IF($H119=BM$3,$J119,0)</f>
        <v/>
      </c>
      <c r="BN119" s="47">
        <f>-IF($E119=BN$3,$G119,0)+IF($H119=BN$3,$J119,0)</f>
        <v/>
      </c>
      <c r="BO119" s="47">
        <f>-IF($E119=BO$3,$G119,0)+IF($H119=BO$3,$J119,0)</f>
        <v/>
      </c>
      <c r="BP119" s="47">
        <f>-IF($E119=BP$3,$G119,0)+IF($H119=BP$3,$J119,0)</f>
        <v/>
      </c>
      <c r="BQ119" s="47">
        <f>-IF($E119=BQ$3,$G119,0)+IF($H119=BQ$3,$J119,0)</f>
        <v/>
      </c>
      <c r="BR119" s="47">
        <f>-IF($E119=BR$3,$G119,0)+IF($H119=BR$3,$J119,0)</f>
        <v/>
      </c>
      <c r="BS119" s="47">
        <f>-IF($E119=BS$3,$G119,0)+IF($H119=BS$3,$J119,0)</f>
        <v/>
      </c>
      <c r="BT119" s="47">
        <f>-IF($E119=BT$3,$G119,0)+IF($H119=BT$3,$J119,0)</f>
        <v/>
      </c>
      <c r="BU119" s="46">
        <f>+G119-J119</f>
        <v/>
      </c>
      <c r="BV119" s="48">
        <f>-IF($E119=BV$3,$G119,0)+IF($H119=BV$3,$J119,0)</f>
        <v/>
      </c>
      <c r="BW119" s="3" t="n"/>
    </row>
    <row r="120" ht="15.75" customHeight="1" s="214">
      <c r="A120" s="7" t="n"/>
      <c r="B120" s="8" t="n"/>
      <c r="C120" s="9" t="n"/>
      <c r="D120" s="10" t="n"/>
      <c r="E120" s="247" t="n"/>
      <c r="F120" s="11">
        <f>IF(E120="","",IF(ISNA(VLOOKUP(E120,科目コード表!$C$4:$D$67,2,FALSE)),"該当科目なし",VLOOKUP(E120,科目コード表!$C$4:$D$67,2,FALSE)))</f>
        <v/>
      </c>
      <c r="G120" s="38" t="n"/>
      <c r="H120" s="248" t="n"/>
      <c r="I120" s="11">
        <f>IF(H120="","",IF(ISNA(VLOOKUP(H120,科目コード表!$C$4:$D$67,2,FALSE)),"該当科目なし",VLOOKUP(H120,科目コード表!$C$4:$D$67,2,FALSE)))</f>
        <v/>
      </c>
      <c r="J120" s="40" t="n"/>
      <c r="L120" s="46">
        <f>IF($E120=L$3,$G120,0)-IF($H120=L$3,$J120,0)</f>
        <v/>
      </c>
      <c r="M120" s="47">
        <f>IF($E120=M$3,$G120,0)-IF($H120=M$3,$J120,0)</f>
        <v/>
      </c>
      <c r="N120" s="47">
        <f>IF($E120=N$3,$G120,0)-IF($H120=N$3,$J120,0)</f>
        <v/>
      </c>
      <c r="O120" s="47">
        <f>IF($E120=O$3,$G120,0)-IF($H120=O$3,$J120,0)</f>
        <v/>
      </c>
      <c r="P120" s="47">
        <f>IF($E120=P$3,$G120,0)-IF($H120=P$3,$J120,0)</f>
        <v/>
      </c>
      <c r="Q120" s="47">
        <f>IF($E120=Q$3,$G120,0)-IF($H120=Q$3,$J120,0)</f>
        <v/>
      </c>
      <c r="R120" s="47">
        <f>IF($E120=R$3,$G120,0)-IF($H120=R$3,$J120,0)</f>
        <v/>
      </c>
      <c r="S120" s="47">
        <f>IF($E120=S$3,$G120,0)-IF($H120=S$3,$J120,0)</f>
        <v/>
      </c>
      <c r="T120" s="47">
        <f>IF($E120=T$3,$G120,0)-IF($H120=T$3,$J120,0)</f>
        <v/>
      </c>
      <c r="U120" s="47">
        <f>IF($E120=U$3,$G120,0)-IF($H120=U$3,$J120,0)</f>
        <v/>
      </c>
      <c r="V120" s="47">
        <f>IF($E120=V$3,$G120,0)-IF($H120=V$3,$J120,0)</f>
        <v/>
      </c>
      <c r="W120" s="47">
        <f>IF($E120=W$3,$G120,0)-IF($H120=W$3,$J120,0)</f>
        <v/>
      </c>
      <c r="X120" s="47">
        <f>IF($E120=X$3,$G120,0)-IF($H120=X$3,$J120,0)</f>
        <v/>
      </c>
      <c r="Y120" s="47">
        <f>IF($E120=Y$3,$G120,0)-IF($H120=Y$3,$J120,0)</f>
        <v/>
      </c>
      <c r="Z120" s="47">
        <f>IF($E120=Z$3,$G120,0)-IF($H120=Z$3,$J120,0)</f>
        <v/>
      </c>
      <c r="AA120" s="47">
        <f>IF($E120=AA$3,$G120,0)-IF($H120=AA$3,$J120,0)</f>
        <v/>
      </c>
      <c r="AB120" s="47">
        <f>IF($E120=AB$3,$G120,0)-IF($H120=AB$3,$J120,0)</f>
        <v/>
      </c>
      <c r="AC120" s="47">
        <f>IF($E120=AC$3,$G120,0)-IF($H120=AC$3,$J120,0)</f>
        <v/>
      </c>
      <c r="AD120" s="47">
        <f>IF($E120=AD$3,$G120,0)-IF($H120=AD$3,$J120,0)</f>
        <v/>
      </c>
      <c r="AE120" s="47">
        <f>IF($E120=AE$3,$G120,0)-IF($H120=AE$3,$J120,0)</f>
        <v/>
      </c>
      <c r="AF120" s="47">
        <f>IF($E120=AF$3,$G120,0)-IF($H120=AF$3,$J120,0)</f>
        <v/>
      </c>
      <c r="AG120" s="47">
        <f>IF($E120=AG$3,$G120,0)-IF($H120=AG$3,$J120,0)</f>
        <v/>
      </c>
      <c r="AH120" s="47">
        <f>IF($E120=AH$3,$G120,0)-IF($H120=AH$3,$J120,0)</f>
        <v/>
      </c>
      <c r="AI120" s="47">
        <f>IF($E120=AI$3,$G120,0)-IF($H120=AI$3,$J120,0)</f>
        <v/>
      </c>
      <c r="AJ120" s="47">
        <f>IF($E120=AJ$3,$G120,0)-IF($H120=AJ$3,$J120,0)</f>
        <v/>
      </c>
      <c r="AK120" s="47">
        <f>IF($E120=AK$3,$G120,0)-IF($H120=AK$3,$J120,0)</f>
        <v/>
      </c>
      <c r="AL120" s="48">
        <f>IF($E120=AL$3,$G120,0)-IF($H120=AL$3,$J120,0)</f>
        <v/>
      </c>
      <c r="AM120" s="46">
        <f>-IF($E120=AM$3,$G120,0)+IF($H120=AM$3,$J120,0)</f>
        <v/>
      </c>
      <c r="AN120" s="47">
        <f>-IF($E120=AN$3,$G120,0)+IF($H120=AN$3,$J120,0)</f>
        <v/>
      </c>
      <c r="AO120" s="48">
        <f>-IF($E120=AO$3,$G120,0)+IF($H120=AO$3,$J120,0)</f>
        <v/>
      </c>
      <c r="AP120" s="46">
        <f>IF($E120=AP$3,$G120,0)-IF($H120=AP$3,$J120,0)</f>
        <v/>
      </c>
      <c r="AQ120" s="47">
        <f>IF($E120=AQ$3,$G120,0)-IF($H120=AQ$3,$J120,0)</f>
        <v/>
      </c>
      <c r="AR120" s="47">
        <f>IF($E120=AR$3,$G120,0)-IF($H120=AR$3,$J120,0)</f>
        <v/>
      </c>
      <c r="AS120" s="47">
        <f>IF($E120=AS$3,$G120,0)-IF($H120=AS$3,$J120,0)</f>
        <v/>
      </c>
      <c r="AT120" s="47">
        <f>IF($E120=AT$3,$G120,0)-IF($H120=AT$3,$J120,0)</f>
        <v/>
      </c>
      <c r="AU120" s="47">
        <f>IF($E120=AU$3,$G120,0)-IF($H120=AU$3,$J120,0)</f>
        <v/>
      </c>
      <c r="AV120" s="47">
        <f>IF($E120=AV$3,$G120,0)-IF($H120=AV$3,$J120,0)</f>
        <v/>
      </c>
      <c r="AW120" s="47">
        <f>IF($E120=AW$3,$G120,0)-IF($H120=AW$3,$J120,0)</f>
        <v/>
      </c>
      <c r="AX120" s="47">
        <f>IF($E120=AX$3,$G120,0)-IF($H120=AX$3,$J120,0)</f>
        <v/>
      </c>
      <c r="AY120" s="47">
        <f>IF($E120=AY$3,$G120,0)-IF($H120=AY$3,$J120,0)</f>
        <v/>
      </c>
      <c r="AZ120" s="47">
        <f>IF($E120=AZ$3,$G120,0)-IF($H120=AZ$3,$J120,0)</f>
        <v/>
      </c>
      <c r="BA120" s="47">
        <f>IF($E120=BA$3,$G120,0)-IF($H120=BA$3,$J120,0)</f>
        <v/>
      </c>
      <c r="BB120" s="47">
        <f>IF($E120=BB$3,$G120,0)-IF($H120=BB$3,$J120,0)</f>
        <v/>
      </c>
      <c r="BC120" s="47">
        <f>IF($E120=BC$3,$G120,0)-IF($H120=BC$3,$J120,0)</f>
        <v/>
      </c>
      <c r="BD120" s="47">
        <f>IF($E120=BD$3,$G120,0)-IF($H120=BD$3,$J120,0)</f>
        <v/>
      </c>
      <c r="BE120" s="47">
        <f>IF($E120=BE$3,$G120,0)-IF($H120=BE$3,$J120,0)</f>
        <v/>
      </c>
      <c r="BF120" s="47">
        <f>IF($E120=BF$3,$G120,0)-IF($H120=BF$3,$J120,0)</f>
        <v/>
      </c>
      <c r="BG120" s="47">
        <f>IF($E120=BG$3,$G120,0)-IF($H120=BG$3,$J120,0)</f>
        <v/>
      </c>
      <c r="BH120" s="47">
        <f>IF($E120=BH$3,$G120,0)-IF($H120=BH$3,$J120,0)</f>
        <v/>
      </c>
      <c r="BI120" s="47">
        <f>IF($E120=BI$3,$G120,0)-IF($H120=BI$3,$J120,0)</f>
        <v/>
      </c>
      <c r="BJ120" s="47">
        <f>IF($E120=BJ$3,$G120,0)-IF($H120=BJ$3,$J120,0)</f>
        <v/>
      </c>
      <c r="BK120" s="47">
        <f>IF($E120=BK$3,$G120,0)-IF($H120=BK$3,$J120,0)</f>
        <v/>
      </c>
      <c r="BL120" s="46">
        <f>-IF($E120=BL$3,$G120,0)+IF($H120=BL$3,$J120,0)</f>
        <v/>
      </c>
      <c r="BM120" s="47">
        <f>-IF($E120=BM$3,$G120,0)+IF($H120=BM$3,$J120,0)</f>
        <v/>
      </c>
      <c r="BN120" s="47">
        <f>-IF($E120=BN$3,$G120,0)+IF($H120=BN$3,$J120,0)</f>
        <v/>
      </c>
      <c r="BO120" s="47">
        <f>-IF($E120=BO$3,$G120,0)+IF($H120=BO$3,$J120,0)</f>
        <v/>
      </c>
      <c r="BP120" s="47">
        <f>-IF($E120=BP$3,$G120,0)+IF($H120=BP$3,$J120,0)</f>
        <v/>
      </c>
      <c r="BQ120" s="47">
        <f>-IF($E120=BQ$3,$G120,0)+IF($H120=BQ$3,$J120,0)</f>
        <v/>
      </c>
      <c r="BR120" s="47">
        <f>-IF($E120=BR$3,$G120,0)+IF($H120=BR$3,$J120,0)</f>
        <v/>
      </c>
      <c r="BS120" s="47">
        <f>-IF($E120=BS$3,$G120,0)+IF($H120=BS$3,$J120,0)</f>
        <v/>
      </c>
      <c r="BT120" s="47">
        <f>-IF($E120=BT$3,$G120,0)+IF($H120=BT$3,$J120,0)</f>
        <v/>
      </c>
      <c r="BU120" s="46">
        <f>+G120-J120</f>
        <v/>
      </c>
      <c r="BV120" s="48">
        <f>-IF($E120=BV$3,$G120,0)+IF($H120=BV$3,$J120,0)</f>
        <v/>
      </c>
      <c r="BW120" s="3" t="n"/>
    </row>
    <row r="121" ht="15.75" customHeight="1" s="214">
      <c r="A121" s="7" t="n"/>
      <c r="B121" s="8" t="n"/>
      <c r="C121" s="9" t="n"/>
      <c r="D121" s="10" t="n"/>
      <c r="E121" s="247" t="n"/>
      <c r="F121" s="11">
        <f>IF(E121="","",IF(ISNA(VLOOKUP(E121,科目コード表!$C$4:$D$67,2,FALSE)),"該当科目なし",VLOOKUP(E121,科目コード表!$C$4:$D$67,2,FALSE)))</f>
        <v/>
      </c>
      <c r="G121" s="38" t="n"/>
      <c r="H121" s="248" t="n"/>
      <c r="I121" s="11">
        <f>IF(H121="","",IF(ISNA(VLOOKUP(H121,科目コード表!$C$4:$D$67,2,FALSE)),"該当科目なし",VLOOKUP(H121,科目コード表!$C$4:$D$67,2,FALSE)))</f>
        <v/>
      </c>
      <c r="J121" s="40" t="n"/>
      <c r="L121" s="46">
        <f>IF($E121=L$3,$G121,0)-IF($H121=L$3,$J121,0)</f>
        <v/>
      </c>
      <c r="M121" s="47">
        <f>IF($E121=M$3,$G121,0)-IF($H121=M$3,$J121,0)</f>
        <v/>
      </c>
      <c r="N121" s="47">
        <f>IF($E121=N$3,$G121,0)-IF($H121=N$3,$J121,0)</f>
        <v/>
      </c>
      <c r="O121" s="47">
        <f>IF($E121=O$3,$G121,0)-IF($H121=O$3,$J121,0)</f>
        <v/>
      </c>
      <c r="P121" s="47">
        <f>IF($E121=P$3,$G121,0)-IF($H121=P$3,$J121,0)</f>
        <v/>
      </c>
      <c r="Q121" s="47">
        <f>IF($E121=Q$3,$G121,0)-IF($H121=Q$3,$J121,0)</f>
        <v/>
      </c>
      <c r="R121" s="47">
        <f>IF($E121=R$3,$G121,0)-IF($H121=R$3,$J121,0)</f>
        <v/>
      </c>
      <c r="S121" s="47">
        <f>IF($E121=S$3,$G121,0)-IF($H121=S$3,$J121,0)</f>
        <v/>
      </c>
      <c r="T121" s="47">
        <f>IF($E121=T$3,$G121,0)-IF($H121=T$3,$J121,0)</f>
        <v/>
      </c>
      <c r="U121" s="47">
        <f>IF($E121=U$3,$G121,0)-IF($H121=U$3,$J121,0)</f>
        <v/>
      </c>
      <c r="V121" s="47">
        <f>IF($E121=V$3,$G121,0)-IF($H121=V$3,$J121,0)</f>
        <v/>
      </c>
      <c r="W121" s="47">
        <f>IF($E121=W$3,$G121,0)-IF($H121=W$3,$J121,0)</f>
        <v/>
      </c>
      <c r="X121" s="47">
        <f>IF($E121=X$3,$G121,0)-IF($H121=X$3,$J121,0)</f>
        <v/>
      </c>
      <c r="Y121" s="47">
        <f>IF($E121=Y$3,$G121,0)-IF($H121=Y$3,$J121,0)</f>
        <v/>
      </c>
      <c r="Z121" s="47">
        <f>IF($E121=Z$3,$G121,0)-IF($H121=Z$3,$J121,0)</f>
        <v/>
      </c>
      <c r="AA121" s="47">
        <f>IF($E121=AA$3,$G121,0)-IF($H121=AA$3,$J121,0)</f>
        <v/>
      </c>
      <c r="AB121" s="47">
        <f>IF($E121=AB$3,$G121,0)-IF($H121=AB$3,$J121,0)</f>
        <v/>
      </c>
      <c r="AC121" s="47">
        <f>IF($E121=AC$3,$G121,0)-IF($H121=AC$3,$J121,0)</f>
        <v/>
      </c>
      <c r="AD121" s="47">
        <f>IF($E121=AD$3,$G121,0)-IF($H121=AD$3,$J121,0)</f>
        <v/>
      </c>
      <c r="AE121" s="47">
        <f>IF($E121=AE$3,$G121,0)-IF($H121=AE$3,$J121,0)</f>
        <v/>
      </c>
      <c r="AF121" s="47">
        <f>IF($E121=AF$3,$G121,0)-IF($H121=AF$3,$J121,0)</f>
        <v/>
      </c>
      <c r="AG121" s="47">
        <f>IF($E121=AG$3,$G121,0)-IF($H121=AG$3,$J121,0)</f>
        <v/>
      </c>
      <c r="AH121" s="47">
        <f>IF($E121=AH$3,$G121,0)-IF($H121=AH$3,$J121,0)</f>
        <v/>
      </c>
      <c r="AI121" s="47">
        <f>IF($E121=AI$3,$G121,0)-IF($H121=AI$3,$J121,0)</f>
        <v/>
      </c>
      <c r="AJ121" s="47">
        <f>IF($E121=AJ$3,$G121,0)-IF($H121=AJ$3,$J121,0)</f>
        <v/>
      </c>
      <c r="AK121" s="47">
        <f>IF($E121=AK$3,$G121,0)-IF($H121=AK$3,$J121,0)</f>
        <v/>
      </c>
      <c r="AL121" s="48">
        <f>IF($E121=AL$3,$G121,0)-IF($H121=AL$3,$J121,0)</f>
        <v/>
      </c>
      <c r="AM121" s="46">
        <f>-IF($E121=AM$3,$G121,0)+IF($H121=AM$3,$J121,0)</f>
        <v/>
      </c>
      <c r="AN121" s="47">
        <f>-IF($E121=AN$3,$G121,0)+IF($H121=AN$3,$J121,0)</f>
        <v/>
      </c>
      <c r="AO121" s="48">
        <f>-IF($E121=AO$3,$G121,0)+IF($H121=AO$3,$J121,0)</f>
        <v/>
      </c>
      <c r="AP121" s="46">
        <f>IF($E121=AP$3,$G121,0)-IF($H121=AP$3,$J121,0)</f>
        <v/>
      </c>
      <c r="AQ121" s="47">
        <f>IF($E121=AQ$3,$G121,0)-IF($H121=AQ$3,$J121,0)</f>
        <v/>
      </c>
      <c r="AR121" s="47">
        <f>IF($E121=AR$3,$G121,0)-IF($H121=AR$3,$J121,0)</f>
        <v/>
      </c>
      <c r="AS121" s="47">
        <f>IF($E121=AS$3,$G121,0)-IF($H121=AS$3,$J121,0)</f>
        <v/>
      </c>
      <c r="AT121" s="47">
        <f>IF($E121=AT$3,$G121,0)-IF($H121=AT$3,$J121,0)</f>
        <v/>
      </c>
      <c r="AU121" s="47">
        <f>IF($E121=AU$3,$G121,0)-IF($H121=AU$3,$J121,0)</f>
        <v/>
      </c>
      <c r="AV121" s="47">
        <f>IF($E121=AV$3,$G121,0)-IF($H121=AV$3,$J121,0)</f>
        <v/>
      </c>
      <c r="AW121" s="47">
        <f>IF($E121=AW$3,$G121,0)-IF($H121=AW$3,$J121,0)</f>
        <v/>
      </c>
      <c r="AX121" s="47">
        <f>IF($E121=AX$3,$G121,0)-IF($H121=AX$3,$J121,0)</f>
        <v/>
      </c>
      <c r="AY121" s="47">
        <f>IF($E121=AY$3,$G121,0)-IF($H121=AY$3,$J121,0)</f>
        <v/>
      </c>
      <c r="AZ121" s="47">
        <f>IF($E121=AZ$3,$G121,0)-IF($H121=AZ$3,$J121,0)</f>
        <v/>
      </c>
      <c r="BA121" s="47">
        <f>IF($E121=BA$3,$G121,0)-IF($H121=BA$3,$J121,0)</f>
        <v/>
      </c>
      <c r="BB121" s="47">
        <f>IF($E121=BB$3,$G121,0)-IF($H121=BB$3,$J121,0)</f>
        <v/>
      </c>
      <c r="BC121" s="47">
        <f>IF($E121=BC$3,$G121,0)-IF($H121=BC$3,$J121,0)</f>
        <v/>
      </c>
      <c r="BD121" s="47">
        <f>IF($E121=BD$3,$G121,0)-IF($H121=BD$3,$J121,0)</f>
        <v/>
      </c>
      <c r="BE121" s="47">
        <f>IF($E121=BE$3,$G121,0)-IF($H121=BE$3,$J121,0)</f>
        <v/>
      </c>
      <c r="BF121" s="47">
        <f>IF($E121=BF$3,$G121,0)-IF($H121=BF$3,$J121,0)</f>
        <v/>
      </c>
      <c r="BG121" s="47">
        <f>IF($E121=BG$3,$G121,0)-IF($H121=BG$3,$J121,0)</f>
        <v/>
      </c>
      <c r="BH121" s="47">
        <f>IF($E121=BH$3,$G121,0)-IF($H121=BH$3,$J121,0)</f>
        <v/>
      </c>
      <c r="BI121" s="47">
        <f>IF($E121=BI$3,$G121,0)-IF($H121=BI$3,$J121,0)</f>
        <v/>
      </c>
      <c r="BJ121" s="47">
        <f>IF($E121=BJ$3,$G121,0)-IF($H121=BJ$3,$J121,0)</f>
        <v/>
      </c>
      <c r="BK121" s="47">
        <f>IF($E121=BK$3,$G121,0)-IF($H121=BK$3,$J121,0)</f>
        <v/>
      </c>
      <c r="BL121" s="46">
        <f>-IF($E121=BL$3,$G121,0)+IF($H121=BL$3,$J121,0)</f>
        <v/>
      </c>
      <c r="BM121" s="47">
        <f>-IF($E121=BM$3,$G121,0)+IF($H121=BM$3,$J121,0)</f>
        <v/>
      </c>
      <c r="BN121" s="47">
        <f>-IF($E121=BN$3,$G121,0)+IF($H121=BN$3,$J121,0)</f>
        <v/>
      </c>
      <c r="BO121" s="47">
        <f>-IF($E121=BO$3,$G121,0)+IF($H121=BO$3,$J121,0)</f>
        <v/>
      </c>
      <c r="BP121" s="47">
        <f>-IF($E121=BP$3,$G121,0)+IF($H121=BP$3,$J121,0)</f>
        <v/>
      </c>
      <c r="BQ121" s="47">
        <f>-IF($E121=BQ$3,$G121,0)+IF($H121=BQ$3,$J121,0)</f>
        <v/>
      </c>
      <c r="BR121" s="47">
        <f>-IF($E121=BR$3,$G121,0)+IF($H121=BR$3,$J121,0)</f>
        <v/>
      </c>
      <c r="BS121" s="47">
        <f>-IF($E121=BS$3,$G121,0)+IF($H121=BS$3,$J121,0)</f>
        <v/>
      </c>
      <c r="BT121" s="47">
        <f>-IF($E121=BT$3,$G121,0)+IF($H121=BT$3,$J121,0)</f>
        <v/>
      </c>
      <c r="BU121" s="46">
        <f>+G121-J121</f>
        <v/>
      </c>
      <c r="BV121" s="48">
        <f>-IF($E121=BV$3,$G121,0)+IF($H121=BV$3,$J121,0)</f>
        <v/>
      </c>
      <c r="BW121" s="3" t="n"/>
    </row>
    <row r="122" ht="15.75" customHeight="1" s="214">
      <c r="A122" s="7" t="n"/>
      <c r="B122" s="8" t="n"/>
      <c r="C122" s="9" t="n"/>
      <c r="D122" s="10" t="n"/>
      <c r="E122" s="247" t="n"/>
      <c r="F122" s="11">
        <f>IF(E122="","",IF(ISNA(VLOOKUP(E122,科目コード表!$C$4:$D$67,2,FALSE)),"該当科目なし",VLOOKUP(E122,科目コード表!$C$4:$D$67,2,FALSE)))</f>
        <v/>
      </c>
      <c r="G122" s="38" t="n"/>
      <c r="H122" s="248" t="n"/>
      <c r="I122" s="11">
        <f>IF(H122="","",IF(ISNA(VLOOKUP(H122,科目コード表!$C$4:$D$67,2,FALSE)),"該当科目なし",VLOOKUP(H122,科目コード表!$C$4:$D$67,2,FALSE)))</f>
        <v/>
      </c>
      <c r="J122" s="40" t="n"/>
      <c r="L122" s="46">
        <f>IF($E122=L$3,$G122,0)-IF($H122=L$3,$J122,0)</f>
        <v/>
      </c>
      <c r="M122" s="47">
        <f>IF($E122=M$3,$G122,0)-IF($H122=M$3,$J122,0)</f>
        <v/>
      </c>
      <c r="N122" s="47">
        <f>IF($E122=N$3,$G122,0)-IF($H122=N$3,$J122,0)</f>
        <v/>
      </c>
      <c r="O122" s="47">
        <f>IF($E122=O$3,$G122,0)-IF($H122=O$3,$J122,0)</f>
        <v/>
      </c>
      <c r="P122" s="47">
        <f>IF($E122=P$3,$G122,0)-IF($H122=P$3,$J122,0)</f>
        <v/>
      </c>
      <c r="Q122" s="47">
        <f>IF($E122=Q$3,$G122,0)-IF($H122=Q$3,$J122,0)</f>
        <v/>
      </c>
      <c r="R122" s="47">
        <f>IF($E122=R$3,$G122,0)-IF($H122=R$3,$J122,0)</f>
        <v/>
      </c>
      <c r="S122" s="47">
        <f>IF($E122=S$3,$G122,0)-IF($H122=S$3,$J122,0)</f>
        <v/>
      </c>
      <c r="T122" s="47">
        <f>IF($E122=T$3,$G122,0)-IF($H122=T$3,$J122,0)</f>
        <v/>
      </c>
      <c r="U122" s="47">
        <f>IF($E122=U$3,$G122,0)-IF($H122=U$3,$J122,0)</f>
        <v/>
      </c>
      <c r="V122" s="47">
        <f>IF($E122=V$3,$G122,0)-IF($H122=V$3,$J122,0)</f>
        <v/>
      </c>
      <c r="W122" s="47">
        <f>IF($E122=W$3,$G122,0)-IF($H122=W$3,$J122,0)</f>
        <v/>
      </c>
      <c r="X122" s="47">
        <f>IF($E122=X$3,$G122,0)-IF($H122=X$3,$J122,0)</f>
        <v/>
      </c>
      <c r="Y122" s="47">
        <f>IF($E122=Y$3,$G122,0)-IF($H122=Y$3,$J122,0)</f>
        <v/>
      </c>
      <c r="Z122" s="47">
        <f>IF($E122=Z$3,$G122,0)-IF($H122=Z$3,$J122,0)</f>
        <v/>
      </c>
      <c r="AA122" s="47">
        <f>IF($E122=AA$3,$G122,0)-IF($H122=AA$3,$J122,0)</f>
        <v/>
      </c>
      <c r="AB122" s="47">
        <f>IF($E122=AB$3,$G122,0)-IF($H122=AB$3,$J122,0)</f>
        <v/>
      </c>
      <c r="AC122" s="47">
        <f>IF($E122=AC$3,$G122,0)-IF($H122=AC$3,$J122,0)</f>
        <v/>
      </c>
      <c r="AD122" s="47">
        <f>IF($E122=AD$3,$G122,0)-IF($H122=AD$3,$J122,0)</f>
        <v/>
      </c>
      <c r="AE122" s="47">
        <f>IF($E122=AE$3,$G122,0)-IF($H122=AE$3,$J122,0)</f>
        <v/>
      </c>
      <c r="AF122" s="47">
        <f>IF($E122=AF$3,$G122,0)-IF($H122=AF$3,$J122,0)</f>
        <v/>
      </c>
      <c r="AG122" s="47">
        <f>IF($E122=AG$3,$G122,0)-IF($H122=AG$3,$J122,0)</f>
        <v/>
      </c>
      <c r="AH122" s="47">
        <f>IF($E122=AH$3,$G122,0)-IF($H122=AH$3,$J122,0)</f>
        <v/>
      </c>
      <c r="AI122" s="47">
        <f>IF($E122=AI$3,$G122,0)-IF($H122=AI$3,$J122,0)</f>
        <v/>
      </c>
      <c r="AJ122" s="47">
        <f>IF($E122=AJ$3,$G122,0)-IF($H122=AJ$3,$J122,0)</f>
        <v/>
      </c>
      <c r="AK122" s="47">
        <f>IF($E122=AK$3,$G122,0)-IF($H122=AK$3,$J122,0)</f>
        <v/>
      </c>
      <c r="AL122" s="48">
        <f>IF($E122=AL$3,$G122,0)-IF($H122=AL$3,$J122,0)</f>
        <v/>
      </c>
      <c r="AM122" s="46">
        <f>-IF($E122=AM$3,$G122,0)+IF($H122=AM$3,$J122,0)</f>
        <v/>
      </c>
      <c r="AN122" s="47">
        <f>-IF($E122=AN$3,$G122,0)+IF($H122=AN$3,$J122,0)</f>
        <v/>
      </c>
      <c r="AO122" s="48">
        <f>-IF($E122=AO$3,$G122,0)+IF($H122=AO$3,$J122,0)</f>
        <v/>
      </c>
      <c r="AP122" s="46">
        <f>IF($E122=AP$3,$G122,0)-IF($H122=AP$3,$J122,0)</f>
        <v/>
      </c>
      <c r="AQ122" s="47">
        <f>IF($E122=AQ$3,$G122,0)-IF($H122=AQ$3,$J122,0)</f>
        <v/>
      </c>
      <c r="AR122" s="47">
        <f>IF($E122=AR$3,$G122,0)-IF($H122=AR$3,$J122,0)</f>
        <v/>
      </c>
      <c r="AS122" s="47">
        <f>IF($E122=AS$3,$G122,0)-IF($H122=AS$3,$J122,0)</f>
        <v/>
      </c>
      <c r="AT122" s="47">
        <f>IF($E122=AT$3,$G122,0)-IF($H122=AT$3,$J122,0)</f>
        <v/>
      </c>
      <c r="AU122" s="47">
        <f>IF($E122=AU$3,$G122,0)-IF($H122=AU$3,$J122,0)</f>
        <v/>
      </c>
      <c r="AV122" s="47">
        <f>IF($E122=AV$3,$G122,0)-IF($H122=AV$3,$J122,0)</f>
        <v/>
      </c>
      <c r="AW122" s="47">
        <f>IF($E122=AW$3,$G122,0)-IF($H122=AW$3,$J122,0)</f>
        <v/>
      </c>
      <c r="AX122" s="47">
        <f>IF($E122=AX$3,$G122,0)-IF($H122=AX$3,$J122,0)</f>
        <v/>
      </c>
      <c r="AY122" s="47">
        <f>IF($E122=AY$3,$G122,0)-IF($H122=AY$3,$J122,0)</f>
        <v/>
      </c>
      <c r="AZ122" s="47">
        <f>IF($E122=AZ$3,$G122,0)-IF($H122=AZ$3,$J122,0)</f>
        <v/>
      </c>
      <c r="BA122" s="47">
        <f>IF($E122=BA$3,$G122,0)-IF($H122=BA$3,$J122,0)</f>
        <v/>
      </c>
      <c r="BB122" s="47">
        <f>IF($E122=BB$3,$G122,0)-IF($H122=BB$3,$J122,0)</f>
        <v/>
      </c>
      <c r="BC122" s="47">
        <f>IF($E122=BC$3,$G122,0)-IF($H122=BC$3,$J122,0)</f>
        <v/>
      </c>
      <c r="BD122" s="47">
        <f>IF($E122=BD$3,$G122,0)-IF($H122=BD$3,$J122,0)</f>
        <v/>
      </c>
      <c r="BE122" s="47">
        <f>IF($E122=BE$3,$G122,0)-IF($H122=BE$3,$J122,0)</f>
        <v/>
      </c>
      <c r="BF122" s="47">
        <f>IF($E122=BF$3,$G122,0)-IF($H122=BF$3,$J122,0)</f>
        <v/>
      </c>
      <c r="BG122" s="47">
        <f>IF($E122=BG$3,$G122,0)-IF($H122=BG$3,$J122,0)</f>
        <v/>
      </c>
      <c r="BH122" s="47">
        <f>IF($E122=BH$3,$G122,0)-IF($H122=BH$3,$J122,0)</f>
        <v/>
      </c>
      <c r="BI122" s="47">
        <f>IF($E122=BI$3,$G122,0)-IF($H122=BI$3,$J122,0)</f>
        <v/>
      </c>
      <c r="BJ122" s="47">
        <f>IF($E122=BJ$3,$G122,0)-IF($H122=BJ$3,$J122,0)</f>
        <v/>
      </c>
      <c r="BK122" s="47">
        <f>IF($E122=BK$3,$G122,0)-IF($H122=BK$3,$J122,0)</f>
        <v/>
      </c>
      <c r="BL122" s="46">
        <f>-IF($E122=BL$3,$G122,0)+IF($H122=BL$3,$J122,0)</f>
        <v/>
      </c>
      <c r="BM122" s="47">
        <f>-IF($E122=BM$3,$G122,0)+IF($H122=BM$3,$J122,0)</f>
        <v/>
      </c>
      <c r="BN122" s="47">
        <f>-IF($E122=BN$3,$G122,0)+IF($H122=BN$3,$J122,0)</f>
        <v/>
      </c>
      <c r="BO122" s="47">
        <f>-IF($E122=BO$3,$G122,0)+IF($H122=BO$3,$J122,0)</f>
        <v/>
      </c>
      <c r="BP122" s="47">
        <f>-IF($E122=BP$3,$G122,0)+IF($H122=BP$3,$J122,0)</f>
        <v/>
      </c>
      <c r="BQ122" s="47">
        <f>-IF($E122=BQ$3,$G122,0)+IF($H122=BQ$3,$J122,0)</f>
        <v/>
      </c>
      <c r="BR122" s="47">
        <f>-IF($E122=BR$3,$G122,0)+IF($H122=BR$3,$J122,0)</f>
        <v/>
      </c>
      <c r="BS122" s="47">
        <f>-IF($E122=BS$3,$G122,0)+IF($H122=BS$3,$J122,0)</f>
        <v/>
      </c>
      <c r="BT122" s="47">
        <f>-IF($E122=BT$3,$G122,0)+IF($H122=BT$3,$J122,0)</f>
        <v/>
      </c>
      <c r="BU122" s="46">
        <f>+G122-J122</f>
        <v/>
      </c>
      <c r="BV122" s="48">
        <f>-IF($E122=BV$3,$G122,0)+IF($H122=BV$3,$J122,0)</f>
        <v/>
      </c>
      <c r="BW122" s="3" t="n"/>
    </row>
    <row r="123" ht="15.75" customHeight="1" s="214">
      <c r="A123" s="7" t="n"/>
      <c r="B123" s="8" t="n"/>
      <c r="C123" s="9" t="n"/>
      <c r="D123" s="10" t="n"/>
      <c r="E123" s="247" t="n"/>
      <c r="F123" s="11">
        <f>IF(E123="","",IF(ISNA(VLOOKUP(E123,科目コード表!$C$4:$D$67,2,FALSE)),"該当科目なし",VLOOKUP(E123,科目コード表!$C$4:$D$67,2,FALSE)))</f>
        <v/>
      </c>
      <c r="G123" s="38" t="n"/>
      <c r="H123" s="248" t="n"/>
      <c r="I123" s="11">
        <f>IF(H123="","",IF(ISNA(VLOOKUP(H123,科目コード表!$C$4:$D$67,2,FALSE)),"該当科目なし",VLOOKUP(H123,科目コード表!$C$4:$D$67,2,FALSE)))</f>
        <v/>
      </c>
      <c r="J123" s="40" t="n"/>
      <c r="L123" s="46">
        <f>IF($E123=L$3,$G123,0)-IF($H123=L$3,$J123,0)</f>
        <v/>
      </c>
      <c r="M123" s="47">
        <f>IF($E123=M$3,$G123,0)-IF($H123=M$3,$J123,0)</f>
        <v/>
      </c>
      <c r="N123" s="47">
        <f>IF($E123=N$3,$G123,0)-IF($H123=N$3,$J123,0)</f>
        <v/>
      </c>
      <c r="O123" s="47">
        <f>IF($E123=O$3,$G123,0)-IF($H123=O$3,$J123,0)</f>
        <v/>
      </c>
      <c r="P123" s="47">
        <f>IF($E123=P$3,$G123,0)-IF($H123=P$3,$J123,0)</f>
        <v/>
      </c>
      <c r="Q123" s="47">
        <f>IF($E123=Q$3,$G123,0)-IF($H123=Q$3,$J123,0)</f>
        <v/>
      </c>
      <c r="R123" s="47">
        <f>IF($E123=R$3,$G123,0)-IF($H123=R$3,$J123,0)</f>
        <v/>
      </c>
      <c r="S123" s="47">
        <f>IF($E123=S$3,$G123,0)-IF($H123=S$3,$J123,0)</f>
        <v/>
      </c>
      <c r="T123" s="47">
        <f>IF($E123=T$3,$G123,0)-IF($H123=T$3,$J123,0)</f>
        <v/>
      </c>
      <c r="U123" s="47">
        <f>IF($E123=U$3,$G123,0)-IF($H123=U$3,$J123,0)</f>
        <v/>
      </c>
      <c r="V123" s="47">
        <f>IF($E123=V$3,$G123,0)-IF($H123=V$3,$J123,0)</f>
        <v/>
      </c>
      <c r="W123" s="47">
        <f>IF($E123=W$3,$G123,0)-IF($H123=W$3,$J123,0)</f>
        <v/>
      </c>
      <c r="X123" s="47">
        <f>IF($E123=X$3,$G123,0)-IF($H123=X$3,$J123,0)</f>
        <v/>
      </c>
      <c r="Y123" s="47">
        <f>IF($E123=Y$3,$G123,0)-IF($H123=Y$3,$J123,0)</f>
        <v/>
      </c>
      <c r="Z123" s="47">
        <f>IF($E123=Z$3,$G123,0)-IF($H123=Z$3,$J123,0)</f>
        <v/>
      </c>
      <c r="AA123" s="47">
        <f>IF($E123=AA$3,$G123,0)-IF($H123=AA$3,$J123,0)</f>
        <v/>
      </c>
      <c r="AB123" s="47">
        <f>IF($E123=AB$3,$G123,0)-IF($H123=AB$3,$J123,0)</f>
        <v/>
      </c>
      <c r="AC123" s="47">
        <f>IF($E123=AC$3,$G123,0)-IF($H123=AC$3,$J123,0)</f>
        <v/>
      </c>
      <c r="AD123" s="47">
        <f>IF($E123=AD$3,$G123,0)-IF($H123=AD$3,$J123,0)</f>
        <v/>
      </c>
      <c r="AE123" s="47">
        <f>IF($E123=AE$3,$G123,0)-IF($H123=AE$3,$J123,0)</f>
        <v/>
      </c>
      <c r="AF123" s="47">
        <f>IF($E123=AF$3,$G123,0)-IF($H123=AF$3,$J123,0)</f>
        <v/>
      </c>
      <c r="AG123" s="47">
        <f>IF($E123=AG$3,$G123,0)-IF($H123=AG$3,$J123,0)</f>
        <v/>
      </c>
      <c r="AH123" s="47">
        <f>IF($E123=AH$3,$G123,0)-IF($H123=AH$3,$J123,0)</f>
        <v/>
      </c>
      <c r="AI123" s="47">
        <f>IF($E123=AI$3,$G123,0)-IF($H123=AI$3,$J123,0)</f>
        <v/>
      </c>
      <c r="AJ123" s="47">
        <f>IF($E123=AJ$3,$G123,0)-IF($H123=AJ$3,$J123,0)</f>
        <v/>
      </c>
      <c r="AK123" s="47">
        <f>IF($E123=AK$3,$G123,0)-IF($H123=AK$3,$J123,0)</f>
        <v/>
      </c>
      <c r="AL123" s="48">
        <f>IF($E123=AL$3,$G123,0)-IF($H123=AL$3,$J123,0)</f>
        <v/>
      </c>
      <c r="AM123" s="46">
        <f>-IF($E123=AM$3,$G123,0)+IF($H123=AM$3,$J123,0)</f>
        <v/>
      </c>
      <c r="AN123" s="47">
        <f>-IF($E123=AN$3,$G123,0)+IF($H123=AN$3,$J123,0)</f>
        <v/>
      </c>
      <c r="AO123" s="48">
        <f>-IF($E123=AO$3,$G123,0)+IF($H123=AO$3,$J123,0)</f>
        <v/>
      </c>
      <c r="AP123" s="46">
        <f>IF($E123=AP$3,$G123,0)-IF($H123=AP$3,$J123,0)</f>
        <v/>
      </c>
      <c r="AQ123" s="47">
        <f>IF($E123=AQ$3,$G123,0)-IF($H123=AQ$3,$J123,0)</f>
        <v/>
      </c>
      <c r="AR123" s="47">
        <f>IF($E123=AR$3,$G123,0)-IF($H123=AR$3,$J123,0)</f>
        <v/>
      </c>
      <c r="AS123" s="47">
        <f>IF($E123=AS$3,$G123,0)-IF($H123=AS$3,$J123,0)</f>
        <v/>
      </c>
      <c r="AT123" s="47">
        <f>IF($E123=AT$3,$G123,0)-IF($H123=AT$3,$J123,0)</f>
        <v/>
      </c>
      <c r="AU123" s="47">
        <f>IF($E123=AU$3,$G123,0)-IF($H123=AU$3,$J123,0)</f>
        <v/>
      </c>
      <c r="AV123" s="47">
        <f>IF($E123=AV$3,$G123,0)-IF($H123=AV$3,$J123,0)</f>
        <v/>
      </c>
      <c r="AW123" s="47">
        <f>IF($E123=AW$3,$G123,0)-IF($H123=AW$3,$J123,0)</f>
        <v/>
      </c>
      <c r="AX123" s="47">
        <f>IF($E123=AX$3,$G123,0)-IF($H123=AX$3,$J123,0)</f>
        <v/>
      </c>
      <c r="AY123" s="47">
        <f>IF($E123=AY$3,$G123,0)-IF($H123=AY$3,$J123,0)</f>
        <v/>
      </c>
      <c r="AZ123" s="47">
        <f>IF($E123=AZ$3,$G123,0)-IF($H123=AZ$3,$J123,0)</f>
        <v/>
      </c>
      <c r="BA123" s="47">
        <f>IF($E123=BA$3,$G123,0)-IF($H123=BA$3,$J123,0)</f>
        <v/>
      </c>
      <c r="BB123" s="47">
        <f>IF($E123=BB$3,$G123,0)-IF($H123=BB$3,$J123,0)</f>
        <v/>
      </c>
      <c r="BC123" s="47">
        <f>IF($E123=BC$3,$G123,0)-IF($H123=BC$3,$J123,0)</f>
        <v/>
      </c>
      <c r="BD123" s="47">
        <f>IF($E123=BD$3,$G123,0)-IF($H123=BD$3,$J123,0)</f>
        <v/>
      </c>
      <c r="BE123" s="47">
        <f>IF($E123=BE$3,$G123,0)-IF($H123=BE$3,$J123,0)</f>
        <v/>
      </c>
      <c r="BF123" s="47">
        <f>IF($E123=BF$3,$G123,0)-IF($H123=BF$3,$J123,0)</f>
        <v/>
      </c>
      <c r="BG123" s="47">
        <f>IF($E123=BG$3,$G123,0)-IF($H123=BG$3,$J123,0)</f>
        <v/>
      </c>
      <c r="BH123" s="47">
        <f>IF($E123=BH$3,$G123,0)-IF($H123=BH$3,$J123,0)</f>
        <v/>
      </c>
      <c r="BI123" s="47">
        <f>IF($E123=BI$3,$G123,0)-IF($H123=BI$3,$J123,0)</f>
        <v/>
      </c>
      <c r="BJ123" s="47">
        <f>IF($E123=BJ$3,$G123,0)-IF($H123=BJ$3,$J123,0)</f>
        <v/>
      </c>
      <c r="BK123" s="47">
        <f>IF($E123=BK$3,$G123,0)-IF($H123=BK$3,$J123,0)</f>
        <v/>
      </c>
      <c r="BL123" s="46">
        <f>-IF($E123=BL$3,$G123,0)+IF($H123=BL$3,$J123,0)</f>
        <v/>
      </c>
      <c r="BM123" s="47">
        <f>-IF($E123=BM$3,$G123,0)+IF($H123=BM$3,$J123,0)</f>
        <v/>
      </c>
      <c r="BN123" s="47">
        <f>-IF($E123=BN$3,$G123,0)+IF($H123=BN$3,$J123,0)</f>
        <v/>
      </c>
      <c r="BO123" s="47">
        <f>-IF($E123=BO$3,$G123,0)+IF($H123=BO$3,$J123,0)</f>
        <v/>
      </c>
      <c r="BP123" s="47">
        <f>-IF($E123=BP$3,$G123,0)+IF($H123=BP$3,$J123,0)</f>
        <v/>
      </c>
      <c r="BQ123" s="47">
        <f>-IF($E123=BQ$3,$G123,0)+IF($H123=BQ$3,$J123,0)</f>
        <v/>
      </c>
      <c r="BR123" s="47">
        <f>-IF($E123=BR$3,$G123,0)+IF($H123=BR$3,$J123,0)</f>
        <v/>
      </c>
      <c r="BS123" s="47">
        <f>-IF($E123=BS$3,$G123,0)+IF($H123=BS$3,$J123,0)</f>
        <v/>
      </c>
      <c r="BT123" s="47">
        <f>-IF($E123=BT$3,$G123,0)+IF($H123=BT$3,$J123,0)</f>
        <v/>
      </c>
      <c r="BU123" s="46">
        <f>+G123-J123</f>
        <v/>
      </c>
      <c r="BV123" s="48">
        <f>-IF($E123=BV$3,$G123,0)+IF($H123=BV$3,$J123,0)</f>
        <v/>
      </c>
      <c r="BW123" s="3" t="n"/>
    </row>
    <row r="124" ht="15.75" customHeight="1" s="214">
      <c r="A124" s="7" t="n"/>
      <c r="B124" s="8" t="n"/>
      <c r="C124" s="9" t="n"/>
      <c r="D124" s="10" t="n"/>
      <c r="E124" s="247" t="n"/>
      <c r="F124" s="11">
        <f>IF(E124="","",IF(ISNA(VLOOKUP(E124,科目コード表!$C$4:$D$67,2,FALSE)),"該当科目なし",VLOOKUP(E124,科目コード表!$C$4:$D$67,2,FALSE)))</f>
        <v/>
      </c>
      <c r="G124" s="38" t="n"/>
      <c r="H124" s="248" t="n"/>
      <c r="I124" s="11">
        <f>IF(H124="","",IF(ISNA(VLOOKUP(H124,科目コード表!$C$4:$D$67,2,FALSE)),"該当科目なし",VLOOKUP(H124,科目コード表!$C$4:$D$67,2,FALSE)))</f>
        <v/>
      </c>
      <c r="J124" s="40" t="n"/>
      <c r="L124" s="46">
        <f>IF($E124=L$3,$G124,0)-IF($H124=L$3,$J124,0)</f>
        <v/>
      </c>
      <c r="M124" s="47">
        <f>IF($E124=M$3,$G124,0)-IF($H124=M$3,$J124,0)</f>
        <v/>
      </c>
      <c r="N124" s="47">
        <f>IF($E124=N$3,$G124,0)-IF($H124=N$3,$J124,0)</f>
        <v/>
      </c>
      <c r="O124" s="47">
        <f>IF($E124=O$3,$G124,0)-IF($H124=O$3,$J124,0)</f>
        <v/>
      </c>
      <c r="P124" s="47">
        <f>IF($E124=P$3,$G124,0)-IF($H124=P$3,$J124,0)</f>
        <v/>
      </c>
      <c r="Q124" s="47">
        <f>IF($E124=Q$3,$G124,0)-IF($H124=Q$3,$J124,0)</f>
        <v/>
      </c>
      <c r="R124" s="47">
        <f>IF($E124=R$3,$G124,0)-IF($H124=R$3,$J124,0)</f>
        <v/>
      </c>
      <c r="S124" s="47">
        <f>IF($E124=S$3,$G124,0)-IF($H124=S$3,$J124,0)</f>
        <v/>
      </c>
      <c r="T124" s="47">
        <f>IF($E124=T$3,$G124,0)-IF($H124=T$3,$J124,0)</f>
        <v/>
      </c>
      <c r="U124" s="47">
        <f>IF($E124=U$3,$G124,0)-IF($H124=U$3,$J124,0)</f>
        <v/>
      </c>
      <c r="V124" s="47">
        <f>IF($E124=V$3,$G124,0)-IF($H124=V$3,$J124,0)</f>
        <v/>
      </c>
      <c r="W124" s="47">
        <f>IF($E124=W$3,$G124,0)-IF($H124=W$3,$J124,0)</f>
        <v/>
      </c>
      <c r="X124" s="47">
        <f>IF($E124=X$3,$G124,0)-IF($H124=X$3,$J124,0)</f>
        <v/>
      </c>
      <c r="Y124" s="47">
        <f>IF($E124=Y$3,$G124,0)-IF($H124=Y$3,$J124,0)</f>
        <v/>
      </c>
      <c r="Z124" s="47">
        <f>IF($E124=Z$3,$G124,0)-IF($H124=Z$3,$J124,0)</f>
        <v/>
      </c>
      <c r="AA124" s="47">
        <f>IF($E124=AA$3,$G124,0)-IF($H124=AA$3,$J124,0)</f>
        <v/>
      </c>
      <c r="AB124" s="47">
        <f>IF($E124=AB$3,$G124,0)-IF($H124=AB$3,$J124,0)</f>
        <v/>
      </c>
      <c r="AC124" s="47">
        <f>IF($E124=AC$3,$G124,0)-IF($H124=AC$3,$J124,0)</f>
        <v/>
      </c>
      <c r="AD124" s="47">
        <f>IF($E124=AD$3,$G124,0)-IF($H124=AD$3,$J124,0)</f>
        <v/>
      </c>
      <c r="AE124" s="47">
        <f>IF($E124=AE$3,$G124,0)-IF($H124=AE$3,$J124,0)</f>
        <v/>
      </c>
      <c r="AF124" s="47">
        <f>IF($E124=AF$3,$G124,0)-IF($H124=AF$3,$J124,0)</f>
        <v/>
      </c>
      <c r="AG124" s="47">
        <f>IF($E124=AG$3,$G124,0)-IF($H124=AG$3,$J124,0)</f>
        <v/>
      </c>
      <c r="AH124" s="47">
        <f>IF($E124=AH$3,$G124,0)-IF($H124=AH$3,$J124,0)</f>
        <v/>
      </c>
      <c r="AI124" s="47">
        <f>IF($E124=AI$3,$G124,0)-IF($H124=AI$3,$J124,0)</f>
        <v/>
      </c>
      <c r="AJ124" s="47">
        <f>IF($E124=AJ$3,$G124,0)-IF($H124=AJ$3,$J124,0)</f>
        <v/>
      </c>
      <c r="AK124" s="47">
        <f>IF($E124=AK$3,$G124,0)-IF($H124=AK$3,$J124,0)</f>
        <v/>
      </c>
      <c r="AL124" s="48">
        <f>IF($E124=AL$3,$G124,0)-IF($H124=AL$3,$J124,0)</f>
        <v/>
      </c>
      <c r="AM124" s="46">
        <f>-IF($E124=AM$3,$G124,0)+IF($H124=AM$3,$J124,0)</f>
        <v/>
      </c>
      <c r="AN124" s="47">
        <f>-IF($E124=AN$3,$G124,0)+IF($H124=AN$3,$J124,0)</f>
        <v/>
      </c>
      <c r="AO124" s="48">
        <f>-IF($E124=AO$3,$G124,0)+IF($H124=AO$3,$J124,0)</f>
        <v/>
      </c>
      <c r="AP124" s="46">
        <f>IF($E124=AP$3,$G124,0)-IF($H124=AP$3,$J124,0)</f>
        <v/>
      </c>
      <c r="AQ124" s="47">
        <f>IF($E124=AQ$3,$G124,0)-IF($H124=AQ$3,$J124,0)</f>
        <v/>
      </c>
      <c r="AR124" s="47">
        <f>IF($E124=AR$3,$G124,0)-IF($H124=AR$3,$J124,0)</f>
        <v/>
      </c>
      <c r="AS124" s="47">
        <f>IF($E124=AS$3,$G124,0)-IF($H124=AS$3,$J124,0)</f>
        <v/>
      </c>
      <c r="AT124" s="47">
        <f>IF($E124=AT$3,$G124,0)-IF($H124=AT$3,$J124,0)</f>
        <v/>
      </c>
      <c r="AU124" s="47">
        <f>IF($E124=AU$3,$G124,0)-IF($H124=AU$3,$J124,0)</f>
        <v/>
      </c>
      <c r="AV124" s="47">
        <f>IF($E124=AV$3,$G124,0)-IF($H124=AV$3,$J124,0)</f>
        <v/>
      </c>
      <c r="AW124" s="47">
        <f>IF($E124=AW$3,$G124,0)-IF($H124=AW$3,$J124,0)</f>
        <v/>
      </c>
      <c r="AX124" s="47">
        <f>IF($E124=AX$3,$G124,0)-IF($H124=AX$3,$J124,0)</f>
        <v/>
      </c>
      <c r="AY124" s="47">
        <f>IF($E124=AY$3,$G124,0)-IF($H124=AY$3,$J124,0)</f>
        <v/>
      </c>
      <c r="AZ124" s="47">
        <f>IF($E124=AZ$3,$G124,0)-IF($H124=AZ$3,$J124,0)</f>
        <v/>
      </c>
      <c r="BA124" s="47">
        <f>IF($E124=BA$3,$G124,0)-IF($H124=BA$3,$J124,0)</f>
        <v/>
      </c>
      <c r="BB124" s="47">
        <f>IF($E124=BB$3,$G124,0)-IF($H124=BB$3,$J124,0)</f>
        <v/>
      </c>
      <c r="BC124" s="47">
        <f>IF($E124=BC$3,$G124,0)-IF($H124=BC$3,$J124,0)</f>
        <v/>
      </c>
      <c r="BD124" s="47">
        <f>IF($E124=BD$3,$G124,0)-IF($H124=BD$3,$J124,0)</f>
        <v/>
      </c>
      <c r="BE124" s="47">
        <f>IF($E124=BE$3,$G124,0)-IF($H124=BE$3,$J124,0)</f>
        <v/>
      </c>
      <c r="BF124" s="47">
        <f>IF($E124=BF$3,$G124,0)-IF($H124=BF$3,$J124,0)</f>
        <v/>
      </c>
      <c r="BG124" s="47">
        <f>IF($E124=BG$3,$G124,0)-IF($H124=BG$3,$J124,0)</f>
        <v/>
      </c>
      <c r="BH124" s="47">
        <f>IF($E124=BH$3,$G124,0)-IF($H124=BH$3,$J124,0)</f>
        <v/>
      </c>
      <c r="BI124" s="47">
        <f>IF($E124=BI$3,$G124,0)-IF($H124=BI$3,$J124,0)</f>
        <v/>
      </c>
      <c r="BJ124" s="47">
        <f>IF($E124=BJ$3,$G124,0)-IF($H124=BJ$3,$J124,0)</f>
        <v/>
      </c>
      <c r="BK124" s="47">
        <f>IF($E124=BK$3,$G124,0)-IF($H124=BK$3,$J124,0)</f>
        <v/>
      </c>
      <c r="BL124" s="46">
        <f>-IF($E124=BL$3,$G124,0)+IF($H124=BL$3,$J124,0)</f>
        <v/>
      </c>
      <c r="BM124" s="47">
        <f>-IF($E124=BM$3,$G124,0)+IF($H124=BM$3,$J124,0)</f>
        <v/>
      </c>
      <c r="BN124" s="47">
        <f>-IF($E124=BN$3,$G124,0)+IF($H124=BN$3,$J124,0)</f>
        <v/>
      </c>
      <c r="BO124" s="47">
        <f>-IF($E124=BO$3,$G124,0)+IF($H124=BO$3,$J124,0)</f>
        <v/>
      </c>
      <c r="BP124" s="47">
        <f>-IF($E124=BP$3,$G124,0)+IF($H124=BP$3,$J124,0)</f>
        <v/>
      </c>
      <c r="BQ124" s="47">
        <f>-IF($E124=BQ$3,$G124,0)+IF($H124=BQ$3,$J124,0)</f>
        <v/>
      </c>
      <c r="BR124" s="47">
        <f>-IF($E124=BR$3,$G124,0)+IF($H124=BR$3,$J124,0)</f>
        <v/>
      </c>
      <c r="BS124" s="47">
        <f>-IF($E124=BS$3,$G124,0)+IF($H124=BS$3,$J124,0)</f>
        <v/>
      </c>
      <c r="BT124" s="47">
        <f>-IF($E124=BT$3,$G124,0)+IF($H124=BT$3,$J124,0)</f>
        <v/>
      </c>
      <c r="BU124" s="46">
        <f>+G124-J124</f>
        <v/>
      </c>
      <c r="BV124" s="48">
        <f>-IF($E124=BV$3,$G124,0)+IF($H124=BV$3,$J124,0)</f>
        <v/>
      </c>
      <c r="BW124" s="3" t="n"/>
    </row>
    <row r="125" ht="15.75" customHeight="1" s="214">
      <c r="A125" s="7" t="n"/>
      <c r="B125" s="8" t="n"/>
      <c r="C125" s="9" t="n"/>
      <c r="D125" s="10" t="n"/>
      <c r="E125" s="247" t="n"/>
      <c r="F125" s="11">
        <f>IF(E125="","",IF(ISNA(VLOOKUP(E125,科目コード表!$C$4:$D$67,2,FALSE)),"該当科目なし",VLOOKUP(E125,科目コード表!$C$4:$D$67,2,FALSE)))</f>
        <v/>
      </c>
      <c r="G125" s="38" t="n"/>
      <c r="H125" s="248" t="n"/>
      <c r="I125" s="11">
        <f>IF(H125="","",IF(ISNA(VLOOKUP(H125,科目コード表!$C$4:$D$67,2,FALSE)),"該当科目なし",VLOOKUP(H125,科目コード表!$C$4:$D$67,2,FALSE)))</f>
        <v/>
      </c>
      <c r="J125" s="40" t="n"/>
      <c r="L125" s="46">
        <f>IF($E125=L$3,$G125,0)-IF($H125=L$3,$J125,0)</f>
        <v/>
      </c>
      <c r="M125" s="47">
        <f>IF($E125=M$3,$G125,0)-IF($H125=M$3,$J125,0)</f>
        <v/>
      </c>
      <c r="N125" s="47">
        <f>IF($E125=N$3,$G125,0)-IF($H125=N$3,$J125,0)</f>
        <v/>
      </c>
      <c r="O125" s="47">
        <f>IF($E125=O$3,$G125,0)-IF($H125=O$3,$J125,0)</f>
        <v/>
      </c>
      <c r="P125" s="47">
        <f>IF($E125=P$3,$G125,0)-IF($H125=P$3,$J125,0)</f>
        <v/>
      </c>
      <c r="Q125" s="47">
        <f>IF($E125=Q$3,$G125,0)-IF($H125=Q$3,$J125,0)</f>
        <v/>
      </c>
      <c r="R125" s="47">
        <f>IF($E125=R$3,$G125,0)-IF($H125=R$3,$J125,0)</f>
        <v/>
      </c>
      <c r="S125" s="47">
        <f>IF($E125=S$3,$G125,0)-IF($H125=S$3,$J125,0)</f>
        <v/>
      </c>
      <c r="T125" s="47">
        <f>IF($E125=T$3,$G125,0)-IF($H125=T$3,$J125,0)</f>
        <v/>
      </c>
      <c r="U125" s="47">
        <f>IF($E125=U$3,$G125,0)-IF($H125=U$3,$J125,0)</f>
        <v/>
      </c>
      <c r="V125" s="47">
        <f>IF($E125=V$3,$G125,0)-IF($H125=V$3,$J125,0)</f>
        <v/>
      </c>
      <c r="W125" s="47">
        <f>IF($E125=W$3,$G125,0)-IF($H125=W$3,$J125,0)</f>
        <v/>
      </c>
      <c r="X125" s="47">
        <f>IF($E125=X$3,$G125,0)-IF($H125=X$3,$J125,0)</f>
        <v/>
      </c>
      <c r="Y125" s="47">
        <f>IF($E125=Y$3,$G125,0)-IF($H125=Y$3,$J125,0)</f>
        <v/>
      </c>
      <c r="Z125" s="47">
        <f>IF($E125=Z$3,$G125,0)-IF($H125=Z$3,$J125,0)</f>
        <v/>
      </c>
      <c r="AA125" s="47">
        <f>IF($E125=AA$3,$G125,0)-IF($H125=AA$3,$J125,0)</f>
        <v/>
      </c>
      <c r="AB125" s="47">
        <f>IF($E125=AB$3,$G125,0)-IF($H125=AB$3,$J125,0)</f>
        <v/>
      </c>
      <c r="AC125" s="47">
        <f>IF($E125=AC$3,$G125,0)-IF($H125=AC$3,$J125,0)</f>
        <v/>
      </c>
      <c r="AD125" s="47">
        <f>IF($E125=AD$3,$G125,0)-IF($H125=AD$3,$J125,0)</f>
        <v/>
      </c>
      <c r="AE125" s="47">
        <f>IF($E125=AE$3,$G125,0)-IF($H125=AE$3,$J125,0)</f>
        <v/>
      </c>
      <c r="AF125" s="47">
        <f>IF($E125=AF$3,$G125,0)-IF($H125=AF$3,$J125,0)</f>
        <v/>
      </c>
      <c r="AG125" s="47">
        <f>IF($E125=AG$3,$G125,0)-IF($H125=AG$3,$J125,0)</f>
        <v/>
      </c>
      <c r="AH125" s="47">
        <f>IF($E125=AH$3,$G125,0)-IF($H125=AH$3,$J125,0)</f>
        <v/>
      </c>
      <c r="AI125" s="47">
        <f>IF($E125=AI$3,$G125,0)-IF($H125=AI$3,$J125,0)</f>
        <v/>
      </c>
      <c r="AJ125" s="47">
        <f>IF($E125=AJ$3,$G125,0)-IF($H125=AJ$3,$J125,0)</f>
        <v/>
      </c>
      <c r="AK125" s="47">
        <f>IF($E125=AK$3,$G125,0)-IF($H125=AK$3,$J125,0)</f>
        <v/>
      </c>
      <c r="AL125" s="48">
        <f>IF($E125=AL$3,$G125,0)-IF($H125=AL$3,$J125,0)</f>
        <v/>
      </c>
      <c r="AM125" s="46">
        <f>-IF($E125=AM$3,$G125,0)+IF($H125=AM$3,$J125,0)</f>
        <v/>
      </c>
      <c r="AN125" s="47">
        <f>-IF($E125=AN$3,$G125,0)+IF($H125=AN$3,$J125,0)</f>
        <v/>
      </c>
      <c r="AO125" s="48">
        <f>-IF($E125=AO$3,$G125,0)+IF($H125=AO$3,$J125,0)</f>
        <v/>
      </c>
      <c r="AP125" s="46">
        <f>IF($E125=AP$3,$G125,0)-IF($H125=AP$3,$J125,0)</f>
        <v/>
      </c>
      <c r="AQ125" s="47">
        <f>IF($E125=AQ$3,$G125,0)-IF($H125=AQ$3,$J125,0)</f>
        <v/>
      </c>
      <c r="AR125" s="47">
        <f>IF($E125=AR$3,$G125,0)-IF($H125=AR$3,$J125,0)</f>
        <v/>
      </c>
      <c r="AS125" s="47">
        <f>IF($E125=AS$3,$G125,0)-IF($H125=AS$3,$J125,0)</f>
        <v/>
      </c>
      <c r="AT125" s="47">
        <f>IF($E125=AT$3,$G125,0)-IF($H125=AT$3,$J125,0)</f>
        <v/>
      </c>
      <c r="AU125" s="47">
        <f>IF($E125=AU$3,$G125,0)-IF($H125=AU$3,$J125,0)</f>
        <v/>
      </c>
      <c r="AV125" s="47">
        <f>IF($E125=AV$3,$G125,0)-IF($H125=AV$3,$J125,0)</f>
        <v/>
      </c>
      <c r="AW125" s="47">
        <f>IF($E125=AW$3,$G125,0)-IF($H125=AW$3,$J125,0)</f>
        <v/>
      </c>
      <c r="AX125" s="47">
        <f>IF($E125=AX$3,$G125,0)-IF($H125=AX$3,$J125,0)</f>
        <v/>
      </c>
      <c r="AY125" s="47">
        <f>IF($E125=AY$3,$G125,0)-IF($H125=AY$3,$J125,0)</f>
        <v/>
      </c>
      <c r="AZ125" s="47">
        <f>IF($E125=AZ$3,$G125,0)-IF($H125=AZ$3,$J125,0)</f>
        <v/>
      </c>
      <c r="BA125" s="47">
        <f>IF($E125=BA$3,$G125,0)-IF($H125=BA$3,$J125,0)</f>
        <v/>
      </c>
      <c r="BB125" s="47">
        <f>IF($E125=BB$3,$G125,0)-IF($H125=BB$3,$J125,0)</f>
        <v/>
      </c>
      <c r="BC125" s="47">
        <f>IF($E125=BC$3,$G125,0)-IF($H125=BC$3,$J125,0)</f>
        <v/>
      </c>
      <c r="BD125" s="47">
        <f>IF($E125=BD$3,$G125,0)-IF($H125=BD$3,$J125,0)</f>
        <v/>
      </c>
      <c r="BE125" s="47">
        <f>IF($E125=BE$3,$G125,0)-IF($H125=BE$3,$J125,0)</f>
        <v/>
      </c>
      <c r="BF125" s="47">
        <f>IF($E125=BF$3,$G125,0)-IF($H125=BF$3,$J125,0)</f>
        <v/>
      </c>
      <c r="BG125" s="47">
        <f>IF($E125=BG$3,$G125,0)-IF($H125=BG$3,$J125,0)</f>
        <v/>
      </c>
      <c r="BH125" s="47">
        <f>IF($E125=BH$3,$G125,0)-IF($H125=BH$3,$J125,0)</f>
        <v/>
      </c>
      <c r="BI125" s="47">
        <f>IF($E125=BI$3,$G125,0)-IF($H125=BI$3,$J125,0)</f>
        <v/>
      </c>
      <c r="BJ125" s="47">
        <f>IF($E125=BJ$3,$G125,0)-IF($H125=BJ$3,$J125,0)</f>
        <v/>
      </c>
      <c r="BK125" s="47">
        <f>IF($E125=BK$3,$G125,0)-IF($H125=BK$3,$J125,0)</f>
        <v/>
      </c>
      <c r="BL125" s="46">
        <f>-IF($E125=BL$3,$G125,0)+IF($H125=BL$3,$J125,0)</f>
        <v/>
      </c>
      <c r="BM125" s="47">
        <f>-IF($E125=BM$3,$G125,0)+IF($H125=BM$3,$J125,0)</f>
        <v/>
      </c>
      <c r="BN125" s="47">
        <f>-IF($E125=BN$3,$G125,0)+IF($H125=BN$3,$J125,0)</f>
        <v/>
      </c>
      <c r="BO125" s="47">
        <f>-IF($E125=BO$3,$G125,0)+IF($H125=BO$3,$J125,0)</f>
        <v/>
      </c>
      <c r="BP125" s="47">
        <f>-IF($E125=BP$3,$G125,0)+IF($H125=BP$3,$J125,0)</f>
        <v/>
      </c>
      <c r="BQ125" s="47">
        <f>-IF($E125=BQ$3,$G125,0)+IF($H125=BQ$3,$J125,0)</f>
        <v/>
      </c>
      <c r="BR125" s="47">
        <f>-IF($E125=BR$3,$G125,0)+IF($H125=BR$3,$J125,0)</f>
        <v/>
      </c>
      <c r="BS125" s="47">
        <f>-IF($E125=BS$3,$G125,0)+IF($H125=BS$3,$J125,0)</f>
        <v/>
      </c>
      <c r="BT125" s="47">
        <f>-IF($E125=BT$3,$G125,0)+IF($H125=BT$3,$J125,0)</f>
        <v/>
      </c>
      <c r="BU125" s="46">
        <f>+G125-J125</f>
        <v/>
      </c>
      <c r="BV125" s="48">
        <f>-IF($E125=BV$3,$G125,0)+IF($H125=BV$3,$J125,0)</f>
        <v/>
      </c>
      <c r="BW125" s="3" t="n"/>
    </row>
    <row r="126" ht="15.75" customHeight="1" s="214">
      <c r="A126" s="7" t="n"/>
      <c r="B126" s="8" t="n"/>
      <c r="C126" s="9" t="n"/>
      <c r="D126" s="10" t="n"/>
      <c r="E126" s="247" t="n"/>
      <c r="F126" s="11">
        <f>IF(E126="","",IF(ISNA(VLOOKUP(E126,科目コード表!$C$4:$D$67,2,FALSE)),"該当科目なし",VLOOKUP(E126,科目コード表!$C$4:$D$67,2,FALSE)))</f>
        <v/>
      </c>
      <c r="G126" s="38" t="n"/>
      <c r="H126" s="248" t="n"/>
      <c r="I126" s="11">
        <f>IF(H126="","",IF(ISNA(VLOOKUP(H126,科目コード表!$C$4:$D$67,2,FALSE)),"該当科目なし",VLOOKUP(H126,科目コード表!$C$4:$D$67,2,FALSE)))</f>
        <v/>
      </c>
      <c r="J126" s="40" t="n"/>
      <c r="L126" s="46">
        <f>IF($E126=L$3,$G126,0)-IF($H126=L$3,$J126,0)</f>
        <v/>
      </c>
      <c r="M126" s="47">
        <f>IF($E126=M$3,$G126,0)-IF($H126=M$3,$J126,0)</f>
        <v/>
      </c>
      <c r="N126" s="47">
        <f>IF($E126=N$3,$G126,0)-IF($H126=N$3,$J126,0)</f>
        <v/>
      </c>
      <c r="O126" s="47">
        <f>IF($E126=O$3,$G126,0)-IF($H126=O$3,$J126,0)</f>
        <v/>
      </c>
      <c r="P126" s="47">
        <f>IF($E126=P$3,$G126,0)-IF($H126=P$3,$J126,0)</f>
        <v/>
      </c>
      <c r="Q126" s="47">
        <f>IF($E126=Q$3,$G126,0)-IF($H126=Q$3,$J126,0)</f>
        <v/>
      </c>
      <c r="R126" s="47">
        <f>IF($E126=R$3,$G126,0)-IF($H126=R$3,$J126,0)</f>
        <v/>
      </c>
      <c r="S126" s="47">
        <f>IF($E126=S$3,$G126,0)-IF($H126=S$3,$J126,0)</f>
        <v/>
      </c>
      <c r="T126" s="47">
        <f>IF($E126=T$3,$G126,0)-IF($H126=T$3,$J126,0)</f>
        <v/>
      </c>
      <c r="U126" s="47">
        <f>IF($E126=U$3,$G126,0)-IF($H126=U$3,$J126,0)</f>
        <v/>
      </c>
      <c r="V126" s="47">
        <f>IF($E126=V$3,$G126,0)-IF($H126=V$3,$J126,0)</f>
        <v/>
      </c>
      <c r="W126" s="47">
        <f>IF($E126=W$3,$G126,0)-IF($H126=W$3,$J126,0)</f>
        <v/>
      </c>
      <c r="X126" s="47">
        <f>IF($E126=X$3,$G126,0)-IF($H126=X$3,$J126,0)</f>
        <v/>
      </c>
      <c r="Y126" s="47">
        <f>IF($E126=Y$3,$G126,0)-IF($H126=Y$3,$J126,0)</f>
        <v/>
      </c>
      <c r="Z126" s="47">
        <f>IF($E126=Z$3,$G126,0)-IF($H126=Z$3,$J126,0)</f>
        <v/>
      </c>
      <c r="AA126" s="47">
        <f>IF($E126=AA$3,$G126,0)-IF($H126=AA$3,$J126,0)</f>
        <v/>
      </c>
      <c r="AB126" s="47">
        <f>IF($E126=AB$3,$G126,0)-IF($H126=AB$3,$J126,0)</f>
        <v/>
      </c>
      <c r="AC126" s="47">
        <f>IF($E126=AC$3,$G126,0)-IF($H126=AC$3,$J126,0)</f>
        <v/>
      </c>
      <c r="AD126" s="47">
        <f>IF($E126=AD$3,$G126,0)-IF($H126=AD$3,$J126,0)</f>
        <v/>
      </c>
      <c r="AE126" s="47">
        <f>IF($E126=AE$3,$G126,0)-IF($H126=AE$3,$J126,0)</f>
        <v/>
      </c>
      <c r="AF126" s="47">
        <f>IF($E126=AF$3,$G126,0)-IF($H126=AF$3,$J126,0)</f>
        <v/>
      </c>
      <c r="AG126" s="47">
        <f>IF($E126=AG$3,$G126,0)-IF($H126=AG$3,$J126,0)</f>
        <v/>
      </c>
      <c r="AH126" s="47">
        <f>IF($E126=AH$3,$G126,0)-IF($H126=AH$3,$J126,0)</f>
        <v/>
      </c>
      <c r="AI126" s="47">
        <f>IF($E126=AI$3,$G126,0)-IF($H126=AI$3,$J126,0)</f>
        <v/>
      </c>
      <c r="AJ126" s="47">
        <f>IF($E126=AJ$3,$G126,0)-IF($H126=AJ$3,$J126,0)</f>
        <v/>
      </c>
      <c r="AK126" s="47">
        <f>IF($E126=AK$3,$G126,0)-IF($H126=AK$3,$J126,0)</f>
        <v/>
      </c>
      <c r="AL126" s="48">
        <f>IF($E126=AL$3,$G126,0)-IF($H126=AL$3,$J126,0)</f>
        <v/>
      </c>
      <c r="AM126" s="46">
        <f>-IF($E126=AM$3,$G126,0)+IF($H126=AM$3,$J126,0)</f>
        <v/>
      </c>
      <c r="AN126" s="47">
        <f>-IF($E126=AN$3,$G126,0)+IF($H126=AN$3,$J126,0)</f>
        <v/>
      </c>
      <c r="AO126" s="48">
        <f>-IF($E126=AO$3,$G126,0)+IF($H126=AO$3,$J126,0)</f>
        <v/>
      </c>
      <c r="AP126" s="46">
        <f>IF($E126=AP$3,$G126,0)-IF($H126=AP$3,$J126,0)</f>
        <v/>
      </c>
      <c r="AQ126" s="47">
        <f>IF($E126=AQ$3,$G126,0)-IF($H126=AQ$3,$J126,0)</f>
        <v/>
      </c>
      <c r="AR126" s="47">
        <f>IF($E126=AR$3,$G126,0)-IF($H126=AR$3,$J126,0)</f>
        <v/>
      </c>
      <c r="AS126" s="47">
        <f>IF($E126=AS$3,$G126,0)-IF($H126=AS$3,$J126,0)</f>
        <v/>
      </c>
      <c r="AT126" s="47">
        <f>IF($E126=AT$3,$G126,0)-IF($H126=AT$3,$J126,0)</f>
        <v/>
      </c>
      <c r="AU126" s="47">
        <f>IF($E126=AU$3,$G126,0)-IF($H126=AU$3,$J126,0)</f>
        <v/>
      </c>
      <c r="AV126" s="47">
        <f>IF($E126=AV$3,$G126,0)-IF($H126=AV$3,$J126,0)</f>
        <v/>
      </c>
      <c r="AW126" s="47">
        <f>IF($E126=AW$3,$G126,0)-IF($H126=AW$3,$J126,0)</f>
        <v/>
      </c>
      <c r="AX126" s="47">
        <f>IF($E126=AX$3,$G126,0)-IF($H126=AX$3,$J126,0)</f>
        <v/>
      </c>
      <c r="AY126" s="47">
        <f>IF($E126=AY$3,$G126,0)-IF($H126=AY$3,$J126,0)</f>
        <v/>
      </c>
      <c r="AZ126" s="47">
        <f>IF($E126=AZ$3,$G126,0)-IF($H126=AZ$3,$J126,0)</f>
        <v/>
      </c>
      <c r="BA126" s="47">
        <f>IF($E126=BA$3,$G126,0)-IF($H126=BA$3,$J126,0)</f>
        <v/>
      </c>
      <c r="BB126" s="47">
        <f>IF($E126=BB$3,$G126,0)-IF($H126=BB$3,$J126,0)</f>
        <v/>
      </c>
      <c r="BC126" s="47">
        <f>IF($E126=BC$3,$G126,0)-IF($H126=BC$3,$J126,0)</f>
        <v/>
      </c>
      <c r="BD126" s="47">
        <f>IF($E126=BD$3,$G126,0)-IF($H126=BD$3,$J126,0)</f>
        <v/>
      </c>
      <c r="BE126" s="47">
        <f>IF($E126=BE$3,$G126,0)-IF($H126=BE$3,$J126,0)</f>
        <v/>
      </c>
      <c r="BF126" s="47">
        <f>IF($E126=BF$3,$G126,0)-IF($H126=BF$3,$J126,0)</f>
        <v/>
      </c>
      <c r="BG126" s="47">
        <f>IF($E126=BG$3,$G126,0)-IF($H126=BG$3,$J126,0)</f>
        <v/>
      </c>
      <c r="BH126" s="47">
        <f>IF($E126=BH$3,$G126,0)-IF($H126=BH$3,$J126,0)</f>
        <v/>
      </c>
      <c r="BI126" s="47">
        <f>IF($E126=BI$3,$G126,0)-IF($H126=BI$3,$J126,0)</f>
        <v/>
      </c>
      <c r="BJ126" s="47">
        <f>IF($E126=BJ$3,$G126,0)-IF($H126=BJ$3,$J126,0)</f>
        <v/>
      </c>
      <c r="BK126" s="47">
        <f>IF($E126=BK$3,$G126,0)-IF($H126=BK$3,$J126,0)</f>
        <v/>
      </c>
      <c r="BL126" s="46">
        <f>-IF($E126=BL$3,$G126,0)+IF($H126=BL$3,$J126,0)</f>
        <v/>
      </c>
      <c r="BM126" s="47">
        <f>-IF($E126=BM$3,$G126,0)+IF($H126=BM$3,$J126,0)</f>
        <v/>
      </c>
      <c r="BN126" s="47">
        <f>-IF($E126=BN$3,$G126,0)+IF($H126=BN$3,$J126,0)</f>
        <v/>
      </c>
      <c r="BO126" s="47">
        <f>-IF($E126=BO$3,$G126,0)+IF($H126=BO$3,$J126,0)</f>
        <v/>
      </c>
      <c r="BP126" s="47">
        <f>-IF($E126=BP$3,$G126,0)+IF($H126=BP$3,$J126,0)</f>
        <v/>
      </c>
      <c r="BQ126" s="47">
        <f>-IF($E126=BQ$3,$G126,0)+IF($H126=BQ$3,$J126,0)</f>
        <v/>
      </c>
      <c r="BR126" s="47">
        <f>-IF($E126=BR$3,$G126,0)+IF($H126=BR$3,$J126,0)</f>
        <v/>
      </c>
      <c r="BS126" s="47">
        <f>-IF($E126=BS$3,$G126,0)+IF($H126=BS$3,$J126,0)</f>
        <v/>
      </c>
      <c r="BT126" s="47">
        <f>-IF($E126=BT$3,$G126,0)+IF($H126=BT$3,$J126,0)</f>
        <v/>
      </c>
      <c r="BU126" s="46">
        <f>+G126-J126</f>
        <v/>
      </c>
      <c r="BV126" s="48">
        <f>-IF($E126=BV$3,$G126,0)+IF($H126=BV$3,$J126,0)</f>
        <v/>
      </c>
      <c r="BW126" s="3" t="n"/>
    </row>
    <row r="127" ht="15.75" customHeight="1" s="214">
      <c r="A127" s="7" t="n"/>
      <c r="B127" s="8" t="n"/>
      <c r="C127" s="9" t="n"/>
      <c r="D127" s="10" t="n"/>
      <c r="E127" s="247" t="n"/>
      <c r="F127" s="11">
        <f>IF(E127="","",IF(ISNA(VLOOKUP(E127,科目コード表!$C$4:$D$67,2,FALSE)),"該当科目なし",VLOOKUP(E127,科目コード表!$C$4:$D$67,2,FALSE)))</f>
        <v/>
      </c>
      <c r="G127" s="38" t="n"/>
      <c r="H127" s="248" t="n"/>
      <c r="I127" s="11">
        <f>IF(H127="","",IF(ISNA(VLOOKUP(H127,科目コード表!$C$4:$D$67,2,FALSE)),"該当科目なし",VLOOKUP(H127,科目コード表!$C$4:$D$67,2,FALSE)))</f>
        <v/>
      </c>
      <c r="J127" s="40" t="n"/>
      <c r="L127" s="46">
        <f>IF($E127=L$3,$G127,0)-IF($H127=L$3,$J127,0)</f>
        <v/>
      </c>
      <c r="M127" s="47">
        <f>IF($E127=M$3,$G127,0)-IF($H127=M$3,$J127,0)</f>
        <v/>
      </c>
      <c r="N127" s="47">
        <f>IF($E127=N$3,$G127,0)-IF($H127=N$3,$J127,0)</f>
        <v/>
      </c>
      <c r="O127" s="47">
        <f>IF($E127=O$3,$G127,0)-IF($H127=O$3,$J127,0)</f>
        <v/>
      </c>
      <c r="P127" s="47">
        <f>IF($E127=P$3,$G127,0)-IF($H127=P$3,$J127,0)</f>
        <v/>
      </c>
      <c r="Q127" s="47">
        <f>IF($E127=Q$3,$G127,0)-IF($H127=Q$3,$J127,0)</f>
        <v/>
      </c>
      <c r="R127" s="47">
        <f>IF($E127=R$3,$G127,0)-IF($H127=R$3,$J127,0)</f>
        <v/>
      </c>
      <c r="S127" s="47">
        <f>IF($E127=S$3,$G127,0)-IF($H127=S$3,$J127,0)</f>
        <v/>
      </c>
      <c r="T127" s="47">
        <f>IF($E127=T$3,$G127,0)-IF($H127=T$3,$J127,0)</f>
        <v/>
      </c>
      <c r="U127" s="47">
        <f>IF($E127=U$3,$G127,0)-IF($H127=U$3,$J127,0)</f>
        <v/>
      </c>
      <c r="V127" s="47">
        <f>IF($E127=V$3,$G127,0)-IF($H127=V$3,$J127,0)</f>
        <v/>
      </c>
      <c r="W127" s="47">
        <f>IF($E127=W$3,$G127,0)-IF($H127=W$3,$J127,0)</f>
        <v/>
      </c>
      <c r="X127" s="47">
        <f>IF($E127=X$3,$G127,0)-IF($H127=X$3,$J127,0)</f>
        <v/>
      </c>
      <c r="Y127" s="47">
        <f>IF($E127=Y$3,$G127,0)-IF($H127=Y$3,$J127,0)</f>
        <v/>
      </c>
      <c r="Z127" s="47">
        <f>IF($E127=Z$3,$G127,0)-IF($H127=Z$3,$J127,0)</f>
        <v/>
      </c>
      <c r="AA127" s="47">
        <f>IF($E127=AA$3,$G127,0)-IF($H127=AA$3,$J127,0)</f>
        <v/>
      </c>
      <c r="AB127" s="47">
        <f>IF($E127=AB$3,$G127,0)-IF($H127=AB$3,$J127,0)</f>
        <v/>
      </c>
      <c r="AC127" s="47">
        <f>IF($E127=AC$3,$G127,0)-IF($H127=AC$3,$J127,0)</f>
        <v/>
      </c>
      <c r="AD127" s="47">
        <f>IF($E127=AD$3,$G127,0)-IF($H127=AD$3,$J127,0)</f>
        <v/>
      </c>
      <c r="AE127" s="47">
        <f>IF($E127=AE$3,$G127,0)-IF($H127=AE$3,$J127,0)</f>
        <v/>
      </c>
      <c r="AF127" s="47">
        <f>IF($E127=AF$3,$G127,0)-IF($H127=AF$3,$J127,0)</f>
        <v/>
      </c>
      <c r="AG127" s="47">
        <f>IF($E127=AG$3,$G127,0)-IF($H127=AG$3,$J127,0)</f>
        <v/>
      </c>
      <c r="AH127" s="47">
        <f>IF($E127=AH$3,$G127,0)-IF($H127=AH$3,$J127,0)</f>
        <v/>
      </c>
      <c r="AI127" s="47">
        <f>IF($E127=AI$3,$G127,0)-IF($H127=AI$3,$J127,0)</f>
        <v/>
      </c>
      <c r="AJ127" s="47">
        <f>IF($E127=AJ$3,$G127,0)-IF($H127=AJ$3,$J127,0)</f>
        <v/>
      </c>
      <c r="AK127" s="47">
        <f>IF($E127=AK$3,$G127,0)-IF($H127=AK$3,$J127,0)</f>
        <v/>
      </c>
      <c r="AL127" s="48">
        <f>IF($E127=AL$3,$G127,0)-IF($H127=AL$3,$J127,0)</f>
        <v/>
      </c>
      <c r="AM127" s="46">
        <f>-IF($E127=AM$3,$G127,0)+IF($H127=AM$3,$J127,0)</f>
        <v/>
      </c>
      <c r="AN127" s="47">
        <f>-IF($E127=AN$3,$G127,0)+IF($H127=AN$3,$J127,0)</f>
        <v/>
      </c>
      <c r="AO127" s="48">
        <f>-IF($E127=AO$3,$G127,0)+IF($H127=AO$3,$J127,0)</f>
        <v/>
      </c>
      <c r="AP127" s="46">
        <f>IF($E127=AP$3,$G127,0)-IF($H127=AP$3,$J127,0)</f>
        <v/>
      </c>
      <c r="AQ127" s="47">
        <f>IF($E127=AQ$3,$G127,0)-IF($H127=AQ$3,$J127,0)</f>
        <v/>
      </c>
      <c r="AR127" s="47">
        <f>IF($E127=AR$3,$G127,0)-IF($H127=AR$3,$J127,0)</f>
        <v/>
      </c>
      <c r="AS127" s="47">
        <f>IF($E127=AS$3,$G127,0)-IF($H127=AS$3,$J127,0)</f>
        <v/>
      </c>
      <c r="AT127" s="47">
        <f>IF($E127=AT$3,$G127,0)-IF($H127=AT$3,$J127,0)</f>
        <v/>
      </c>
      <c r="AU127" s="47">
        <f>IF($E127=AU$3,$G127,0)-IF($H127=AU$3,$J127,0)</f>
        <v/>
      </c>
      <c r="AV127" s="47">
        <f>IF($E127=AV$3,$G127,0)-IF($H127=AV$3,$J127,0)</f>
        <v/>
      </c>
      <c r="AW127" s="47">
        <f>IF($E127=AW$3,$G127,0)-IF($H127=AW$3,$J127,0)</f>
        <v/>
      </c>
      <c r="AX127" s="47">
        <f>IF($E127=AX$3,$G127,0)-IF($H127=AX$3,$J127,0)</f>
        <v/>
      </c>
      <c r="AY127" s="47">
        <f>IF($E127=AY$3,$G127,0)-IF($H127=AY$3,$J127,0)</f>
        <v/>
      </c>
      <c r="AZ127" s="47">
        <f>IF($E127=AZ$3,$G127,0)-IF($H127=AZ$3,$J127,0)</f>
        <v/>
      </c>
      <c r="BA127" s="47">
        <f>IF($E127=BA$3,$G127,0)-IF($H127=BA$3,$J127,0)</f>
        <v/>
      </c>
      <c r="BB127" s="47">
        <f>IF($E127=BB$3,$G127,0)-IF($H127=BB$3,$J127,0)</f>
        <v/>
      </c>
      <c r="BC127" s="47">
        <f>IF($E127=BC$3,$G127,0)-IF($H127=BC$3,$J127,0)</f>
        <v/>
      </c>
      <c r="BD127" s="47">
        <f>IF($E127=BD$3,$G127,0)-IF($H127=BD$3,$J127,0)</f>
        <v/>
      </c>
      <c r="BE127" s="47">
        <f>IF($E127=BE$3,$G127,0)-IF($H127=BE$3,$J127,0)</f>
        <v/>
      </c>
      <c r="BF127" s="47">
        <f>IF($E127=BF$3,$G127,0)-IF($H127=BF$3,$J127,0)</f>
        <v/>
      </c>
      <c r="BG127" s="47">
        <f>IF($E127=BG$3,$G127,0)-IF($H127=BG$3,$J127,0)</f>
        <v/>
      </c>
      <c r="BH127" s="47">
        <f>IF($E127=BH$3,$G127,0)-IF($H127=BH$3,$J127,0)</f>
        <v/>
      </c>
      <c r="BI127" s="47">
        <f>IF($E127=BI$3,$G127,0)-IF($H127=BI$3,$J127,0)</f>
        <v/>
      </c>
      <c r="BJ127" s="47">
        <f>IF($E127=BJ$3,$G127,0)-IF($H127=BJ$3,$J127,0)</f>
        <v/>
      </c>
      <c r="BK127" s="47">
        <f>IF($E127=BK$3,$G127,0)-IF($H127=BK$3,$J127,0)</f>
        <v/>
      </c>
      <c r="BL127" s="46">
        <f>-IF($E127=BL$3,$G127,0)+IF($H127=BL$3,$J127,0)</f>
        <v/>
      </c>
      <c r="BM127" s="47">
        <f>-IF($E127=BM$3,$G127,0)+IF($H127=BM$3,$J127,0)</f>
        <v/>
      </c>
      <c r="BN127" s="47">
        <f>-IF($E127=BN$3,$G127,0)+IF($H127=BN$3,$J127,0)</f>
        <v/>
      </c>
      <c r="BO127" s="47">
        <f>-IF($E127=BO$3,$G127,0)+IF($H127=BO$3,$J127,0)</f>
        <v/>
      </c>
      <c r="BP127" s="47">
        <f>-IF($E127=BP$3,$G127,0)+IF($H127=BP$3,$J127,0)</f>
        <v/>
      </c>
      <c r="BQ127" s="47">
        <f>-IF($E127=BQ$3,$G127,0)+IF($H127=BQ$3,$J127,0)</f>
        <v/>
      </c>
      <c r="BR127" s="47">
        <f>-IF($E127=BR$3,$G127,0)+IF($H127=BR$3,$J127,0)</f>
        <v/>
      </c>
      <c r="BS127" s="47">
        <f>-IF($E127=BS$3,$G127,0)+IF($H127=BS$3,$J127,0)</f>
        <v/>
      </c>
      <c r="BT127" s="47">
        <f>-IF($E127=BT$3,$G127,0)+IF($H127=BT$3,$J127,0)</f>
        <v/>
      </c>
      <c r="BU127" s="46">
        <f>+G127-J127</f>
        <v/>
      </c>
      <c r="BV127" s="48">
        <f>-IF($E127=BV$3,$G127,0)+IF($H127=BV$3,$J127,0)</f>
        <v/>
      </c>
      <c r="BW127" s="3" t="n"/>
    </row>
    <row r="128" ht="15.75" customHeight="1" s="214">
      <c r="A128" s="7" t="n"/>
      <c r="B128" s="8" t="n"/>
      <c r="C128" s="9" t="n"/>
      <c r="D128" s="10" t="n"/>
      <c r="E128" s="247" t="n"/>
      <c r="F128" s="11">
        <f>IF(E128="","",IF(ISNA(VLOOKUP(E128,科目コード表!$C$4:$D$67,2,FALSE)),"該当科目なし",VLOOKUP(E128,科目コード表!$C$4:$D$67,2,FALSE)))</f>
        <v/>
      </c>
      <c r="G128" s="38" t="n"/>
      <c r="H128" s="248" t="n"/>
      <c r="I128" s="11">
        <f>IF(H128="","",IF(ISNA(VLOOKUP(H128,科目コード表!$C$4:$D$67,2,FALSE)),"該当科目なし",VLOOKUP(H128,科目コード表!$C$4:$D$67,2,FALSE)))</f>
        <v/>
      </c>
      <c r="J128" s="40" t="n"/>
      <c r="L128" s="46">
        <f>IF($E128=L$3,$G128,0)-IF($H128=L$3,$J128,0)</f>
        <v/>
      </c>
      <c r="M128" s="47">
        <f>IF($E128=M$3,$G128,0)-IF($H128=M$3,$J128,0)</f>
        <v/>
      </c>
      <c r="N128" s="47">
        <f>IF($E128=N$3,$G128,0)-IF($H128=N$3,$J128,0)</f>
        <v/>
      </c>
      <c r="O128" s="47">
        <f>IF($E128=O$3,$G128,0)-IF($H128=O$3,$J128,0)</f>
        <v/>
      </c>
      <c r="P128" s="47">
        <f>IF($E128=P$3,$G128,0)-IF($H128=P$3,$J128,0)</f>
        <v/>
      </c>
      <c r="Q128" s="47">
        <f>IF($E128=Q$3,$G128,0)-IF($H128=Q$3,$J128,0)</f>
        <v/>
      </c>
      <c r="R128" s="47">
        <f>IF($E128=R$3,$G128,0)-IF($H128=R$3,$J128,0)</f>
        <v/>
      </c>
      <c r="S128" s="47">
        <f>IF($E128=S$3,$G128,0)-IF($H128=S$3,$J128,0)</f>
        <v/>
      </c>
      <c r="T128" s="47">
        <f>IF($E128=T$3,$G128,0)-IF($H128=T$3,$J128,0)</f>
        <v/>
      </c>
      <c r="U128" s="47">
        <f>IF($E128=U$3,$G128,0)-IF($H128=U$3,$J128,0)</f>
        <v/>
      </c>
      <c r="V128" s="47">
        <f>IF($E128=V$3,$G128,0)-IF($H128=V$3,$J128,0)</f>
        <v/>
      </c>
      <c r="W128" s="47">
        <f>IF($E128=W$3,$G128,0)-IF($H128=W$3,$J128,0)</f>
        <v/>
      </c>
      <c r="X128" s="47">
        <f>IF($E128=X$3,$G128,0)-IF($H128=X$3,$J128,0)</f>
        <v/>
      </c>
      <c r="Y128" s="47">
        <f>IF($E128=Y$3,$G128,0)-IF($H128=Y$3,$J128,0)</f>
        <v/>
      </c>
      <c r="Z128" s="47">
        <f>IF($E128=Z$3,$G128,0)-IF($H128=Z$3,$J128,0)</f>
        <v/>
      </c>
      <c r="AA128" s="47">
        <f>IF($E128=AA$3,$G128,0)-IF($H128=AA$3,$J128,0)</f>
        <v/>
      </c>
      <c r="AB128" s="47">
        <f>IF($E128=AB$3,$G128,0)-IF($H128=AB$3,$J128,0)</f>
        <v/>
      </c>
      <c r="AC128" s="47">
        <f>IF($E128=AC$3,$G128,0)-IF($H128=AC$3,$J128,0)</f>
        <v/>
      </c>
      <c r="AD128" s="47">
        <f>IF($E128=AD$3,$G128,0)-IF($H128=AD$3,$J128,0)</f>
        <v/>
      </c>
      <c r="AE128" s="47">
        <f>IF($E128=AE$3,$G128,0)-IF($H128=AE$3,$J128,0)</f>
        <v/>
      </c>
      <c r="AF128" s="47">
        <f>IF($E128=AF$3,$G128,0)-IF($H128=AF$3,$J128,0)</f>
        <v/>
      </c>
      <c r="AG128" s="47">
        <f>IF($E128=AG$3,$G128,0)-IF($H128=AG$3,$J128,0)</f>
        <v/>
      </c>
      <c r="AH128" s="47">
        <f>IF($E128=AH$3,$G128,0)-IF($H128=AH$3,$J128,0)</f>
        <v/>
      </c>
      <c r="AI128" s="47">
        <f>IF($E128=AI$3,$G128,0)-IF($H128=AI$3,$J128,0)</f>
        <v/>
      </c>
      <c r="AJ128" s="47">
        <f>IF($E128=AJ$3,$G128,0)-IF($H128=AJ$3,$J128,0)</f>
        <v/>
      </c>
      <c r="AK128" s="47">
        <f>IF($E128=AK$3,$G128,0)-IF($H128=AK$3,$J128,0)</f>
        <v/>
      </c>
      <c r="AL128" s="48">
        <f>IF($E128=AL$3,$G128,0)-IF($H128=AL$3,$J128,0)</f>
        <v/>
      </c>
      <c r="AM128" s="46">
        <f>-IF($E128=AM$3,$G128,0)+IF($H128=AM$3,$J128,0)</f>
        <v/>
      </c>
      <c r="AN128" s="47">
        <f>-IF($E128=AN$3,$G128,0)+IF($H128=AN$3,$J128,0)</f>
        <v/>
      </c>
      <c r="AO128" s="48">
        <f>-IF($E128=AO$3,$G128,0)+IF($H128=AO$3,$J128,0)</f>
        <v/>
      </c>
      <c r="AP128" s="46">
        <f>IF($E128=AP$3,$G128,0)-IF($H128=AP$3,$J128,0)</f>
        <v/>
      </c>
      <c r="AQ128" s="47">
        <f>IF($E128=AQ$3,$G128,0)-IF($H128=AQ$3,$J128,0)</f>
        <v/>
      </c>
      <c r="AR128" s="47">
        <f>IF($E128=AR$3,$G128,0)-IF($H128=AR$3,$J128,0)</f>
        <v/>
      </c>
      <c r="AS128" s="47">
        <f>IF($E128=AS$3,$G128,0)-IF($H128=AS$3,$J128,0)</f>
        <v/>
      </c>
      <c r="AT128" s="47">
        <f>IF($E128=AT$3,$G128,0)-IF($H128=AT$3,$J128,0)</f>
        <v/>
      </c>
      <c r="AU128" s="47">
        <f>IF($E128=AU$3,$G128,0)-IF($H128=AU$3,$J128,0)</f>
        <v/>
      </c>
      <c r="AV128" s="47">
        <f>IF($E128=AV$3,$G128,0)-IF($H128=AV$3,$J128,0)</f>
        <v/>
      </c>
      <c r="AW128" s="47">
        <f>IF($E128=AW$3,$G128,0)-IF($H128=AW$3,$J128,0)</f>
        <v/>
      </c>
      <c r="AX128" s="47">
        <f>IF($E128=AX$3,$G128,0)-IF($H128=AX$3,$J128,0)</f>
        <v/>
      </c>
      <c r="AY128" s="47">
        <f>IF($E128=AY$3,$G128,0)-IF($H128=AY$3,$J128,0)</f>
        <v/>
      </c>
      <c r="AZ128" s="47">
        <f>IF($E128=AZ$3,$G128,0)-IF($H128=AZ$3,$J128,0)</f>
        <v/>
      </c>
      <c r="BA128" s="47">
        <f>IF($E128=BA$3,$G128,0)-IF($H128=BA$3,$J128,0)</f>
        <v/>
      </c>
      <c r="BB128" s="47">
        <f>IF($E128=BB$3,$G128,0)-IF($H128=BB$3,$J128,0)</f>
        <v/>
      </c>
      <c r="BC128" s="47">
        <f>IF($E128=BC$3,$G128,0)-IF($H128=BC$3,$J128,0)</f>
        <v/>
      </c>
      <c r="BD128" s="47">
        <f>IF($E128=BD$3,$G128,0)-IF($H128=BD$3,$J128,0)</f>
        <v/>
      </c>
      <c r="BE128" s="47">
        <f>IF($E128=BE$3,$G128,0)-IF($H128=BE$3,$J128,0)</f>
        <v/>
      </c>
      <c r="BF128" s="47">
        <f>IF($E128=BF$3,$G128,0)-IF($H128=BF$3,$J128,0)</f>
        <v/>
      </c>
      <c r="BG128" s="47">
        <f>IF($E128=BG$3,$G128,0)-IF($H128=BG$3,$J128,0)</f>
        <v/>
      </c>
      <c r="BH128" s="47">
        <f>IF($E128=BH$3,$G128,0)-IF($H128=BH$3,$J128,0)</f>
        <v/>
      </c>
      <c r="BI128" s="47">
        <f>IF($E128=BI$3,$G128,0)-IF($H128=BI$3,$J128,0)</f>
        <v/>
      </c>
      <c r="BJ128" s="47">
        <f>IF($E128=BJ$3,$G128,0)-IF($H128=BJ$3,$J128,0)</f>
        <v/>
      </c>
      <c r="BK128" s="47">
        <f>IF($E128=BK$3,$G128,0)-IF($H128=BK$3,$J128,0)</f>
        <v/>
      </c>
      <c r="BL128" s="46">
        <f>-IF($E128=BL$3,$G128,0)+IF($H128=BL$3,$J128,0)</f>
        <v/>
      </c>
      <c r="BM128" s="47">
        <f>-IF($E128=BM$3,$G128,0)+IF($H128=BM$3,$J128,0)</f>
        <v/>
      </c>
      <c r="BN128" s="47">
        <f>-IF($E128=BN$3,$G128,0)+IF($H128=BN$3,$J128,0)</f>
        <v/>
      </c>
      <c r="BO128" s="47">
        <f>-IF($E128=BO$3,$G128,0)+IF($H128=BO$3,$J128,0)</f>
        <v/>
      </c>
      <c r="BP128" s="47">
        <f>-IF($E128=BP$3,$G128,0)+IF($H128=BP$3,$J128,0)</f>
        <v/>
      </c>
      <c r="BQ128" s="47">
        <f>-IF($E128=BQ$3,$G128,0)+IF($H128=BQ$3,$J128,0)</f>
        <v/>
      </c>
      <c r="BR128" s="47">
        <f>-IF($E128=BR$3,$G128,0)+IF($H128=BR$3,$J128,0)</f>
        <v/>
      </c>
      <c r="BS128" s="47">
        <f>-IF($E128=BS$3,$G128,0)+IF($H128=BS$3,$J128,0)</f>
        <v/>
      </c>
      <c r="BT128" s="47">
        <f>-IF($E128=BT$3,$G128,0)+IF($H128=BT$3,$J128,0)</f>
        <v/>
      </c>
      <c r="BU128" s="46">
        <f>+G128-J128</f>
        <v/>
      </c>
      <c r="BV128" s="48">
        <f>-IF($E128=BV$3,$G128,0)+IF($H128=BV$3,$J128,0)</f>
        <v/>
      </c>
      <c r="BW128" s="3" t="n"/>
    </row>
    <row r="129" ht="15.75" customHeight="1" s="214">
      <c r="A129" s="7" t="n"/>
      <c r="B129" s="8" t="n"/>
      <c r="C129" s="9" t="n"/>
      <c r="D129" s="10" t="n"/>
      <c r="E129" s="247" t="n"/>
      <c r="F129" s="11">
        <f>IF(E129="","",IF(ISNA(VLOOKUP(E129,科目コード表!$C$4:$D$67,2,FALSE)),"該当科目なし",VLOOKUP(E129,科目コード表!$C$4:$D$67,2,FALSE)))</f>
        <v/>
      </c>
      <c r="G129" s="38" t="n"/>
      <c r="H129" s="248" t="n"/>
      <c r="I129" s="11">
        <f>IF(H129="","",IF(ISNA(VLOOKUP(H129,科目コード表!$C$4:$D$67,2,FALSE)),"該当科目なし",VLOOKUP(H129,科目コード表!$C$4:$D$67,2,FALSE)))</f>
        <v/>
      </c>
      <c r="J129" s="40" t="n"/>
      <c r="L129" s="46">
        <f>IF($E129=L$3,$G129,0)-IF($H129=L$3,$J129,0)</f>
        <v/>
      </c>
      <c r="M129" s="47">
        <f>IF($E129=M$3,$G129,0)-IF($H129=M$3,$J129,0)</f>
        <v/>
      </c>
      <c r="N129" s="47">
        <f>IF($E129=N$3,$G129,0)-IF($H129=N$3,$J129,0)</f>
        <v/>
      </c>
      <c r="O129" s="47">
        <f>IF($E129=O$3,$G129,0)-IF($H129=O$3,$J129,0)</f>
        <v/>
      </c>
      <c r="P129" s="47">
        <f>IF($E129=P$3,$G129,0)-IF($H129=P$3,$J129,0)</f>
        <v/>
      </c>
      <c r="Q129" s="47">
        <f>IF($E129=Q$3,$G129,0)-IF($H129=Q$3,$J129,0)</f>
        <v/>
      </c>
      <c r="R129" s="47">
        <f>IF($E129=R$3,$G129,0)-IF($H129=R$3,$J129,0)</f>
        <v/>
      </c>
      <c r="S129" s="47">
        <f>IF($E129=S$3,$G129,0)-IF($H129=S$3,$J129,0)</f>
        <v/>
      </c>
      <c r="T129" s="47">
        <f>IF($E129=T$3,$G129,0)-IF($H129=T$3,$J129,0)</f>
        <v/>
      </c>
      <c r="U129" s="47">
        <f>IF($E129=U$3,$G129,0)-IF($H129=U$3,$J129,0)</f>
        <v/>
      </c>
      <c r="V129" s="47">
        <f>IF($E129=V$3,$G129,0)-IF($H129=V$3,$J129,0)</f>
        <v/>
      </c>
      <c r="W129" s="47">
        <f>IF($E129=W$3,$G129,0)-IF($H129=W$3,$J129,0)</f>
        <v/>
      </c>
      <c r="X129" s="47">
        <f>IF($E129=X$3,$G129,0)-IF($H129=X$3,$J129,0)</f>
        <v/>
      </c>
      <c r="Y129" s="47">
        <f>IF($E129=Y$3,$G129,0)-IF($H129=Y$3,$J129,0)</f>
        <v/>
      </c>
      <c r="Z129" s="47">
        <f>IF($E129=Z$3,$G129,0)-IF($H129=Z$3,$J129,0)</f>
        <v/>
      </c>
      <c r="AA129" s="47">
        <f>IF($E129=AA$3,$G129,0)-IF($H129=AA$3,$J129,0)</f>
        <v/>
      </c>
      <c r="AB129" s="47">
        <f>IF($E129=AB$3,$G129,0)-IF($H129=AB$3,$J129,0)</f>
        <v/>
      </c>
      <c r="AC129" s="47">
        <f>IF($E129=AC$3,$G129,0)-IF($H129=AC$3,$J129,0)</f>
        <v/>
      </c>
      <c r="AD129" s="47">
        <f>IF($E129=AD$3,$G129,0)-IF($H129=AD$3,$J129,0)</f>
        <v/>
      </c>
      <c r="AE129" s="47">
        <f>IF($E129=AE$3,$G129,0)-IF($H129=AE$3,$J129,0)</f>
        <v/>
      </c>
      <c r="AF129" s="47">
        <f>IF($E129=AF$3,$G129,0)-IF($H129=AF$3,$J129,0)</f>
        <v/>
      </c>
      <c r="AG129" s="47">
        <f>IF($E129=AG$3,$G129,0)-IF($H129=AG$3,$J129,0)</f>
        <v/>
      </c>
      <c r="AH129" s="47">
        <f>IF($E129=AH$3,$G129,0)-IF($H129=AH$3,$J129,0)</f>
        <v/>
      </c>
      <c r="AI129" s="47">
        <f>IF($E129=AI$3,$G129,0)-IF($H129=AI$3,$J129,0)</f>
        <v/>
      </c>
      <c r="AJ129" s="47">
        <f>IF($E129=AJ$3,$G129,0)-IF($H129=AJ$3,$J129,0)</f>
        <v/>
      </c>
      <c r="AK129" s="47">
        <f>IF($E129=AK$3,$G129,0)-IF($H129=AK$3,$J129,0)</f>
        <v/>
      </c>
      <c r="AL129" s="48">
        <f>IF($E129=AL$3,$G129,0)-IF($H129=AL$3,$J129,0)</f>
        <v/>
      </c>
      <c r="AM129" s="46">
        <f>-IF($E129=AM$3,$G129,0)+IF($H129=AM$3,$J129,0)</f>
        <v/>
      </c>
      <c r="AN129" s="47">
        <f>-IF($E129=AN$3,$G129,0)+IF($H129=AN$3,$J129,0)</f>
        <v/>
      </c>
      <c r="AO129" s="48">
        <f>-IF($E129=AO$3,$G129,0)+IF($H129=AO$3,$J129,0)</f>
        <v/>
      </c>
      <c r="AP129" s="46">
        <f>IF($E129=AP$3,$G129,0)-IF($H129=AP$3,$J129,0)</f>
        <v/>
      </c>
      <c r="AQ129" s="47">
        <f>IF($E129=AQ$3,$G129,0)-IF($H129=AQ$3,$J129,0)</f>
        <v/>
      </c>
      <c r="AR129" s="47">
        <f>IF($E129=AR$3,$G129,0)-IF($H129=AR$3,$J129,0)</f>
        <v/>
      </c>
      <c r="AS129" s="47">
        <f>IF($E129=AS$3,$G129,0)-IF($H129=AS$3,$J129,0)</f>
        <v/>
      </c>
      <c r="AT129" s="47">
        <f>IF($E129=AT$3,$G129,0)-IF($H129=AT$3,$J129,0)</f>
        <v/>
      </c>
      <c r="AU129" s="47">
        <f>IF($E129=AU$3,$G129,0)-IF($H129=AU$3,$J129,0)</f>
        <v/>
      </c>
      <c r="AV129" s="47">
        <f>IF($E129=AV$3,$G129,0)-IF($H129=AV$3,$J129,0)</f>
        <v/>
      </c>
      <c r="AW129" s="47">
        <f>IF($E129=AW$3,$G129,0)-IF($H129=AW$3,$J129,0)</f>
        <v/>
      </c>
      <c r="AX129" s="47">
        <f>IF($E129=AX$3,$G129,0)-IF($H129=AX$3,$J129,0)</f>
        <v/>
      </c>
      <c r="AY129" s="47">
        <f>IF($E129=AY$3,$G129,0)-IF($H129=AY$3,$J129,0)</f>
        <v/>
      </c>
      <c r="AZ129" s="47">
        <f>IF($E129=AZ$3,$G129,0)-IF($H129=AZ$3,$J129,0)</f>
        <v/>
      </c>
      <c r="BA129" s="47">
        <f>IF($E129=BA$3,$G129,0)-IF($H129=BA$3,$J129,0)</f>
        <v/>
      </c>
      <c r="BB129" s="47">
        <f>IF($E129=BB$3,$G129,0)-IF($H129=BB$3,$J129,0)</f>
        <v/>
      </c>
      <c r="BC129" s="47">
        <f>IF($E129=BC$3,$G129,0)-IF($H129=BC$3,$J129,0)</f>
        <v/>
      </c>
      <c r="BD129" s="47">
        <f>IF($E129=BD$3,$G129,0)-IF($H129=BD$3,$J129,0)</f>
        <v/>
      </c>
      <c r="BE129" s="47">
        <f>IF($E129=BE$3,$G129,0)-IF($H129=BE$3,$J129,0)</f>
        <v/>
      </c>
      <c r="BF129" s="47">
        <f>IF($E129=BF$3,$G129,0)-IF($H129=BF$3,$J129,0)</f>
        <v/>
      </c>
      <c r="BG129" s="47">
        <f>IF($E129=BG$3,$G129,0)-IF($H129=BG$3,$J129,0)</f>
        <v/>
      </c>
      <c r="BH129" s="47">
        <f>IF($E129=BH$3,$G129,0)-IF($H129=BH$3,$J129,0)</f>
        <v/>
      </c>
      <c r="BI129" s="47">
        <f>IF($E129=BI$3,$G129,0)-IF($H129=BI$3,$J129,0)</f>
        <v/>
      </c>
      <c r="BJ129" s="47">
        <f>IF($E129=BJ$3,$G129,0)-IF($H129=BJ$3,$J129,0)</f>
        <v/>
      </c>
      <c r="BK129" s="47">
        <f>IF($E129=BK$3,$G129,0)-IF($H129=BK$3,$J129,0)</f>
        <v/>
      </c>
      <c r="BL129" s="46">
        <f>-IF($E129=BL$3,$G129,0)+IF($H129=BL$3,$J129,0)</f>
        <v/>
      </c>
      <c r="BM129" s="47">
        <f>-IF($E129=BM$3,$G129,0)+IF($H129=BM$3,$J129,0)</f>
        <v/>
      </c>
      <c r="BN129" s="47">
        <f>-IF($E129=BN$3,$G129,0)+IF($H129=BN$3,$J129,0)</f>
        <v/>
      </c>
      <c r="BO129" s="47">
        <f>-IF($E129=BO$3,$G129,0)+IF($H129=BO$3,$J129,0)</f>
        <v/>
      </c>
      <c r="BP129" s="47">
        <f>-IF($E129=BP$3,$G129,0)+IF($H129=BP$3,$J129,0)</f>
        <v/>
      </c>
      <c r="BQ129" s="47">
        <f>-IF($E129=BQ$3,$G129,0)+IF($H129=BQ$3,$J129,0)</f>
        <v/>
      </c>
      <c r="BR129" s="47">
        <f>-IF($E129=BR$3,$G129,0)+IF($H129=BR$3,$J129,0)</f>
        <v/>
      </c>
      <c r="BS129" s="47">
        <f>-IF($E129=BS$3,$G129,0)+IF($H129=BS$3,$J129,0)</f>
        <v/>
      </c>
      <c r="BT129" s="47">
        <f>-IF($E129=BT$3,$G129,0)+IF($H129=BT$3,$J129,0)</f>
        <v/>
      </c>
      <c r="BU129" s="46">
        <f>+G129-J129</f>
        <v/>
      </c>
      <c r="BV129" s="48">
        <f>-IF($E129=BV$3,$G129,0)+IF($H129=BV$3,$J129,0)</f>
        <v/>
      </c>
      <c r="BW129" s="3" t="n"/>
    </row>
    <row r="130" ht="15.75" customHeight="1" s="214">
      <c r="A130" s="7" t="n"/>
      <c r="B130" s="8" t="n"/>
      <c r="C130" s="9" t="n"/>
      <c r="D130" s="10" t="n"/>
      <c r="E130" s="247" t="n"/>
      <c r="F130" s="11">
        <f>IF(E130="","",IF(ISNA(VLOOKUP(E130,科目コード表!$C$4:$D$67,2,FALSE)),"該当科目なし",VLOOKUP(E130,科目コード表!$C$4:$D$67,2,FALSE)))</f>
        <v/>
      </c>
      <c r="G130" s="38" t="n"/>
      <c r="H130" s="248" t="n"/>
      <c r="I130" s="11">
        <f>IF(H130="","",IF(ISNA(VLOOKUP(H130,科目コード表!$C$4:$D$67,2,FALSE)),"該当科目なし",VLOOKUP(H130,科目コード表!$C$4:$D$67,2,FALSE)))</f>
        <v/>
      </c>
      <c r="J130" s="40" t="n"/>
      <c r="L130" s="46">
        <f>IF($E130=L$3,$G130,0)-IF($H130=L$3,$J130,0)</f>
        <v/>
      </c>
      <c r="M130" s="47">
        <f>IF($E130=M$3,$G130,0)-IF($H130=M$3,$J130,0)</f>
        <v/>
      </c>
      <c r="N130" s="47">
        <f>IF($E130=N$3,$G130,0)-IF($H130=N$3,$J130,0)</f>
        <v/>
      </c>
      <c r="O130" s="47">
        <f>IF($E130=O$3,$G130,0)-IF($H130=O$3,$J130,0)</f>
        <v/>
      </c>
      <c r="P130" s="47">
        <f>IF($E130=P$3,$G130,0)-IF($H130=P$3,$J130,0)</f>
        <v/>
      </c>
      <c r="Q130" s="47">
        <f>IF($E130=Q$3,$G130,0)-IF($H130=Q$3,$J130,0)</f>
        <v/>
      </c>
      <c r="R130" s="47">
        <f>IF($E130=R$3,$G130,0)-IF($H130=R$3,$J130,0)</f>
        <v/>
      </c>
      <c r="S130" s="47">
        <f>IF($E130=S$3,$G130,0)-IF($H130=S$3,$J130,0)</f>
        <v/>
      </c>
      <c r="T130" s="47">
        <f>IF($E130=T$3,$G130,0)-IF($H130=T$3,$J130,0)</f>
        <v/>
      </c>
      <c r="U130" s="47">
        <f>IF($E130=U$3,$G130,0)-IF($H130=U$3,$J130,0)</f>
        <v/>
      </c>
      <c r="V130" s="47">
        <f>IF($E130=V$3,$G130,0)-IF($H130=V$3,$J130,0)</f>
        <v/>
      </c>
      <c r="W130" s="47">
        <f>IF($E130=W$3,$G130,0)-IF($H130=W$3,$J130,0)</f>
        <v/>
      </c>
      <c r="X130" s="47">
        <f>IF($E130=X$3,$G130,0)-IF($H130=X$3,$J130,0)</f>
        <v/>
      </c>
      <c r="Y130" s="47">
        <f>IF($E130=Y$3,$G130,0)-IF($H130=Y$3,$J130,0)</f>
        <v/>
      </c>
      <c r="Z130" s="47">
        <f>IF($E130=Z$3,$G130,0)-IF($H130=Z$3,$J130,0)</f>
        <v/>
      </c>
      <c r="AA130" s="47">
        <f>IF($E130=AA$3,$G130,0)-IF($H130=AA$3,$J130,0)</f>
        <v/>
      </c>
      <c r="AB130" s="47">
        <f>IF($E130=AB$3,$G130,0)-IF($H130=AB$3,$J130,0)</f>
        <v/>
      </c>
      <c r="AC130" s="47">
        <f>IF($E130=AC$3,$G130,0)-IF($H130=AC$3,$J130,0)</f>
        <v/>
      </c>
      <c r="AD130" s="47">
        <f>IF($E130=AD$3,$G130,0)-IF($H130=AD$3,$J130,0)</f>
        <v/>
      </c>
      <c r="AE130" s="47">
        <f>IF($E130=AE$3,$G130,0)-IF($H130=AE$3,$J130,0)</f>
        <v/>
      </c>
      <c r="AF130" s="47">
        <f>IF($E130=AF$3,$G130,0)-IF($H130=AF$3,$J130,0)</f>
        <v/>
      </c>
      <c r="AG130" s="47">
        <f>IF($E130=AG$3,$G130,0)-IF($H130=AG$3,$J130,0)</f>
        <v/>
      </c>
      <c r="AH130" s="47">
        <f>IF($E130=AH$3,$G130,0)-IF($H130=AH$3,$J130,0)</f>
        <v/>
      </c>
      <c r="AI130" s="47">
        <f>IF($E130=AI$3,$G130,0)-IF($H130=AI$3,$J130,0)</f>
        <v/>
      </c>
      <c r="AJ130" s="47">
        <f>IF($E130=AJ$3,$G130,0)-IF($H130=AJ$3,$J130,0)</f>
        <v/>
      </c>
      <c r="AK130" s="47">
        <f>IF($E130=AK$3,$G130,0)-IF($H130=AK$3,$J130,0)</f>
        <v/>
      </c>
      <c r="AL130" s="48">
        <f>IF($E130=AL$3,$G130,0)-IF($H130=AL$3,$J130,0)</f>
        <v/>
      </c>
      <c r="AM130" s="46">
        <f>-IF($E130=AM$3,$G130,0)+IF($H130=AM$3,$J130,0)</f>
        <v/>
      </c>
      <c r="AN130" s="47">
        <f>-IF($E130=AN$3,$G130,0)+IF($H130=AN$3,$J130,0)</f>
        <v/>
      </c>
      <c r="AO130" s="48">
        <f>-IF($E130=AO$3,$G130,0)+IF($H130=AO$3,$J130,0)</f>
        <v/>
      </c>
      <c r="AP130" s="46">
        <f>IF($E130=AP$3,$G130,0)-IF($H130=AP$3,$J130,0)</f>
        <v/>
      </c>
      <c r="AQ130" s="47">
        <f>IF($E130=AQ$3,$G130,0)-IF($H130=AQ$3,$J130,0)</f>
        <v/>
      </c>
      <c r="AR130" s="47">
        <f>IF($E130=AR$3,$G130,0)-IF($H130=AR$3,$J130,0)</f>
        <v/>
      </c>
      <c r="AS130" s="47">
        <f>IF($E130=AS$3,$G130,0)-IF($H130=AS$3,$J130,0)</f>
        <v/>
      </c>
      <c r="AT130" s="47">
        <f>IF($E130=AT$3,$G130,0)-IF($H130=AT$3,$J130,0)</f>
        <v/>
      </c>
      <c r="AU130" s="47">
        <f>IF($E130=AU$3,$G130,0)-IF($H130=AU$3,$J130,0)</f>
        <v/>
      </c>
      <c r="AV130" s="47">
        <f>IF($E130=AV$3,$G130,0)-IF($H130=AV$3,$J130,0)</f>
        <v/>
      </c>
      <c r="AW130" s="47">
        <f>IF($E130=AW$3,$G130,0)-IF($H130=AW$3,$J130,0)</f>
        <v/>
      </c>
      <c r="AX130" s="47">
        <f>IF($E130=AX$3,$G130,0)-IF($H130=AX$3,$J130,0)</f>
        <v/>
      </c>
      <c r="AY130" s="47">
        <f>IF($E130=AY$3,$G130,0)-IF($H130=AY$3,$J130,0)</f>
        <v/>
      </c>
      <c r="AZ130" s="47">
        <f>IF($E130=AZ$3,$G130,0)-IF($H130=AZ$3,$J130,0)</f>
        <v/>
      </c>
      <c r="BA130" s="47">
        <f>IF($E130=BA$3,$G130,0)-IF($H130=BA$3,$J130,0)</f>
        <v/>
      </c>
      <c r="BB130" s="47">
        <f>IF($E130=BB$3,$G130,0)-IF($H130=BB$3,$J130,0)</f>
        <v/>
      </c>
      <c r="BC130" s="47">
        <f>IF($E130=BC$3,$G130,0)-IF($H130=BC$3,$J130,0)</f>
        <v/>
      </c>
      <c r="BD130" s="47">
        <f>IF($E130=BD$3,$G130,0)-IF($H130=BD$3,$J130,0)</f>
        <v/>
      </c>
      <c r="BE130" s="47">
        <f>IF($E130=BE$3,$G130,0)-IF($H130=BE$3,$J130,0)</f>
        <v/>
      </c>
      <c r="BF130" s="47">
        <f>IF($E130=BF$3,$G130,0)-IF($H130=BF$3,$J130,0)</f>
        <v/>
      </c>
      <c r="BG130" s="47">
        <f>IF($E130=BG$3,$G130,0)-IF($H130=BG$3,$J130,0)</f>
        <v/>
      </c>
      <c r="BH130" s="47">
        <f>IF($E130=BH$3,$G130,0)-IF($H130=BH$3,$J130,0)</f>
        <v/>
      </c>
      <c r="BI130" s="47">
        <f>IF($E130=BI$3,$G130,0)-IF($H130=BI$3,$J130,0)</f>
        <v/>
      </c>
      <c r="BJ130" s="47">
        <f>IF($E130=BJ$3,$G130,0)-IF($H130=BJ$3,$J130,0)</f>
        <v/>
      </c>
      <c r="BK130" s="47">
        <f>IF($E130=BK$3,$G130,0)-IF($H130=BK$3,$J130,0)</f>
        <v/>
      </c>
      <c r="BL130" s="46">
        <f>-IF($E130=BL$3,$G130,0)+IF($H130=BL$3,$J130,0)</f>
        <v/>
      </c>
      <c r="BM130" s="47">
        <f>-IF($E130=BM$3,$G130,0)+IF($H130=BM$3,$J130,0)</f>
        <v/>
      </c>
      <c r="BN130" s="47">
        <f>-IF($E130=BN$3,$G130,0)+IF($H130=BN$3,$J130,0)</f>
        <v/>
      </c>
      <c r="BO130" s="47">
        <f>-IF($E130=BO$3,$G130,0)+IF($H130=BO$3,$J130,0)</f>
        <v/>
      </c>
      <c r="BP130" s="47">
        <f>-IF($E130=BP$3,$G130,0)+IF($H130=BP$3,$J130,0)</f>
        <v/>
      </c>
      <c r="BQ130" s="47">
        <f>-IF($E130=BQ$3,$G130,0)+IF($H130=BQ$3,$J130,0)</f>
        <v/>
      </c>
      <c r="BR130" s="47">
        <f>-IF($E130=BR$3,$G130,0)+IF($H130=BR$3,$J130,0)</f>
        <v/>
      </c>
      <c r="BS130" s="47">
        <f>-IF($E130=BS$3,$G130,0)+IF($H130=BS$3,$J130,0)</f>
        <v/>
      </c>
      <c r="BT130" s="47">
        <f>-IF($E130=BT$3,$G130,0)+IF($H130=BT$3,$J130,0)</f>
        <v/>
      </c>
      <c r="BU130" s="46">
        <f>+G130-J130</f>
        <v/>
      </c>
      <c r="BV130" s="48">
        <f>-IF($E130=BV$3,$G130,0)+IF($H130=BV$3,$J130,0)</f>
        <v/>
      </c>
      <c r="BW130" s="3" t="n"/>
    </row>
    <row r="131" ht="15.75" customHeight="1" s="214">
      <c r="A131" s="7" t="n"/>
      <c r="B131" s="8" t="n"/>
      <c r="C131" s="9" t="n"/>
      <c r="D131" s="10" t="n"/>
      <c r="E131" s="247" t="n"/>
      <c r="F131" s="11">
        <f>IF(E131="","",IF(ISNA(VLOOKUP(E131,科目コード表!$C$4:$D$67,2,FALSE)),"該当科目なし",VLOOKUP(E131,科目コード表!$C$4:$D$67,2,FALSE)))</f>
        <v/>
      </c>
      <c r="G131" s="38" t="n"/>
      <c r="H131" s="248" t="n"/>
      <c r="I131" s="11">
        <f>IF(H131="","",IF(ISNA(VLOOKUP(H131,科目コード表!$C$4:$D$67,2,FALSE)),"該当科目なし",VLOOKUP(H131,科目コード表!$C$4:$D$67,2,FALSE)))</f>
        <v/>
      </c>
      <c r="J131" s="40" t="n"/>
      <c r="L131" s="46">
        <f>IF($E131=L$3,$G131,0)-IF($H131=L$3,$J131,0)</f>
        <v/>
      </c>
      <c r="M131" s="47">
        <f>IF($E131=M$3,$G131,0)-IF($H131=M$3,$J131,0)</f>
        <v/>
      </c>
      <c r="N131" s="47">
        <f>IF($E131=N$3,$G131,0)-IF($H131=N$3,$J131,0)</f>
        <v/>
      </c>
      <c r="O131" s="47">
        <f>IF($E131=O$3,$G131,0)-IF($H131=O$3,$J131,0)</f>
        <v/>
      </c>
      <c r="P131" s="47">
        <f>IF($E131=P$3,$G131,0)-IF($H131=P$3,$J131,0)</f>
        <v/>
      </c>
      <c r="Q131" s="47">
        <f>IF($E131=Q$3,$G131,0)-IF($H131=Q$3,$J131,0)</f>
        <v/>
      </c>
      <c r="R131" s="47">
        <f>IF($E131=R$3,$G131,0)-IF($H131=R$3,$J131,0)</f>
        <v/>
      </c>
      <c r="S131" s="47">
        <f>IF($E131=S$3,$G131,0)-IF($H131=S$3,$J131,0)</f>
        <v/>
      </c>
      <c r="T131" s="47">
        <f>IF($E131=T$3,$G131,0)-IF($H131=T$3,$J131,0)</f>
        <v/>
      </c>
      <c r="U131" s="47">
        <f>IF($E131=U$3,$G131,0)-IF($H131=U$3,$J131,0)</f>
        <v/>
      </c>
      <c r="V131" s="47">
        <f>IF($E131=V$3,$G131,0)-IF($H131=V$3,$J131,0)</f>
        <v/>
      </c>
      <c r="W131" s="47">
        <f>IF($E131=W$3,$G131,0)-IF($H131=W$3,$J131,0)</f>
        <v/>
      </c>
      <c r="X131" s="47">
        <f>IF($E131=X$3,$G131,0)-IF($H131=X$3,$J131,0)</f>
        <v/>
      </c>
      <c r="Y131" s="47">
        <f>IF($E131=Y$3,$G131,0)-IF($H131=Y$3,$J131,0)</f>
        <v/>
      </c>
      <c r="Z131" s="47">
        <f>IF($E131=Z$3,$G131,0)-IF($H131=Z$3,$J131,0)</f>
        <v/>
      </c>
      <c r="AA131" s="47">
        <f>IF($E131=AA$3,$G131,0)-IF($H131=AA$3,$J131,0)</f>
        <v/>
      </c>
      <c r="AB131" s="47">
        <f>IF($E131=AB$3,$G131,0)-IF($H131=AB$3,$J131,0)</f>
        <v/>
      </c>
      <c r="AC131" s="47">
        <f>IF($E131=AC$3,$G131,0)-IF($H131=AC$3,$J131,0)</f>
        <v/>
      </c>
      <c r="AD131" s="47">
        <f>IF($E131=AD$3,$G131,0)-IF($H131=AD$3,$J131,0)</f>
        <v/>
      </c>
      <c r="AE131" s="47">
        <f>IF($E131=AE$3,$G131,0)-IF($H131=AE$3,$J131,0)</f>
        <v/>
      </c>
      <c r="AF131" s="47">
        <f>IF($E131=AF$3,$G131,0)-IF($H131=AF$3,$J131,0)</f>
        <v/>
      </c>
      <c r="AG131" s="47">
        <f>IF($E131=AG$3,$G131,0)-IF($H131=AG$3,$J131,0)</f>
        <v/>
      </c>
      <c r="AH131" s="47">
        <f>IF($E131=AH$3,$G131,0)-IF($H131=AH$3,$J131,0)</f>
        <v/>
      </c>
      <c r="AI131" s="47">
        <f>IF($E131=AI$3,$G131,0)-IF($H131=AI$3,$J131,0)</f>
        <v/>
      </c>
      <c r="AJ131" s="47">
        <f>IF($E131=AJ$3,$G131,0)-IF($H131=AJ$3,$J131,0)</f>
        <v/>
      </c>
      <c r="AK131" s="47">
        <f>IF($E131=AK$3,$G131,0)-IF($H131=AK$3,$J131,0)</f>
        <v/>
      </c>
      <c r="AL131" s="48">
        <f>IF($E131=AL$3,$G131,0)-IF($H131=AL$3,$J131,0)</f>
        <v/>
      </c>
      <c r="AM131" s="46">
        <f>-IF($E131=AM$3,$G131,0)+IF($H131=AM$3,$J131,0)</f>
        <v/>
      </c>
      <c r="AN131" s="47">
        <f>-IF($E131=AN$3,$G131,0)+IF($H131=AN$3,$J131,0)</f>
        <v/>
      </c>
      <c r="AO131" s="48">
        <f>-IF($E131=AO$3,$G131,0)+IF($H131=AO$3,$J131,0)</f>
        <v/>
      </c>
      <c r="AP131" s="46">
        <f>IF($E131=AP$3,$G131,0)-IF($H131=AP$3,$J131,0)</f>
        <v/>
      </c>
      <c r="AQ131" s="47">
        <f>IF($E131=AQ$3,$G131,0)-IF($H131=AQ$3,$J131,0)</f>
        <v/>
      </c>
      <c r="AR131" s="47">
        <f>IF($E131=AR$3,$G131,0)-IF($H131=AR$3,$J131,0)</f>
        <v/>
      </c>
      <c r="AS131" s="47">
        <f>IF($E131=AS$3,$G131,0)-IF($H131=AS$3,$J131,0)</f>
        <v/>
      </c>
      <c r="AT131" s="47">
        <f>IF($E131=AT$3,$G131,0)-IF($H131=AT$3,$J131,0)</f>
        <v/>
      </c>
      <c r="AU131" s="47">
        <f>IF($E131=AU$3,$G131,0)-IF($H131=AU$3,$J131,0)</f>
        <v/>
      </c>
      <c r="AV131" s="47">
        <f>IF($E131=AV$3,$G131,0)-IF($H131=AV$3,$J131,0)</f>
        <v/>
      </c>
      <c r="AW131" s="47">
        <f>IF($E131=AW$3,$G131,0)-IF($H131=AW$3,$J131,0)</f>
        <v/>
      </c>
      <c r="AX131" s="47">
        <f>IF($E131=AX$3,$G131,0)-IF($H131=AX$3,$J131,0)</f>
        <v/>
      </c>
      <c r="AY131" s="47">
        <f>IF($E131=AY$3,$G131,0)-IF($H131=AY$3,$J131,0)</f>
        <v/>
      </c>
      <c r="AZ131" s="47">
        <f>IF($E131=AZ$3,$G131,0)-IF($H131=AZ$3,$J131,0)</f>
        <v/>
      </c>
      <c r="BA131" s="47">
        <f>IF($E131=BA$3,$G131,0)-IF($H131=BA$3,$J131,0)</f>
        <v/>
      </c>
      <c r="BB131" s="47">
        <f>IF($E131=BB$3,$G131,0)-IF($H131=BB$3,$J131,0)</f>
        <v/>
      </c>
      <c r="BC131" s="47">
        <f>IF($E131=BC$3,$G131,0)-IF($H131=BC$3,$J131,0)</f>
        <v/>
      </c>
      <c r="BD131" s="47">
        <f>IF($E131=BD$3,$G131,0)-IF($H131=BD$3,$J131,0)</f>
        <v/>
      </c>
      <c r="BE131" s="47">
        <f>IF($E131=BE$3,$G131,0)-IF($H131=BE$3,$J131,0)</f>
        <v/>
      </c>
      <c r="BF131" s="47">
        <f>IF($E131=BF$3,$G131,0)-IF($H131=BF$3,$J131,0)</f>
        <v/>
      </c>
      <c r="BG131" s="47">
        <f>IF($E131=BG$3,$G131,0)-IF($H131=BG$3,$J131,0)</f>
        <v/>
      </c>
      <c r="BH131" s="47">
        <f>IF($E131=BH$3,$G131,0)-IF($H131=BH$3,$J131,0)</f>
        <v/>
      </c>
      <c r="BI131" s="47">
        <f>IF($E131=BI$3,$G131,0)-IF($H131=BI$3,$J131,0)</f>
        <v/>
      </c>
      <c r="BJ131" s="47">
        <f>IF($E131=BJ$3,$G131,0)-IF($H131=BJ$3,$J131,0)</f>
        <v/>
      </c>
      <c r="BK131" s="47">
        <f>IF($E131=BK$3,$G131,0)-IF($H131=BK$3,$J131,0)</f>
        <v/>
      </c>
      <c r="BL131" s="46">
        <f>-IF($E131=BL$3,$G131,0)+IF($H131=BL$3,$J131,0)</f>
        <v/>
      </c>
      <c r="BM131" s="47">
        <f>-IF($E131=BM$3,$G131,0)+IF($H131=BM$3,$J131,0)</f>
        <v/>
      </c>
      <c r="BN131" s="47">
        <f>-IF($E131=BN$3,$G131,0)+IF($H131=BN$3,$J131,0)</f>
        <v/>
      </c>
      <c r="BO131" s="47">
        <f>-IF($E131=BO$3,$G131,0)+IF($H131=BO$3,$J131,0)</f>
        <v/>
      </c>
      <c r="BP131" s="47">
        <f>-IF($E131=BP$3,$G131,0)+IF($H131=BP$3,$J131,0)</f>
        <v/>
      </c>
      <c r="BQ131" s="47">
        <f>-IF($E131=BQ$3,$G131,0)+IF($H131=BQ$3,$J131,0)</f>
        <v/>
      </c>
      <c r="BR131" s="47">
        <f>-IF($E131=BR$3,$G131,0)+IF($H131=BR$3,$J131,0)</f>
        <v/>
      </c>
      <c r="BS131" s="47">
        <f>-IF($E131=BS$3,$G131,0)+IF($H131=BS$3,$J131,0)</f>
        <v/>
      </c>
      <c r="BT131" s="47">
        <f>-IF($E131=BT$3,$G131,0)+IF($H131=BT$3,$J131,0)</f>
        <v/>
      </c>
      <c r="BU131" s="46">
        <f>+G131-J131</f>
        <v/>
      </c>
      <c r="BV131" s="48">
        <f>-IF($E131=BV$3,$G131,0)+IF($H131=BV$3,$J131,0)</f>
        <v/>
      </c>
      <c r="BW131" s="3" t="n"/>
    </row>
    <row r="132" ht="15.75" customHeight="1" s="214">
      <c r="A132" s="7" t="n"/>
      <c r="B132" s="8" t="n"/>
      <c r="C132" s="9" t="n"/>
      <c r="D132" s="10" t="n"/>
      <c r="E132" s="247" t="n"/>
      <c r="F132" s="11">
        <f>IF(E132="","",IF(ISNA(VLOOKUP(E132,科目コード表!$C$4:$D$67,2,FALSE)),"該当科目なし",VLOOKUP(E132,科目コード表!$C$4:$D$67,2,FALSE)))</f>
        <v/>
      </c>
      <c r="G132" s="38" t="n"/>
      <c r="H132" s="248" t="n"/>
      <c r="I132" s="11">
        <f>IF(H132="","",IF(ISNA(VLOOKUP(H132,科目コード表!$C$4:$D$67,2,FALSE)),"該当科目なし",VLOOKUP(H132,科目コード表!$C$4:$D$67,2,FALSE)))</f>
        <v/>
      </c>
      <c r="J132" s="40" t="n"/>
      <c r="L132" s="46">
        <f>IF($E132=L$3,$G132,0)-IF($H132=L$3,$J132,0)</f>
        <v/>
      </c>
      <c r="M132" s="47">
        <f>IF($E132=M$3,$G132,0)-IF($H132=M$3,$J132,0)</f>
        <v/>
      </c>
      <c r="N132" s="47">
        <f>IF($E132=N$3,$G132,0)-IF($H132=N$3,$J132,0)</f>
        <v/>
      </c>
      <c r="O132" s="47">
        <f>IF($E132=O$3,$G132,0)-IF($H132=O$3,$J132,0)</f>
        <v/>
      </c>
      <c r="P132" s="47">
        <f>IF($E132=P$3,$G132,0)-IF($H132=P$3,$J132,0)</f>
        <v/>
      </c>
      <c r="Q132" s="47">
        <f>IF($E132=Q$3,$G132,0)-IF($H132=Q$3,$J132,0)</f>
        <v/>
      </c>
      <c r="R132" s="47">
        <f>IF($E132=R$3,$G132,0)-IF($H132=R$3,$J132,0)</f>
        <v/>
      </c>
      <c r="S132" s="47">
        <f>IF($E132=S$3,$G132,0)-IF($H132=S$3,$J132,0)</f>
        <v/>
      </c>
      <c r="T132" s="47">
        <f>IF($E132=T$3,$G132,0)-IF($H132=T$3,$J132,0)</f>
        <v/>
      </c>
      <c r="U132" s="47">
        <f>IF($E132=U$3,$G132,0)-IF($H132=U$3,$J132,0)</f>
        <v/>
      </c>
      <c r="V132" s="47">
        <f>IF($E132=V$3,$G132,0)-IF($H132=V$3,$J132,0)</f>
        <v/>
      </c>
      <c r="W132" s="47">
        <f>IF($E132=W$3,$G132,0)-IF($H132=W$3,$J132,0)</f>
        <v/>
      </c>
      <c r="X132" s="47">
        <f>IF($E132=X$3,$G132,0)-IF($H132=X$3,$J132,0)</f>
        <v/>
      </c>
      <c r="Y132" s="47">
        <f>IF($E132=Y$3,$G132,0)-IF($H132=Y$3,$J132,0)</f>
        <v/>
      </c>
      <c r="Z132" s="47">
        <f>IF($E132=Z$3,$G132,0)-IF($H132=Z$3,$J132,0)</f>
        <v/>
      </c>
      <c r="AA132" s="47">
        <f>IF($E132=AA$3,$G132,0)-IF($H132=AA$3,$J132,0)</f>
        <v/>
      </c>
      <c r="AB132" s="47">
        <f>IF($E132=AB$3,$G132,0)-IF($H132=AB$3,$J132,0)</f>
        <v/>
      </c>
      <c r="AC132" s="47">
        <f>IF($E132=AC$3,$G132,0)-IF($H132=AC$3,$J132,0)</f>
        <v/>
      </c>
      <c r="AD132" s="47">
        <f>IF($E132=AD$3,$G132,0)-IF($H132=AD$3,$J132,0)</f>
        <v/>
      </c>
      <c r="AE132" s="47">
        <f>IF($E132=AE$3,$G132,0)-IF($H132=AE$3,$J132,0)</f>
        <v/>
      </c>
      <c r="AF132" s="47">
        <f>IF($E132=AF$3,$G132,0)-IF($H132=AF$3,$J132,0)</f>
        <v/>
      </c>
      <c r="AG132" s="47">
        <f>IF($E132=AG$3,$G132,0)-IF($H132=AG$3,$J132,0)</f>
        <v/>
      </c>
      <c r="AH132" s="47">
        <f>IF($E132=AH$3,$G132,0)-IF($H132=AH$3,$J132,0)</f>
        <v/>
      </c>
      <c r="AI132" s="47">
        <f>IF($E132=AI$3,$G132,0)-IF($H132=AI$3,$J132,0)</f>
        <v/>
      </c>
      <c r="AJ132" s="47">
        <f>IF($E132=AJ$3,$G132,0)-IF($H132=AJ$3,$J132,0)</f>
        <v/>
      </c>
      <c r="AK132" s="47">
        <f>IF($E132=AK$3,$G132,0)-IF($H132=AK$3,$J132,0)</f>
        <v/>
      </c>
      <c r="AL132" s="48">
        <f>IF($E132=AL$3,$G132,0)-IF($H132=AL$3,$J132,0)</f>
        <v/>
      </c>
      <c r="AM132" s="46">
        <f>-IF($E132=AM$3,$G132,0)+IF($H132=AM$3,$J132,0)</f>
        <v/>
      </c>
      <c r="AN132" s="47">
        <f>-IF($E132=AN$3,$G132,0)+IF($H132=AN$3,$J132,0)</f>
        <v/>
      </c>
      <c r="AO132" s="48">
        <f>-IF($E132=AO$3,$G132,0)+IF($H132=AO$3,$J132,0)</f>
        <v/>
      </c>
      <c r="AP132" s="46">
        <f>IF($E132=AP$3,$G132,0)-IF($H132=AP$3,$J132,0)</f>
        <v/>
      </c>
      <c r="AQ132" s="47">
        <f>IF($E132=AQ$3,$G132,0)-IF($H132=AQ$3,$J132,0)</f>
        <v/>
      </c>
      <c r="AR132" s="47">
        <f>IF($E132=AR$3,$G132,0)-IF($H132=AR$3,$J132,0)</f>
        <v/>
      </c>
      <c r="AS132" s="47">
        <f>IF($E132=AS$3,$G132,0)-IF($H132=AS$3,$J132,0)</f>
        <v/>
      </c>
      <c r="AT132" s="47">
        <f>IF($E132=AT$3,$G132,0)-IF($H132=AT$3,$J132,0)</f>
        <v/>
      </c>
      <c r="AU132" s="47">
        <f>IF($E132=AU$3,$G132,0)-IF($H132=AU$3,$J132,0)</f>
        <v/>
      </c>
      <c r="AV132" s="47">
        <f>IF($E132=AV$3,$G132,0)-IF($H132=AV$3,$J132,0)</f>
        <v/>
      </c>
      <c r="AW132" s="47">
        <f>IF($E132=AW$3,$G132,0)-IF($H132=AW$3,$J132,0)</f>
        <v/>
      </c>
      <c r="AX132" s="47">
        <f>IF($E132=AX$3,$G132,0)-IF($H132=AX$3,$J132,0)</f>
        <v/>
      </c>
      <c r="AY132" s="47">
        <f>IF($E132=AY$3,$G132,0)-IF($H132=AY$3,$J132,0)</f>
        <v/>
      </c>
      <c r="AZ132" s="47">
        <f>IF($E132=AZ$3,$G132,0)-IF($H132=AZ$3,$J132,0)</f>
        <v/>
      </c>
      <c r="BA132" s="47">
        <f>IF($E132=BA$3,$G132,0)-IF($H132=BA$3,$J132,0)</f>
        <v/>
      </c>
      <c r="BB132" s="47">
        <f>IF($E132=BB$3,$G132,0)-IF($H132=BB$3,$J132,0)</f>
        <v/>
      </c>
      <c r="BC132" s="47">
        <f>IF($E132=BC$3,$G132,0)-IF($H132=BC$3,$J132,0)</f>
        <v/>
      </c>
      <c r="BD132" s="47">
        <f>IF($E132=BD$3,$G132,0)-IF($H132=BD$3,$J132,0)</f>
        <v/>
      </c>
      <c r="BE132" s="47">
        <f>IF($E132=BE$3,$G132,0)-IF($H132=BE$3,$J132,0)</f>
        <v/>
      </c>
      <c r="BF132" s="47">
        <f>IF($E132=BF$3,$G132,0)-IF($H132=BF$3,$J132,0)</f>
        <v/>
      </c>
      <c r="BG132" s="47">
        <f>IF($E132=BG$3,$G132,0)-IF($H132=BG$3,$J132,0)</f>
        <v/>
      </c>
      <c r="BH132" s="47">
        <f>IF($E132=BH$3,$G132,0)-IF($H132=BH$3,$J132,0)</f>
        <v/>
      </c>
      <c r="BI132" s="47">
        <f>IF($E132=BI$3,$G132,0)-IF($H132=BI$3,$J132,0)</f>
        <v/>
      </c>
      <c r="BJ132" s="47">
        <f>IF($E132=BJ$3,$G132,0)-IF($H132=BJ$3,$J132,0)</f>
        <v/>
      </c>
      <c r="BK132" s="47">
        <f>IF($E132=BK$3,$G132,0)-IF($H132=BK$3,$J132,0)</f>
        <v/>
      </c>
      <c r="BL132" s="46">
        <f>-IF($E132=BL$3,$G132,0)+IF($H132=BL$3,$J132,0)</f>
        <v/>
      </c>
      <c r="BM132" s="47">
        <f>-IF($E132=BM$3,$G132,0)+IF($H132=BM$3,$J132,0)</f>
        <v/>
      </c>
      <c r="BN132" s="47">
        <f>-IF($E132=BN$3,$G132,0)+IF($H132=BN$3,$J132,0)</f>
        <v/>
      </c>
      <c r="BO132" s="47">
        <f>-IF($E132=BO$3,$G132,0)+IF($H132=BO$3,$J132,0)</f>
        <v/>
      </c>
      <c r="BP132" s="47">
        <f>-IF($E132=BP$3,$G132,0)+IF($H132=BP$3,$J132,0)</f>
        <v/>
      </c>
      <c r="BQ132" s="47">
        <f>-IF($E132=BQ$3,$G132,0)+IF($H132=BQ$3,$J132,0)</f>
        <v/>
      </c>
      <c r="BR132" s="47">
        <f>-IF($E132=BR$3,$G132,0)+IF($H132=BR$3,$J132,0)</f>
        <v/>
      </c>
      <c r="BS132" s="47">
        <f>-IF($E132=BS$3,$G132,0)+IF($H132=BS$3,$J132,0)</f>
        <v/>
      </c>
      <c r="BT132" s="47">
        <f>-IF($E132=BT$3,$G132,0)+IF($H132=BT$3,$J132,0)</f>
        <v/>
      </c>
      <c r="BU132" s="46">
        <f>+G132-J132</f>
        <v/>
      </c>
      <c r="BV132" s="48">
        <f>-IF($E132=BV$3,$G132,0)+IF($H132=BV$3,$J132,0)</f>
        <v/>
      </c>
      <c r="BW132" s="3" t="n"/>
    </row>
    <row r="133" ht="15.75" customHeight="1" s="214">
      <c r="A133" s="7" t="n"/>
      <c r="B133" s="8" t="n"/>
      <c r="C133" s="9" t="n"/>
      <c r="D133" s="10" t="n"/>
      <c r="E133" s="247" t="n"/>
      <c r="F133" s="11">
        <f>IF(E133="","",IF(ISNA(VLOOKUP(E133,科目コード表!$C$4:$D$67,2,FALSE)),"該当科目なし",VLOOKUP(E133,科目コード表!$C$4:$D$67,2,FALSE)))</f>
        <v/>
      </c>
      <c r="G133" s="38" t="n"/>
      <c r="H133" s="248" t="n"/>
      <c r="I133" s="11">
        <f>IF(H133="","",IF(ISNA(VLOOKUP(H133,科目コード表!$C$4:$D$67,2,FALSE)),"該当科目なし",VLOOKUP(H133,科目コード表!$C$4:$D$67,2,FALSE)))</f>
        <v/>
      </c>
      <c r="J133" s="40" t="n"/>
      <c r="L133" s="46">
        <f>IF($E133=L$3,$G133,0)-IF($H133=L$3,$J133,0)</f>
        <v/>
      </c>
      <c r="M133" s="47">
        <f>IF($E133=M$3,$G133,0)-IF($H133=M$3,$J133,0)</f>
        <v/>
      </c>
      <c r="N133" s="47">
        <f>IF($E133=N$3,$G133,0)-IF($H133=N$3,$J133,0)</f>
        <v/>
      </c>
      <c r="O133" s="47">
        <f>IF($E133=O$3,$G133,0)-IF($H133=O$3,$J133,0)</f>
        <v/>
      </c>
      <c r="P133" s="47">
        <f>IF($E133=P$3,$G133,0)-IF($H133=P$3,$J133,0)</f>
        <v/>
      </c>
      <c r="Q133" s="47">
        <f>IF($E133=Q$3,$G133,0)-IF($H133=Q$3,$J133,0)</f>
        <v/>
      </c>
      <c r="R133" s="47">
        <f>IF($E133=R$3,$G133,0)-IF($H133=R$3,$J133,0)</f>
        <v/>
      </c>
      <c r="S133" s="47">
        <f>IF($E133=S$3,$G133,0)-IF($H133=S$3,$J133,0)</f>
        <v/>
      </c>
      <c r="T133" s="47">
        <f>IF($E133=T$3,$G133,0)-IF($H133=T$3,$J133,0)</f>
        <v/>
      </c>
      <c r="U133" s="47">
        <f>IF($E133=U$3,$G133,0)-IF($H133=U$3,$J133,0)</f>
        <v/>
      </c>
      <c r="V133" s="47">
        <f>IF($E133=V$3,$G133,0)-IF($H133=V$3,$J133,0)</f>
        <v/>
      </c>
      <c r="W133" s="47">
        <f>IF($E133=W$3,$G133,0)-IF($H133=W$3,$J133,0)</f>
        <v/>
      </c>
      <c r="X133" s="47">
        <f>IF($E133=X$3,$G133,0)-IF($H133=X$3,$J133,0)</f>
        <v/>
      </c>
      <c r="Y133" s="47">
        <f>IF($E133=Y$3,$G133,0)-IF($H133=Y$3,$J133,0)</f>
        <v/>
      </c>
      <c r="Z133" s="47">
        <f>IF($E133=Z$3,$G133,0)-IF($H133=Z$3,$J133,0)</f>
        <v/>
      </c>
      <c r="AA133" s="47">
        <f>IF($E133=AA$3,$G133,0)-IF($H133=AA$3,$J133,0)</f>
        <v/>
      </c>
      <c r="AB133" s="47">
        <f>IF($E133=AB$3,$G133,0)-IF($H133=AB$3,$J133,0)</f>
        <v/>
      </c>
      <c r="AC133" s="47">
        <f>IF($E133=AC$3,$G133,0)-IF($H133=AC$3,$J133,0)</f>
        <v/>
      </c>
      <c r="AD133" s="47">
        <f>IF($E133=AD$3,$G133,0)-IF($H133=AD$3,$J133,0)</f>
        <v/>
      </c>
      <c r="AE133" s="47">
        <f>IF($E133=AE$3,$G133,0)-IF($H133=AE$3,$J133,0)</f>
        <v/>
      </c>
      <c r="AF133" s="47">
        <f>IF($E133=AF$3,$G133,0)-IF($H133=AF$3,$J133,0)</f>
        <v/>
      </c>
      <c r="AG133" s="47">
        <f>IF($E133=AG$3,$G133,0)-IF($H133=AG$3,$J133,0)</f>
        <v/>
      </c>
      <c r="AH133" s="47">
        <f>IF($E133=AH$3,$G133,0)-IF($H133=AH$3,$J133,0)</f>
        <v/>
      </c>
      <c r="AI133" s="47">
        <f>IF($E133=AI$3,$G133,0)-IF($H133=AI$3,$J133,0)</f>
        <v/>
      </c>
      <c r="AJ133" s="47">
        <f>IF($E133=AJ$3,$G133,0)-IF($H133=AJ$3,$J133,0)</f>
        <v/>
      </c>
      <c r="AK133" s="47">
        <f>IF($E133=AK$3,$G133,0)-IF($H133=AK$3,$J133,0)</f>
        <v/>
      </c>
      <c r="AL133" s="48">
        <f>IF($E133=AL$3,$G133,0)-IF($H133=AL$3,$J133,0)</f>
        <v/>
      </c>
      <c r="AM133" s="46">
        <f>-IF($E133=AM$3,$G133,0)+IF($H133=AM$3,$J133,0)</f>
        <v/>
      </c>
      <c r="AN133" s="47">
        <f>-IF($E133=AN$3,$G133,0)+IF($H133=AN$3,$J133,0)</f>
        <v/>
      </c>
      <c r="AO133" s="48">
        <f>-IF($E133=AO$3,$G133,0)+IF($H133=AO$3,$J133,0)</f>
        <v/>
      </c>
      <c r="AP133" s="46">
        <f>IF($E133=AP$3,$G133,0)-IF($H133=AP$3,$J133,0)</f>
        <v/>
      </c>
      <c r="AQ133" s="47">
        <f>IF($E133=AQ$3,$G133,0)-IF($H133=AQ$3,$J133,0)</f>
        <v/>
      </c>
      <c r="AR133" s="47">
        <f>IF($E133=AR$3,$G133,0)-IF($H133=AR$3,$J133,0)</f>
        <v/>
      </c>
      <c r="AS133" s="47">
        <f>IF($E133=AS$3,$G133,0)-IF($H133=AS$3,$J133,0)</f>
        <v/>
      </c>
      <c r="AT133" s="47">
        <f>IF($E133=AT$3,$G133,0)-IF($H133=AT$3,$J133,0)</f>
        <v/>
      </c>
      <c r="AU133" s="47">
        <f>IF($E133=AU$3,$G133,0)-IF($H133=AU$3,$J133,0)</f>
        <v/>
      </c>
      <c r="AV133" s="47">
        <f>IF($E133=AV$3,$G133,0)-IF($H133=AV$3,$J133,0)</f>
        <v/>
      </c>
      <c r="AW133" s="47">
        <f>IF($E133=AW$3,$G133,0)-IF($H133=AW$3,$J133,0)</f>
        <v/>
      </c>
      <c r="AX133" s="47">
        <f>IF($E133=AX$3,$G133,0)-IF($H133=AX$3,$J133,0)</f>
        <v/>
      </c>
      <c r="AY133" s="47">
        <f>IF($E133=AY$3,$G133,0)-IF($H133=AY$3,$J133,0)</f>
        <v/>
      </c>
      <c r="AZ133" s="47">
        <f>IF($E133=AZ$3,$G133,0)-IF($H133=AZ$3,$J133,0)</f>
        <v/>
      </c>
      <c r="BA133" s="47">
        <f>IF($E133=BA$3,$G133,0)-IF($H133=BA$3,$J133,0)</f>
        <v/>
      </c>
      <c r="BB133" s="47">
        <f>IF($E133=BB$3,$G133,0)-IF($H133=BB$3,$J133,0)</f>
        <v/>
      </c>
      <c r="BC133" s="47">
        <f>IF($E133=BC$3,$G133,0)-IF($H133=BC$3,$J133,0)</f>
        <v/>
      </c>
      <c r="BD133" s="47">
        <f>IF($E133=BD$3,$G133,0)-IF($H133=BD$3,$J133,0)</f>
        <v/>
      </c>
      <c r="BE133" s="47">
        <f>IF($E133=BE$3,$G133,0)-IF($H133=BE$3,$J133,0)</f>
        <v/>
      </c>
      <c r="BF133" s="47">
        <f>IF($E133=BF$3,$G133,0)-IF($H133=BF$3,$J133,0)</f>
        <v/>
      </c>
      <c r="BG133" s="47">
        <f>IF($E133=BG$3,$G133,0)-IF($H133=BG$3,$J133,0)</f>
        <v/>
      </c>
      <c r="BH133" s="47">
        <f>IF($E133=BH$3,$G133,0)-IF($H133=BH$3,$J133,0)</f>
        <v/>
      </c>
      <c r="BI133" s="47">
        <f>IF($E133=BI$3,$G133,0)-IF($H133=BI$3,$J133,0)</f>
        <v/>
      </c>
      <c r="BJ133" s="47">
        <f>IF($E133=BJ$3,$G133,0)-IF($H133=BJ$3,$J133,0)</f>
        <v/>
      </c>
      <c r="BK133" s="47">
        <f>IF($E133=BK$3,$G133,0)-IF($H133=BK$3,$J133,0)</f>
        <v/>
      </c>
      <c r="BL133" s="46">
        <f>-IF($E133=BL$3,$G133,0)+IF($H133=BL$3,$J133,0)</f>
        <v/>
      </c>
      <c r="BM133" s="47">
        <f>-IF($E133=BM$3,$G133,0)+IF($H133=BM$3,$J133,0)</f>
        <v/>
      </c>
      <c r="BN133" s="47">
        <f>-IF($E133=BN$3,$G133,0)+IF($H133=BN$3,$J133,0)</f>
        <v/>
      </c>
      <c r="BO133" s="47">
        <f>-IF($E133=BO$3,$G133,0)+IF($H133=BO$3,$J133,0)</f>
        <v/>
      </c>
      <c r="BP133" s="47">
        <f>-IF($E133=BP$3,$G133,0)+IF($H133=BP$3,$J133,0)</f>
        <v/>
      </c>
      <c r="BQ133" s="47">
        <f>-IF($E133=BQ$3,$G133,0)+IF($H133=BQ$3,$J133,0)</f>
        <v/>
      </c>
      <c r="BR133" s="47">
        <f>-IF($E133=BR$3,$G133,0)+IF($H133=BR$3,$J133,0)</f>
        <v/>
      </c>
      <c r="BS133" s="47">
        <f>-IF($E133=BS$3,$G133,0)+IF($H133=BS$3,$J133,0)</f>
        <v/>
      </c>
      <c r="BT133" s="47">
        <f>-IF($E133=BT$3,$G133,0)+IF($H133=BT$3,$J133,0)</f>
        <v/>
      </c>
      <c r="BU133" s="46">
        <f>+G133-J133</f>
        <v/>
      </c>
      <c r="BV133" s="48">
        <f>-IF($E133=BV$3,$G133,0)+IF($H133=BV$3,$J133,0)</f>
        <v/>
      </c>
      <c r="BW133" s="3" t="n"/>
    </row>
    <row r="134" ht="15.75" customHeight="1" s="214">
      <c r="A134" s="7" t="n"/>
      <c r="B134" s="8" t="n"/>
      <c r="C134" s="9" t="n"/>
      <c r="D134" s="10" t="n"/>
      <c r="E134" s="247" t="n"/>
      <c r="F134" s="11">
        <f>IF(E134="","",IF(ISNA(VLOOKUP(E134,科目コード表!$C$4:$D$67,2,FALSE)),"該当科目なし",VLOOKUP(E134,科目コード表!$C$4:$D$67,2,FALSE)))</f>
        <v/>
      </c>
      <c r="G134" s="38" t="n"/>
      <c r="H134" s="248" t="n"/>
      <c r="I134" s="11">
        <f>IF(H134="","",IF(ISNA(VLOOKUP(H134,科目コード表!$C$4:$D$67,2,FALSE)),"該当科目なし",VLOOKUP(H134,科目コード表!$C$4:$D$67,2,FALSE)))</f>
        <v/>
      </c>
      <c r="J134" s="40" t="n"/>
      <c r="L134" s="46">
        <f>IF($E134=L$3,$G134,0)-IF($H134=L$3,$J134,0)</f>
        <v/>
      </c>
      <c r="M134" s="47">
        <f>IF($E134=M$3,$G134,0)-IF($H134=M$3,$J134,0)</f>
        <v/>
      </c>
      <c r="N134" s="47">
        <f>IF($E134=N$3,$G134,0)-IF($H134=N$3,$J134,0)</f>
        <v/>
      </c>
      <c r="O134" s="47">
        <f>IF($E134=O$3,$G134,0)-IF($H134=O$3,$J134,0)</f>
        <v/>
      </c>
      <c r="P134" s="47">
        <f>IF($E134=P$3,$G134,0)-IF($H134=P$3,$J134,0)</f>
        <v/>
      </c>
      <c r="Q134" s="47">
        <f>IF($E134=Q$3,$G134,0)-IF($H134=Q$3,$J134,0)</f>
        <v/>
      </c>
      <c r="R134" s="47">
        <f>IF($E134=R$3,$G134,0)-IF($H134=R$3,$J134,0)</f>
        <v/>
      </c>
      <c r="S134" s="47">
        <f>IF($E134=S$3,$G134,0)-IF($H134=S$3,$J134,0)</f>
        <v/>
      </c>
      <c r="T134" s="47">
        <f>IF($E134=T$3,$G134,0)-IF($H134=T$3,$J134,0)</f>
        <v/>
      </c>
      <c r="U134" s="47">
        <f>IF($E134=U$3,$G134,0)-IF($H134=U$3,$J134,0)</f>
        <v/>
      </c>
      <c r="V134" s="47">
        <f>IF($E134=V$3,$G134,0)-IF($H134=V$3,$J134,0)</f>
        <v/>
      </c>
      <c r="W134" s="47">
        <f>IF($E134=W$3,$G134,0)-IF($H134=W$3,$J134,0)</f>
        <v/>
      </c>
      <c r="X134" s="47">
        <f>IF($E134=X$3,$G134,0)-IF($H134=X$3,$J134,0)</f>
        <v/>
      </c>
      <c r="Y134" s="47">
        <f>IF($E134=Y$3,$G134,0)-IF($H134=Y$3,$J134,0)</f>
        <v/>
      </c>
      <c r="Z134" s="47">
        <f>IF($E134=Z$3,$G134,0)-IF($H134=Z$3,$J134,0)</f>
        <v/>
      </c>
      <c r="AA134" s="47">
        <f>IF($E134=AA$3,$G134,0)-IF($H134=AA$3,$J134,0)</f>
        <v/>
      </c>
      <c r="AB134" s="47">
        <f>IF($E134=AB$3,$G134,0)-IF($H134=AB$3,$J134,0)</f>
        <v/>
      </c>
      <c r="AC134" s="47">
        <f>IF($E134=AC$3,$G134,0)-IF($H134=AC$3,$J134,0)</f>
        <v/>
      </c>
      <c r="AD134" s="47">
        <f>IF($E134=AD$3,$G134,0)-IF($H134=AD$3,$J134,0)</f>
        <v/>
      </c>
      <c r="AE134" s="47">
        <f>IF($E134=AE$3,$G134,0)-IF($H134=AE$3,$J134,0)</f>
        <v/>
      </c>
      <c r="AF134" s="47">
        <f>IF($E134=AF$3,$G134,0)-IF($H134=AF$3,$J134,0)</f>
        <v/>
      </c>
      <c r="AG134" s="47">
        <f>IF($E134=AG$3,$G134,0)-IF($H134=AG$3,$J134,0)</f>
        <v/>
      </c>
      <c r="AH134" s="47">
        <f>IF($E134=AH$3,$G134,0)-IF($H134=AH$3,$J134,0)</f>
        <v/>
      </c>
      <c r="AI134" s="47">
        <f>IF($E134=AI$3,$G134,0)-IF($H134=AI$3,$J134,0)</f>
        <v/>
      </c>
      <c r="AJ134" s="47">
        <f>IF($E134=AJ$3,$G134,0)-IF($H134=AJ$3,$J134,0)</f>
        <v/>
      </c>
      <c r="AK134" s="47">
        <f>IF($E134=AK$3,$G134,0)-IF($H134=AK$3,$J134,0)</f>
        <v/>
      </c>
      <c r="AL134" s="48">
        <f>IF($E134=AL$3,$G134,0)-IF($H134=AL$3,$J134,0)</f>
        <v/>
      </c>
      <c r="AM134" s="46">
        <f>-IF($E134=AM$3,$G134,0)+IF($H134=AM$3,$J134,0)</f>
        <v/>
      </c>
      <c r="AN134" s="47">
        <f>-IF($E134=AN$3,$G134,0)+IF($H134=AN$3,$J134,0)</f>
        <v/>
      </c>
      <c r="AO134" s="48">
        <f>-IF($E134=AO$3,$G134,0)+IF($H134=AO$3,$J134,0)</f>
        <v/>
      </c>
      <c r="AP134" s="46">
        <f>IF($E134=AP$3,$G134,0)-IF($H134=AP$3,$J134,0)</f>
        <v/>
      </c>
      <c r="AQ134" s="47">
        <f>IF($E134=AQ$3,$G134,0)-IF($H134=AQ$3,$J134,0)</f>
        <v/>
      </c>
      <c r="AR134" s="47">
        <f>IF($E134=AR$3,$G134,0)-IF($H134=AR$3,$J134,0)</f>
        <v/>
      </c>
      <c r="AS134" s="47">
        <f>IF($E134=AS$3,$G134,0)-IF($H134=AS$3,$J134,0)</f>
        <v/>
      </c>
      <c r="AT134" s="47">
        <f>IF($E134=AT$3,$G134,0)-IF($H134=AT$3,$J134,0)</f>
        <v/>
      </c>
      <c r="AU134" s="47">
        <f>IF($E134=AU$3,$G134,0)-IF($H134=AU$3,$J134,0)</f>
        <v/>
      </c>
      <c r="AV134" s="47">
        <f>IF($E134=AV$3,$G134,0)-IF($H134=AV$3,$J134,0)</f>
        <v/>
      </c>
      <c r="AW134" s="47">
        <f>IF($E134=AW$3,$G134,0)-IF($H134=AW$3,$J134,0)</f>
        <v/>
      </c>
      <c r="AX134" s="47">
        <f>IF($E134=AX$3,$G134,0)-IF($H134=AX$3,$J134,0)</f>
        <v/>
      </c>
      <c r="AY134" s="47">
        <f>IF($E134=AY$3,$G134,0)-IF($H134=AY$3,$J134,0)</f>
        <v/>
      </c>
      <c r="AZ134" s="47">
        <f>IF($E134=AZ$3,$G134,0)-IF($H134=AZ$3,$J134,0)</f>
        <v/>
      </c>
      <c r="BA134" s="47">
        <f>IF($E134=BA$3,$G134,0)-IF($H134=BA$3,$J134,0)</f>
        <v/>
      </c>
      <c r="BB134" s="47">
        <f>IF($E134=BB$3,$G134,0)-IF($H134=BB$3,$J134,0)</f>
        <v/>
      </c>
      <c r="BC134" s="47">
        <f>IF($E134=BC$3,$G134,0)-IF($H134=BC$3,$J134,0)</f>
        <v/>
      </c>
      <c r="BD134" s="47">
        <f>IF($E134=BD$3,$G134,0)-IF($H134=BD$3,$J134,0)</f>
        <v/>
      </c>
      <c r="BE134" s="47">
        <f>IF($E134=BE$3,$G134,0)-IF($H134=BE$3,$J134,0)</f>
        <v/>
      </c>
      <c r="BF134" s="47">
        <f>IF($E134=BF$3,$G134,0)-IF($H134=BF$3,$J134,0)</f>
        <v/>
      </c>
      <c r="BG134" s="47">
        <f>IF($E134=BG$3,$G134,0)-IF($H134=BG$3,$J134,0)</f>
        <v/>
      </c>
      <c r="BH134" s="47">
        <f>IF($E134=BH$3,$G134,0)-IF($H134=BH$3,$J134,0)</f>
        <v/>
      </c>
      <c r="BI134" s="47">
        <f>IF($E134=BI$3,$G134,0)-IF($H134=BI$3,$J134,0)</f>
        <v/>
      </c>
      <c r="BJ134" s="47">
        <f>IF($E134=BJ$3,$G134,0)-IF($H134=BJ$3,$J134,0)</f>
        <v/>
      </c>
      <c r="BK134" s="47">
        <f>IF($E134=BK$3,$G134,0)-IF($H134=BK$3,$J134,0)</f>
        <v/>
      </c>
      <c r="BL134" s="46">
        <f>-IF($E134=BL$3,$G134,0)+IF($H134=BL$3,$J134,0)</f>
        <v/>
      </c>
      <c r="BM134" s="47">
        <f>-IF($E134=BM$3,$G134,0)+IF($H134=BM$3,$J134,0)</f>
        <v/>
      </c>
      <c r="BN134" s="47">
        <f>-IF($E134=BN$3,$G134,0)+IF($H134=BN$3,$J134,0)</f>
        <v/>
      </c>
      <c r="BO134" s="47">
        <f>-IF($E134=BO$3,$G134,0)+IF($H134=BO$3,$J134,0)</f>
        <v/>
      </c>
      <c r="BP134" s="47">
        <f>-IF($E134=BP$3,$G134,0)+IF($H134=BP$3,$J134,0)</f>
        <v/>
      </c>
      <c r="BQ134" s="47">
        <f>-IF($E134=BQ$3,$G134,0)+IF($H134=BQ$3,$J134,0)</f>
        <v/>
      </c>
      <c r="BR134" s="47">
        <f>-IF($E134=BR$3,$G134,0)+IF($H134=BR$3,$J134,0)</f>
        <v/>
      </c>
      <c r="BS134" s="47">
        <f>-IF($E134=BS$3,$G134,0)+IF($H134=BS$3,$J134,0)</f>
        <v/>
      </c>
      <c r="BT134" s="47">
        <f>-IF($E134=BT$3,$G134,0)+IF($H134=BT$3,$J134,0)</f>
        <v/>
      </c>
      <c r="BU134" s="46">
        <f>+G134-J134</f>
        <v/>
      </c>
      <c r="BV134" s="48">
        <f>-IF($E134=BV$3,$G134,0)+IF($H134=BV$3,$J134,0)</f>
        <v/>
      </c>
      <c r="BW134" s="3" t="n"/>
    </row>
    <row r="135" ht="15.75" customHeight="1" s="214">
      <c r="A135" s="7" t="n"/>
      <c r="B135" s="8" t="n"/>
      <c r="C135" s="9" t="n"/>
      <c r="D135" s="10" t="n"/>
      <c r="E135" s="247" t="n"/>
      <c r="F135" s="11">
        <f>IF(E135="","",IF(ISNA(VLOOKUP(E135,科目コード表!$C$4:$D$67,2,FALSE)),"該当科目なし",VLOOKUP(E135,科目コード表!$C$4:$D$67,2,FALSE)))</f>
        <v/>
      </c>
      <c r="G135" s="38" t="n"/>
      <c r="H135" s="248" t="n"/>
      <c r="I135" s="11">
        <f>IF(H135="","",IF(ISNA(VLOOKUP(H135,科目コード表!$C$4:$D$67,2,FALSE)),"該当科目なし",VLOOKUP(H135,科目コード表!$C$4:$D$67,2,FALSE)))</f>
        <v/>
      </c>
      <c r="J135" s="40" t="n"/>
      <c r="L135" s="46">
        <f>IF($E135=L$3,$G135,0)-IF($H135=L$3,$J135,0)</f>
        <v/>
      </c>
      <c r="M135" s="47">
        <f>IF($E135=M$3,$G135,0)-IF($H135=M$3,$J135,0)</f>
        <v/>
      </c>
      <c r="N135" s="47">
        <f>IF($E135=N$3,$G135,0)-IF($H135=N$3,$J135,0)</f>
        <v/>
      </c>
      <c r="O135" s="47">
        <f>IF($E135=O$3,$G135,0)-IF($H135=O$3,$J135,0)</f>
        <v/>
      </c>
      <c r="P135" s="47">
        <f>IF($E135=P$3,$G135,0)-IF($H135=P$3,$J135,0)</f>
        <v/>
      </c>
      <c r="Q135" s="47">
        <f>IF($E135=Q$3,$G135,0)-IF($H135=Q$3,$J135,0)</f>
        <v/>
      </c>
      <c r="R135" s="47">
        <f>IF($E135=R$3,$G135,0)-IF($H135=R$3,$J135,0)</f>
        <v/>
      </c>
      <c r="S135" s="47">
        <f>IF($E135=S$3,$G135,0)-IF($H135=S$3,$J135,0)</f>
        <v/>
      </c>
      <c r="T135" s="47">
        <f>IF($E135=T$3,$G135,0)-IF($H135=T$3,$J135,0)</f>
        <v/>
      </c>
      <c r="U135" s="47">
        <f>IF($E135=U$3,$G135,0)-IF($H135=U$3,$J135,0)</f>
        <v/>
      </c>
      <c r="V135" s="47">
        <f>IF($E135=V$3,$G135,0)-IF($H135=V$3,$J135,0)</f>
        <v/>
      </c>
      <c r="W135" s="47">
        <f>IF($E135=W$3,$G135,0)-IF($H135=W$3,$J135,0)</f>
        <v/>
      </c>
      <c r="X135" s="47">
        <f>IF($E135=X$3,$G135,0)-IF($H135=X$3,$J135,0)</f>
        <v/>
      </c>
      <c r="Y135" s="47">
        <f>IF($E135=Y$3,$G135,0)-IF($H135=Y$3,$J135,0)</f>
        <v/>
      </c>
      <c r="Z135" s="47">
        <f>IF($E135=Z$3,$G135,0)-IF($H135=Z$3,$J135,0)</f>
        <v/>
      </c>
      <c r="AA135" s="47">
        <f>IF($E135=AA$3,$G135,0)-IF($H135=AA$3,$J135,0)</f>
        <v/>
      </c>
      <c r="AB135" s="47">
        <f>IF($E135=AB$3,$G135,0)-IF($H135=AB$3,$J135,0)</f>
        <v/>
      </c>
      <c r="AC135" s="47">
        <f>IF($E135=AC$3,$G135,0)-IF($H135=AC$3,$J135,0)</f>
        <v/>
      </c>
      <c r="AD135" s="47">
        <f>IF($E135=AD$3,$G135,0)-IF($H135=AD$3,$J135,0)</f>
        <v/>
      </c>
      <c r="AE135" s="47">
        <f>IF($E135=AE$3,$G135,0)-IF($H135=AE$3,$J135,0)</f>
        <v/>
      </c>
      <c r="AF135" s="47">
        <f>IF($E135=AF$3,$G135,0)-IF($H135=AF$3,$J135,0)</f>
        <v/>
      </c>
      <c r="AG135" s="47">
        <f>IF($E135=AG$3,$G135,0)-IF($H135=AG$3,$J135,0)</f>
        <v/>
      </c>
      <c r="AH135" s="47">
        <f>IF($E135=AH$3,$G135,0)-IF($H135=AH$3,$J135,0)</f>
        <v/>
      </c>
      <c r="AI135" s="47">
        <f>IF($E135=AI$3,$G135,0)-IF($H135=AI$3,$J135,0)</f>
        <v/>
      </c>
      <c r="AJ135" s="47">
        <f>IF($E135=AJ$3,$G135,0)-IF($H135=AJ$3,$J135,0)</f>
        <v/>
      </c>
      <c r="AK135" s="47">
        <f>IF($E135=AK$3,$G135,0)-IF($H135=AK$3,$J135,0)</f>
        <v/>
      </c>
      <c r="AL135" s="48">
        <f>IF($E135=AL$3,$G135,0)-IF($H135=AL$3,$J135,0)</f>
        <v/>
      </c>
      <c r="AM135" s="46">
        <f>-IF($E135=AM$3,$G135,0)+IF($H135=AM$3,$J135,0)</f>
        <v/>
      </c>
      <c r="AN135" s="47">
        <f>-IF($E135=AN$3,$G135,0)+IF($H135=AN$3,$J135,0)</f>
        <v/>
      </c>
      <c r="AO135" s="48">
        <f>-IF($E135=AO$3,$G135,0)+IF($H135=AO$3,$J135,0)</f>
        <v/>
      </c>
      <c r="AP135" s="46">
        <f>IF($E135=AP$3,$G135,0)-IF($H135=AP$3,$J135,0)</f>
        <v/>
      </c>
      <c r="AQ135" s="47">
        <f>IF($E135=AQ$3,$G135,0)-IF($H135=AQ$3,$J135,0)</f>
        <v/>
      </c>
      <c r="AR135" s="47">
        <f>IF($E135=AR$3,$G135,0)-IF($H135=AR$3,$J135,0)</f>
        <v/>
      </c>
      <c r="AS135" s="47">
        <f>IF($E135=AS$3,$G135,0)-IF($H135=AS$3,$J135,0)</f>
        <v/>
      </c>
      <c r="AT135" s="47">
        <f>IF($E135=AT$3,$G135,0)-IF($H135=AT$3,$J135,0)</f>
        <v/>
      </c>
      <c r="AU135" s="47">
        <f>IF($E135=AU$3,$G135,0)-IF($H135=AU$3,$J135,0)</f>
        <v/>
      </c>
      <c r="AV135" s="47">
        <f>IF($E135=AV$3,$G135,0)-IF($H135=AV$3,$J135,0)</f>
        <v/>
      </c>
      <c r="AW135" s="47">
        <f>IF($E135=AW$3,$G135,0)-IF($H135=AW$3,$J135,0)</f>
        <v/>
      </c>
      <c r="AX135" s="47">
        <f>IF($E135=AX$3,$G135,0)-IF($H135=AX$3,$J135,0)</f>
        <v/>
      </c>
      <c r="AY135" s="47">
        <f>IF($E135=AY$3,$G135,0)-IF($H135=AY$3,$J135,0)</f>
        <v/>
      </c>
      <c r="AZ135" s="47">
        <f>IF($E135=AZ$3,$G135,0)-IF($H135=AZ$3,$J135,0)</f>
        <v/>
      </c>
      <c r="BA135" s="47">
        <f>IF($E135=BA$3,$G135,0)-IF($H135=BA$3,$J135,0)</f>
        <v/>
      </c>
      <c r="BB135" s="47">
        <f>IF($E135=BB$3,$G135,0)-IF($H135=BB$3,$J135,0)</f>
        <v/>
      </c>
      <c r="BC135" s="47">
        <f>IF($E135=BC$3,$G135,0)-IF($H135=BC$3,$J135,0)</f>
        <v/>
      </c>
      <c r="BD135" s="47">
        <f>IF($E135=BD$3,$G135,0)-IF($H135=BD$3,$J135,0)</f>
        <v/>
      </c>
      <c r="BE135" s="47">
        <f>IF($E135=BE$3,$G135,0)-IF($H135=BE$3,$J135,0)</f>
        <v/>
      </c>
      <c r="BF135" s="47">
        <f>IF($E135=BF$3,$G135,0)-IF($H135=BF$3,$J135,0)</f>
        <v/>
      </c>
      <c r="BG135" s="47">
        <f>IF($E135=BG$3,$G135,0)-IF($H135=BG$3,$J135,0)</f>
        <v/>
      </c>
      <c r="BH135" s="47">
        <f>IF($E135=BH$3,$G135,0)-IF($H135=BH$3,$J135,0)</f>
        <v/>
      </c>
      <c r="BI135" s="47">
        <f>IF($E135=BI$3,$G135,0)-IF($H135=BI$3,$J135,0)</f>
        <v/>
      </c>
      <c r="BJ135" s="47">
        <f>IF($E135=BJ$3,$G135,0)-IF($H135=BJ$3,$J135,0)</f>
        <v/>
      </c>
      <c r="BK135" s="47">
        <f>IF($E135=BK$3,$G135,0)-IF($H135=BK$3,$J135,0)</f>
        <v/>
      </c>
      <c r="BL135" s="46">
        <f>-IF($E135=BL$3,$G135,0)+IF($H135=BL$3,$J135,0)</f>
        <v/>
      </c>
      <c r="BM135" s="47">
        <f>-IF($E135=BM$3,$G135,0)+IF($H135=BM$3,$J135,0)</f>
        <v/>
      </c>
      <c r="BN135" s="47">
        <f>-IF($E135=BN$3,$G135,0)+IF($H135=BN$3,$J135,0)</f>
        <v/>
      </c>
      <c r="BO135" s="47">
        <f>-IF($E135=BO$3,$G135,0)+IF($H135=BO$3,$J135,0)</f>
        <v/>
      </c>
      <c r="BP135" s="47">
        <f>-IF($E135=BP$3,$G135,0)+IF($H135=BP$3,$J135,0)</f>
        <v/>
      </c>
      <c r="BQ135" s="47">
        <f>-IF($E135=BQ$3,$G135,0)+IF($H135=BQ$3,$J135,0)</f>
        <v/>
      </c>
      <c r="BR135" s="47">
        <f>-IF($E135=BR$3,$G135,0)+IF($H135=BR$3,$J135,0)</f>
        <v/>
      </c>
      <c r="BS135" s="47">
        <f>-IF($E135=BS$3,$G135,0)+IF($H135=BS$3,$J135,0)</f>
        <v/>
      </c>
      <c r="BT135" s="47">
        <f>-IF($E135=BT$3,$G135,0)+IF($H135=BT$3,$J135,0)</f>
        <v/>
      </c>
      <c r="BU135" s="46">
        <f>+G135-J135</f>
        <v/>
      </c>
      <c r="BV135" s="48">
        <f>-IF($E135=BV$3,$G135,0)+IF($H135=BV$3,$J135,0)</f>
        <v/>
      </c>
      <c r="BW135" s="3" t="n"/>
    </row>
    <row r="136" ht="15.75" customHeight="1" s="214">
      <c r="A136" s="7" t="n"/>
      <c r="B136" s="8" t="n"/>
      <c r="C136" s="9" t="n"/>
      <c r="D136" s="10" t="n"/>
      <c r="E136" s="247" t="n"/>
      <c r="F136" s="11">
        <f>IF(E136="","",IF(ISNA(VLOOKUP(E136,科目コード表!$C$4:$D$67,2,FALSE)),"該当科目なし",VLOOKUP(E136,科目コード表!$C$4:$D$67,2,FALSE)))</f>
        <v/>
      </c>
      <c r="G136" s="38" t="n"/>
      <c r="H136" s="248" t="n"/>
      <c r="I136" s="11">
        <f>IF(H136="","",IF(ISNA(VLOOKUP(H136,科目コード表!$C$4:$D$67,2,FALSE)),"該当科目なし",VLOOKUP(H136,科目コード表!$C$4:$D$67,2,FALSE)))</f>
        <v/>
      </c>
      <c r="J136" s="40" t="n"/>
      <c r="L136" s="46">
        <f>IF($E136=L$3,$G136,0)-IF($H136=L$3,$J136,0)</f>
        <v/>
      </c>
      <c r="M136" s="47">
        <f>IF($E136=M$3,$G136,0)-IF($H136=M$3,$J136,0)</f>
        <v/>
      </c>
      <c r="N136" s="47">
        <f>IF($E136=N$3,$G136,0)-IF($H136=N$3,$J136,0)</f>
        <v/>
      </c>
      <c r="O136" s="47">
        <f>IF($E136=O$3,$G136,0)-IF($H136=O$3,$J136,0)</f>
        <v/>
      </c>
      <c r="P136" s="47">
        <f>IF($E136=P$3,$G136,0)-IF($H136=P$3,$J136,0)</f>
        <v/>
      </c>
      <c r="Q136" s="47">
        <f>IF($E136=Q$3,$G136,0)-IF($H136=Q$3,$J136,0)</f>
        <v/>
      </c>
      <c r="R136" s="47">
        <f>IF($E136=R$3,$G136,0)-IF($H136=R$3,$J136,0)</f>
        <v/>
      </c>
      <c r="S136" s="47">
        <f>IF($E136=S$3,$G136,0)-IF($H136=S$3,$J136,0)</f>
        <v/>
      </c>
      <c r="T136" s="47">
        <f>IF($E136=T$3,$G136,0)-IF($H136=T$3,$J136,0)</f>
        <v/>
      </c>
      <c r="U136" s="47">
        <f>IF($E136=U$3,$G136,0)-IF($H136=U$3,$J136,0)</f>
        <v/>
      </c>
      <c r="V136" s="47">
        <f>IF($E136=V$3,$G136,0)-IF($H136=V$3,$J136,0)</f>
        <v/>
      </c>
      <c r="W136" s="47">
        <f>IF($E136=W$3,$G136,0)-IF($H136=W$3,$J136,0)</f>
        <v/>
      </c>
      <c r="X136" s="47">
        <f>IF($E136=X$3,$G136,0)-IF($H136=X$3,$J136,0)</f>
        <v/>
      </c>
      <c r="Y136" s="47">
        <f>IF($E136=Y$3,$G136,0)-IF($H136=Y$3,$J136,0)</f>
        <v/>
      </c>
      <c r="Z136" s="47">
        <f>IF($E136=Z$3,$G136,0)-IF($H136=Z$3,$J136,0)</f>
        <v/>
      </c>
      <c r="AA136" s="47">
        <f>IF($E136=AA$3,$G136,0)-IF($H136=AA$3,$J136,0)</f>
        <v/>
      </c>
      <c r="AB136" s="47">
        <f>IF($E136=AB$3,$G136,0)-IF($H136=AB$3,$J136,0)</f>
        <v/>
      </c>
      <c r="AC136" s="47">
        <f>IF($E136=AC$3,$G136,0)-IF($H136=AC$3,$J136,0)</f>
        <v/>
      </c>
      <c r="AD136" s="47">
        <f>IF($E136=AD$3,$G136,0)-IF($H136=AD$3,$J136,0)</f>
        <v/>
      </c>
      <c r="AE136" s="47">
        <f>IF($E136=AE$3,$G136,0)-IF($H136=AE$3,$J136,0)</f>
        <v/>
      </c>
      <c r="AF136" s="47">
        <f>IF($E136=AF$3,$G136,0)-IF($H136=AF$3,$J136,0)</f>
        <v/>
      </c>
      <c r="AG136" s="47">
        <f>IF($E136=AG$3,$G136,0)-IF($H136=AG$3,$J136,0)</f>
        <v/>
      </c>
      <c r="AH136" s="47">
        <f>IF($E136=AH$3,$G136,0)-IF($H136=AH$3,$J136,0)</f>
        <v/>
      </c>
      <c r="AI136" s="47">
        <f>IF($E136=AI$3,$G136,0)-IF($H136=AI$3,$J136,0)</f>
        <v/>
      </c>
      <c r="AJ136" s="47">
        <f>IF($E136=AJ$3,$G136,0)-IF($H136=AJ$3,$J136,0)</f>
        <v/>
      </c>
      <c r="AK136" s="47">
        <f>IF($E136=AK$3,$G136,0)-IF($H136=AK$3,$J136,0)</f>
        <v/>
      </c>
      <c r="AL136" s="48">
        <f>IF($E136=AL$3,$G136,0)-IF($H136=AL$3,$J136,0)</f>
        <v/>
      </c>
      <c r="AM136" s="46">
        <f>-IF($E136=AM$3,$G136,0)+IF($H136=AM$3,$J136,0)</f>
        <v/>
      </c>
      <c r="AN136" s="47">
        <f>-IF($E136=AN$3,$G136,0)+IF($H136=AN$3,$J136,0)</f>
        <v/>
      </c>
      <c r="AO136" s="48">
        <f>-IF($E136=AO$3,$G136,0)+IF($H136=AO$3,$J136,0)</f>
        <v/>
      </c>
      <c r="AP136" s="46">
        <f>IF($E136=AP$3,$G136,0)-IF($H136=AP$3,$J136,0)</f>
        <v/>
      </c>
      <c r="AQ136" s="47">
        <f>IF($E136=AQ$3,$G136,0)-IF($H136=AQ$3,$J136,0)</f>
        <v/>
      </c>
      <c r="AR136" s="47">
        <f>IF($E136=AR$3,$G136,0)-IF($H136=AR$3,$J136,0)</f>
        <v/>
      </c>
      <c r="AS136" s="47">
        <f>IF($E136=AS$3,$G136,0)-IF($H136=AS$3,$J136,0)</f>
        <v/>
      </c>
      <c r="AT136" s="47">
        <f>IF($E136=AT$3,$G136,0)-IF($H136=AT$3,$J136,0)</f>
        <v/>
      </c>
      <c r="AU136" s="47">
        <f>IF($E136=AU$3,$G136,0)-IF($H136=AU$3,$J136,0)</f>
        <v/>
      </c>
      <c r="AV136" s="47">
        <f>IF($E136=AV$3,$G136,0)-IF($H136=AV$3,$J136,0)</f>
        <v/>
      </c>
      <c r="AW136" s="47">
        <f>IF($E136=AW$3,$G136,0)-IF($H136=AW$3,$J136,0)</f>
        <v/>
      </c>
      <c r="AX136" s="47">
        <f>IF($E136=AX$3,$G136,0)-IF($H136=AX$3,$J136,0)</f>
        <v/>
      </c>
      <c r="AY136" s="47">
        <f>IF($E136=AY$3,$G136,0)-IF($H136=AY$3,$J136,0)</f>
        <v/>
      </c>
      <c r="AZ136" s="47">
        <f>IF($E136=AZ$3,$G136,0)-IF($H136=AZ$3,$J136,0)</f>
        <v/>
      </c>
      <c r="BA136" s="47">
        <f>IF($E136=BA$3,$G136,0)-IF($H136=BA$3,$J136,0)</f>
        <v/>
      </c>
      <c r="BB136" s="47">
        <f>IF($E136=BB$3,$G136,0)-IF($H136=BB$3,$J136,0)</f>
        <v/>
      </c>
      <c r="BC136" s="47">
        <f>IF($E136=BC$3,$G136,0)-IF($H136=BC$3,$J136,0)</f>
        <v/>
      </c>
      <c r="BD136" s="47">
        <f>IF($E136=BD$3,$G136,0)-IF($H136=BD$3,$J136,0)</f>
        <v/>
      </c>
      <c r="BE136" s="47">
        <f>IF($E136=BE$3,$G136,0)-IF($H136=BE$3,$J136,0)</f>
        <v/>
      </c>
      <c r="BF136" s="47">
        <f>IF($E136=BF$3,$G136,0)-IF($H136=BF$3,$J136,0)</f>
        <v/>
      </c>
      <c r="BG136" s="47">
        <f>IF($E136=BG$3,$G136,0)-IF($H136=BG$3,$J136,0)</f>
        <v/>
      </c>
      <c r="BH136" s="47">
        <f>IF($E136=BH$3,$G136,0)-IF($H136=BH$3,$J136,0)</f>
        <v/>
      </c>
      <c r="BI136" s="47">
        <f>IF($E136=BI$3,$G136,0)-IF($H136=BI$3,$J136,0)</f>
        <v/>
      </c>
      <c r="BJ136" s="47">
        <f>IF($E136=BJ$3,$G136,0)-IF($H136=BJ$3,$J136,0)</f>
        <v/>
      </c>
      <c r="BK136" s="47">
        <f>IF($E136=BK$3,$G136,0)-IF($H136=BK$3,$J136,0)</f>
        <v/>
      </c>
      <c r="BL136" s="46">
        <f>-IF($E136=BL$3,$G136,0)+IF($H136=BL$3,$J136,0)</f>
        <v/>
      </c>
      <c r="BM136" s="47">
        <f>-IF($E136=BM$3,$G136,0)+IF($H136=BM$3,$J136,0)</f>
        <v/>
      </c>
      <c r="BN136" s="47">
        <f>-IF($E136=BN$3,$G136,0)+IF($H136=BN$3,$J136,0)</f>
        <v/>
      </c>
      <c r="BO136" s="47">
        <f>-IF($E136=BO$3,$G136,0)+IF($H136=BO$3,$J136,0)</f>
        <v/>
      </c>
      <c r="BP136" s="47">
        <f>-IF($E136=BP$3,$G136,0)+IF($H136=BP$3,$J136,0)</f>
        <v/>
      </c>
      <c r="BQ136" s="47">
        <f>-IF($E136=BQ$3,$G136,0)+IF($H136=BQ$3,$J136,0)</f>
        <v/>
      </c>
      <c r="BR136" s="47">
        <f>-IF($E136=BR$3,$G136,0)+IF($H136=BR$3,$J136,0)</f>
        <v/>
      </c>
      <c r="BS136" s="47">
        <f>-IF($E136=BS$3,$G136,0)+IF($H136=BS$3,$J136,0)</f>
        <v/>
      </c>
      <c r="BT136" s="47">
        <f>-IF($E136=BT$3,$G136,0)+IF($H136=BT$3,$J136,0)</f>
        <v/>
      </c>
      <c r="BU136" s="46">
        <f>+G136-J136</f>
        <v/>
      </c>
      <c r="BV136" s="48">
        <f>-IF($E136=BV$3,$G136,0)+IF($H136=BV$3,$J136,0)</f>
        <v/>
      </c>
      <c r="BW136" s="3" t="n"/>
    </row>
    <row r="137" ht="15.75" customHeight="1" s="214">
      <c r="A137" s="7" t="n"/>
      <c r="B137" s="8" t="n"/>
      <c r="C137" s="9" t="n"/>
      <c r="D137" s="10" t="n"/>
      <c r="E137" s="247" t="n"/>
      <c r="F137" s="11">
        <f>IF(E137="","",IF(ISNA(VLOOKUP(E137,科目コード表!$C$4:$D$67,2,FALSE)),"該当科目なし",VLOOKUP(E137,科目コード表!$C$4:$D$67,2,FALSE)))</f>
        <v/>
      </c>
      <c r="G137" s="38" t="n"/>
      <c r="H137" s="248" t="n"/>
      <c r="I137" s="11">
        <f>IF(H137="","",IF(ISNA(VLOOKUP(H137,科目コード表!$C$4:$D$67,2,FALSE)),"該当科目なし",VLOOKUP(H137,科目コード表!$C$4:$D$67,2,FALSE)))</f>
        <v/>
      </c>
      <c r="J137" s="40" t="n"/>
      <c r="L137" s="46">
        <f>IF($E137=L$3,$G137,0)-IF($H137=L$3,$J137,0)</f>
        <v/>
      </c>
      <c r="M137" s="47">
        <f>IF($E137=M$3,$G137,0)-IF($H137=M$3,$J137,0)</f>
        <v/>
      </c>
      <c r="N137" s="47">
        <f>IF($E137=N$3,$G137,0)-IF($H137=N$3,$J137,0)</f>
        <v/>
      </c>
      <c r="O137" s="47">
        <f>IF($E137=O$3,$G137,0)-IF($H137=O$3,$J137,0)</f>
        <v/>
      </c>
      <c r="P137" s="47">
        <f>IF($E137=P$3,$G137,0)-IF($H137=P$3,$J137,0)</f>
        <v/>
      </c>
      <c r="Q137" s="47">
        <f>IF($E137=Q$3,$G137,0)-IF($H137=Q$3,$J137,0)</f>
        <v/>
      </c>
      <c r="R137" s="47">
        <f>IF($E137=R$3,$G137,0)-IF($H137=R$3,$J137,0)</f>
        <v/>
      </c>
      <c r="S137" s="47">
        <f>IF($E137=S$3,$G137,0)-IF($H137=S$3,$J137,0)</f>
        <v/>
      </c>
      <c r="T137" s="47">
        <f>IF($E137=T$3,$G137,0)-IF($H137=T$3,$J137,0)</f>
        <v/>
      </c>
      <c r="U137" s="47">
        <f>IF($E137=U$3,$G137,0)-IF($H137=U$3,$J137,0)</f>
        <v/>
      </c>
      <c r="V137" s="47">
        <f>IF($E137=V$3,$G137,0)-IF($H137=V$3,$J137,0)</f>
        <v/>
      </c>
      <c r="W137" s="47">
        <f>IF($E137=W$3,$G137,0)-IF($H137=W$3,$J137,0)</f>
        <v/>
      </c>
      <c r="X137" s="47">
        <f>IF($E137=X$3,$G137,0)-IF($H137=X$3,$J137,0)</f>
        <v/>
      </c>
      <c r="Y137" s="47">
        <f>IF($E137=Y$3,$G137,0)-IF($H137=Y$3,$J137,0)</f>
        <v/>
      </c>
      <c r="Z137" s="47">
        <f>IF($E137=Z$3,$G137,0)-IF($H137=Z$3,$J137,0)</f>
        <v/>
      </c>
      <c r="AA137" s="47">
        <f>IF($E137=AA$3,$G137,0)-IF($H137=AA$3,$J137,0)</f>
        <v/>
      </c>
      <c r="AB137" s="47">
        <f>IF($E137=AB$3,$G137,0)-IF($H137=AB$3,$J137,0)</f>
        <v/>
      </c>
      <c r="AC137" s="47">
        <f>IF($E137=AC$3,$G137,0)-IF($H137=AC$3,$J137,0)</f>
        <v/>
      </c>
      <c r="AD137" s="47">
        <f>IF($E137=AD$3,$G137,0)-IF($H137=AD$3,$J137,0)</f>
        <v/>
      </c>
      <c r="AE137" s="47">
        <f>IF($E137=AE$3,$G137,0)-IF($H137=AE$3,$J137,0)</f>
        <v/>
      </c>
      <c r="AF137" s="47">
        <f>IF($E137=AF$3,$G137,0)-IF($H137=AF$3,$J137,0)</f>
        <v/>
      </c>
      <c r="AG137" s="47">
        <f>IF($E137=AG$3,$G137,0)-IF($H137=AG$3,$J137,0)</f>
        <v/>
      </c>
      <c r="AH137" s="47">
        <f>IF($E137=AH$3,$G137,0)-IF($H137=AH$3,$J137,0)</f>
        <v/>
      </c>
      <c r="AI137" s="47">
        <f>IF($E137=AI$3,$G137,0)-IF($H137=AI$3,$J137,0)</f>
        <v/>
      </c>
      <c r="AJ137" s="47">
        <f>IF($E137=AJ$3,$G137,0)-IF($H137=AJ$3,$J137,0)</f>
        <v/>
      </c>
      <c r="AK137" s="47">
        <f>IF($E137=AK$3,$G137,0)-IF($H137=AK$3,$J137,0)</f>
        <v/>
      </c>
      <c r="AL137" s="48">
        <f>IF($E137=AL$3,$G137,0)-IF($H137=AL$3,$J137,0)</f>
        <v/>
      </c>
      <c r="AM137" s="46">
        <f>-IF($E137=AM$3,$G137,0)+IF($H137=AM$3,$J137,0)</f>
        <v/>
      </c>
      <c r="AN137" s="47">
        <f>-IF($E137=AN$3,$G137,0)+IF($H137=AN$3,$J137,0)</f>
        <v/>
      </c>
      <c r="AO137" s="48">
        <f>-IF($E137=AO$3,$G137,0)+IF($H137=AO$3,$J137,0)</f>
        <v/>
      </c>
      <c r="AP137" s="46">
        <f>IF($E137=AP$3,$G137,0)-IF($H137=AP$3,$J137,0)</f>
        <v/>
      </c>
      <c r="AQ137" s="47">
        <f>IF($E137=AQ$3,$G137,0)-IF($H137=AQ$3,$J137,0)</f>
        <v/>
      </c>
      <c r="AR137" s="47">
        <f>IF($E137=AR$3,$G137,0)-IF($H137=AR$3,$J137,0)</f>
        <v/>
      </c>
      <c r="AS137" s="47">
        <f>IF($E137=AS$3,$G137,0)-IF($H137=AS$3,$J137,0)</f>
        <v/>
      </c>
      <c r="AT137" s="47">
        <f>IF($E137=AT$3,$G137,0)-IF($H137=AT$3,$J137,0)</f>
        <v/>
      </c>
      <c r="AU137" s="47">
        <f>IF($E137=AU$3,$G137,0)-IF($H137=AU$3,$J137,0)</f>
        <v/>
      </c>
      <c r="AV137" s="47">
        <f>IF($E137=AV$3,$G137,0)-IF($H137=AV$3,$J137,0)</f>
        <v/>
      </c>
      <c r="AW137" s="47">
        <f>IF($E137=AW$3,$G137,0)-IF($H137=AW$3,$J137,0)</f>
        <v/>
      </c>
      <c r="AX137" s="47">
        <f>IF($E137=AX$3,$G137,0)-IF($H137=AX$3,$J137,0)</f>
        <v/>
      </c>
      <c r="AY137" s="47">
        <f>IF($E137=AY$3,$G137,0)-IF($H137=AY$3,$J137,0)</f>
        <v/>
      </c>
      <c r="AZ137" s="47">
        <f>IF($E137=AZ$3,$G137,0)-IF($H137=AZ$3,$J137,0)</f>
        <v/>
      </c>
      <c r="BA137" s="47">
        <f>IF($E137=BA$3,$G137,0)-IF($H137=BA$3,$J137,0)</f>
        <v/>
      </c>
      <c r="BB137" s="47">
        <f>IF($E137=BB$3,$G137,0)-IF($H137=BB$3,$J137,0)</f>
        <v/>
      </c>
      <c r="BC137" s="47">
        <f>IF($E137=BC$3,$G137,0)-IF($H137=BC$3,$J137,0)</f>
        <v/>
      </c>
      <c r="BD137" s="47">
        <f>IF($E137=BD$3,$G137,0)-IF($H137=BD$3,$J137,0)</f>
        <v/>
      </c>
      <c r="BE137" s="47">
        <f>IF($E137=BE$3,$G137,0)-IF($H137=BE$3,$J137,0)</f>
        <v/>
      </c>
      <c r="BF137" s="47">
        <f>IF($E137=BF$3,$G137,0)-IF($H137=BF$3,$J137,0)</f>
        <v/>
      </c>
      <c r="BG137" s="47">
        <f>IF($E137=BG$3,$G137,0)-IF($H137=BG$3,$J137,0)</f>
        <v/>
      </c>
      <c r="BH137" s="47">
        <f>IF($E137=BH$3,$G137,0)-IF($H137=BH$3,$J137,0)</f>
        <v/>
      </c>
      <c r="BI137" s="47">
        <f>IF($E137=BI$3,$G137,0)-IF($H137=BI$3,$J137,0)</f>
        <v/>
      </c>
      <c r="BJ137" s="47">
        <f>IF($E137=BJ$3,$G137,0)-IF($H137=BJ$3,$J137,0)</f>
        <v/>
      </c>
      <c r="BK137" s="47">
        <f>IF($E137=BK$3,$G137,0)-IF($H137=BK$3,$J137,0)</f>
        <v/>
      </c>
      <c r="BL137" s="46">
        <f>-IF($E137=BL$3,$G137,0)+IF($H137=BL$3,$J137,0)</f>
        <v/>
      </c>
      <c r="BM137" s="47">
        <f>-IF($E137=BM$3,$G137,0)+IF($H137=BM$3,$J137,0)</f>
        <v/>
      </c>
      <c r="BN137" s="47">
        <f>-IF($E137=BN$3,$G137,0)+IF($H137=BN$3,$J137,0)</f>
        <v/>
      </c>
      <c r="BO137" s="47">
        <f>-IF($E137=BO$3,$G137,0)+IF($H137=BO$3,$J137,0)</f>
        <v/>
      </c>
      <c r="BP137" s="47">
        <f>-IF($E137=BP$3,$G137,0)+IF($H137=BP$3,$J137,0)</f>
        <v/>
      </c>
      <c r="BQ137" s="47">
        <f>-IF($E137=BQ$3,$G137,0)+IF($H137=BQ$3,$J137,0)</f>
        <v/>
      </c>
      <c r="BR137" s="47">
        <f>-IF($E137=BR$3,$G137,0)+IF($H137=BR$3,$J137,0)</f>
        <v/>
      </c>
      <c r="BS137" s="47">
        <f>-IF($E137=BS$3,$G137,0)+IF($H137=BS$3,$J137,0)</f>
        <v/>
      </c>
      <c r="BT137" s="47">
        <f>-IF($E137=BT$3,$G137,0)+IF($H137=BT$3,$J137,0)</f>
        <v/>
      </c>
      <c r="BU137" s="46">
        <f>+G137-J137</f>
        <v/>
      </c>
      <c r="BV137" s="48">
        <f>-IF($E137=BV$3,$G137,0)+IF($H137=BV$3,$J137,0)</f>
        <v/>
      </c>
      <c r="BW137" s="3" t="n"/>
    </row>
    <row r="138" ht="15.75" customHeight="1" s="214">
      <c r="A138" s="7" t="n"/>
      <c r="B138" s="8" t="n"/>
      <c r="C138" s="9" t="n"/>
      <c r="D138" s="10" t="n"/>
      <c r="E138" s="247" t="n"/>
      <c r="F138" s="11">
        <f>IF(E138="","",IF(ISNA(VLOOKUP(E138,科目コード表!$C$4:$D$67,2,FALSE)),"該当科目なし",VLOOKUP(E138,科目コード表!$C$4:$D$67,2,FALSE)))</f>
        <v/>
      </c>
      <c r="G138" s="38" t="n"/>
      <c r="H138" s="248" t="n"/>
      <c r="I138" s="11">
        <f>IF(H138="","",IF(ISNA(VLOOKUP(H138,科目コード表!$C$4:$D$67,2,FALSE)),"該当科目なし",VLOOKUP(H138,科目コード表!$C$4:$D$67,2,FALSE)))</f>
        <v/>
      </c>
      <c r="J138" s="40" t="n"/>
      <c r="L138" s="46">
        <f>IF($E138=L$3,$G138,0)-IF($H138=L$3,$J138,0)</f>
        <v/>
      </c>
      <c r="M138" s="47">
        <f>IF($E138=M$3,$G138,0)-IF($H138=M$3,$J138,0)</f>
        <v/>
      </c>
      <c r="N138" s="47">
        <f>IF($E138=N$3,$G138,0)-IF($H138=N$3,$J138,0)</f>
        <v/>
      </c>
      <c r="O138" s="47">
        <f>IF($E138=O$3,$G138,0)-IF($H138=O$3,$J138,0)</f>
        <v/>
      </c>
      <c r="P138" s="47">
        <f>IF($E138=P$3,$G138,0)-IF($H138=P$3,$J138,0)</f>
        <v/>
      </c>
      <c r="Q138" s="47">
        <f>IF($E138=Q$3,$G138,0)-IF($H138=Q$3,$J138,0)</f>
        <v/>
      </c>
      <c r="R138" s="47">
        <f>IF($E138=R$3,$G138,0)-IF($H138=R$3,$J138,0)</f>
        <v/>
      </c>
      <c r="S138" s="47">
        <f>IF($E138=S$3,$G138,0)-IF($H138=S$3,$J138,0)</f>
        <v/>
      </c>
      <c r="T138" s="47">
        <f>IF($E138=T$3,$G138,0)-IF($H138=T$3,$J138,0)</f>
        <v/>
      </c>
      <c r="U138" s="47">
        <f>IF($E138=U$3,$G138,0)-IF($H138=U$3,$J138,0)</f>
        <v/>
      </c>
      <c r="V138" s="47">
        <f>IF($E138=V$3,$G138,0)-IF($H138=V$3,$J138,0)</f>
        <v/>
      </c>
      <c r="W138" s="47">
        <f>IF($E138=W$3,$G138,0)-IF($H138=W$3,$J138,0)</f>
        <v/>
      </c>
      <c r="X138" s="47">
        <f>IF($E138=X$3,$G138,0)-IF($H138=X$3,$J138,0)</f>
        <v/>
      </c>
      <c r="Y138" s="47">
        <f>IF($E138=Y$3,$G138,0)-IF($H138=Y$3,$J138,0)</f>
        <v/>
      </c>
      <c r="Z138" s="47">
        <f>IF($E138=Z$3,$G138,0)-IF($H138=Z$3,$J138,0)</f>
        <v/>
      </c>
      <c r="AA138" s="47">
        <f>IF($E138=AA$3,$G138,0)-IF($H138=AA$3,$J138,0)</f>
        <v/>
      </c>
      <c r="AB138" s="47">
        <f>IF($E138=AB$3,$G138,0)-IF($H138=AB$3,$J138,0)</f>
        <v/>
      </c>
      <c r="AC138" s="47">
        <f>IF($E138=AC$3,$G138,0)-IF($H138=AC$3,$J138,0)</f>
        <v/>
      </c>
      <c r="AD138" s="47">
        <f>IF($E138=AD$3,$G138,0)-IF($H138=AD$3,$J138,0)</f>
        <v/>
      </c>
      <c r="AE138" s="47">
        <f>IF($E138=AE$3,$G138,0)-IF($H138=AE$3,$J138,0)</f>
        <v/>
      </c>
      <c r="AF138" s="47">
        <f>IF($E138=AF$3,$G138,0)-IF($H138=AF$3,$J138,0)</f>
        <v/>
      </c>
      <c r="AG138" s="47">
        <f>IF($E138=AG$3,$G138,0)-IF($H138=AG$3,$J138,0)</f>
        <v/>
      </c>
      <c r="AH138" s="47">
        <f>IF($E138=AH$3,$G138,0)-IF($H138=AH$3,$J138,0)</f>
        <v/>
      </c>
      <c r="AI138" s="47">
        <f>IF($E138=AI$3,$G138,0)-IF($H138=AI$3,$J138,0)</f>
        <v/>
      </c>
      <c r="AJ138" s="47">
        <f>IF($E138=AJ$3,$G138,0)-IF($H138=AJ$3,$J138,0)</f>
        <v/>
      </c>
      <c r="AK138" s="47">
        <f>IF($E138=AK$3,$G138,0)-IF($H138=AK$3,$J138,0)</f>
        <v/>
      </c>
      <c r="AL138" s="48">
        <f>IF($E138=AL$3,$G138,0)-IF($H138=AL$3,$J138,0)</f>
        <v/>
      </c>
      <c r="AM138" s="46">
        <f>-IF($E138=AM$3,$G138,0)+IF($H138=AM$3,$J138,0)</f>
        <v/>
      </c>
      <c r="AN138" s="47">
        <f>-IF($E138=AN$3,$G138,0)+IF($H138=AN$3,$J138,0)</f>
        <v/>
      </c>
      <c r="AO138" s="48">
        <f>-IF($E138=AO$3,$G138,0)+IF($H138=AO$3,$J138,0)</f>
        <v/>
      </c>
      <c r="AP138" s="46">
        <f>IF($E138=AP$3,$G138,0)-IF($H138=AP$3,$J138,0)</f>
        <v/>
      </c>
      <c r="AQ138" s="47">
        <f>IF($E138=AQ$3,$G138,0)-IF($H138=AQ$3,$J138,0)</f>
        <v/>
      </c>
      <c r="AR138" s="47">
        <f>IF($E138=AR$3,$G138,0)-IF($H138=AR$3,$J138,0)</f>
        <v/>
      </c>
      <c r="AS138" s="47">
        <f>IF($E138=AS$3,$G138,0)-IF($H138=AS$3,$J138,0)</f>
        <v/>
      </c>
      <c r="AT138" s="47">
        <f>IF($E138=AT$3,$G138,0)-IF($H138=AT$3,$J138,0)</f>
        <v/>
      </c>
      <c r="AU138" s="47">
        <f>IF($E138=AU$3,$G138,0)-IF($H138=AU$3,$J138,0)</f>
        <v/>
      </c>
      <c r="AV138" s="47">
        <f>IF($E138=AV$3,$G138,0)-IF($H138=AV$3,$J138,0)</f>
        <v/>
      </c>
      <c r="AW138" s="47">
        <f>IF($E138=AW$3,$G138,0)-IF($H138=AW$3,$J138,0)</f>
        <v/>
      </c>
      <c r="AX138" s="47">
        <f>IF($E138=AX$3,$G138,0)-IF($H138=AX$3,$J138,0)</f>
        <v/>
      </c>
      <c r="AY138" s="47">
        <f>IF($E138=AY$3,$G138,0)-IF($H138=AY$3,$J138,0)</f>
        <v/>
      </c>
      <c r="AZ138" s="47">
        <f>IF($E138=AZ$3,$G138,0)-IF($H138=AZ$3,$J138,0)</f>
        <v/>
      </c>
      <c r="BA138" s="47">
        <f>IF($E138=BA$3,$G138,0)-IF($H138=BA$3,$J138,0)</f>
        <v/>
      </c>
      <c r="BB138" s="47">
        <f>IF($E138=BB$3,$G138,0)-IF($H138=BB$3,$J138,0)</f>
        <v/>
      </c>
      <c r="BC138" s="47">
        <f>IF($E138=BC$3,$G138,0)-IF($H138=BC$3,$J138,0)</f>
        <v/>
      </c>
      <c r="BD138" s="47">
        <f>IF($E138=BD$3,$G138,0)-IF($H138=BD$3,$J138,0)</f>
        <v/>
      </c>
      <c r="BE138" s="47">
        <f>IF($E138=BE$3,$G138,0)-IF($H138=BE$3,$J138,0)</f>
        <v/>
      </c>
      <c r="BF138" s="47">
        <f>IF($E138=BF$3,$G138,0)-IF($H138=BF$3,$J138,0)</f>
        <v/>
      </c>
      <c r="BG138" s="47">
        <f>IF($E138=BG$3,$G138,0)-IF($H138=BG$3,$J138,0)</f>
        <v/>
      </c>
      <c r="BH138" s="47">
        <f>IF($E138=BH$3,$G138,0)-IF($H138=BH$3,$J138,0)</f>
        <v/>
      </c>
      <c r="BI138" s="47">
        <f>IF($E138=BI$3,$G138,0)-IF($H138=BI$3,$J138,0)</f>
        <v/>
      </c>
      <c r="BJ138" s="47">
        <f>IF($E138=BJ$3,$G138,0)-IF($H138=BJ$3,$J138,0)</f>
        <v/>
      </c>
      <c r="BK138" s="47">
        <f>IF($E138=BK$3,$G138,0)-IF($H138=BK$3,$J138,0)</f>
        <v/>
      </c>
      <c r="BL138" s="46">
        <f>-IF($E138=BL$3,$G138,0)+IF($H138=BL$3,$J138,0)</f>
        <v/>
      </c>
      <c r="BM138" s="47">
        <f>-IF($E138=BM$3,$G138,0)+IF($H138=BM$3,$J138,0)</f>
        <v/>
      </c>
      <c r="BN138" s="47">
        <f>-IF($E138=BN$3,$G138,0)+IF($H138=BN$3,$J138,0)</f>
        <v/>
      </c>
      <c r="BO138" s="47">
        <f>-IF($E138=BO$3,$G138,0)+IF($H138=BO$3,$J138,0)</f>
        <v/>
      </c>
      <c r="BP138" s="47">
        <f>-IF($E138=BP$3,$G138,0)+IF($H138=BP$3,$J138,0)</f>
        <v/>
      </c>
      <c r="BQ138" s="47">
        <f>-IF($E138=BQ$3,$G138,0)+IF($H138=BQ$3,$J138,0)</f>
        <v/>
      </c>
      <c r="BR138" s="47">
        <f>-IF($E138=BR$3,$G138,0)+IF($H138=BR$3,$J138,0)</f>
        <v/>
      </c>
      <c r="BS138" s="47">
        <f>-IF($E138=BS$3,$G138,0)+IF($H138=BS$3,$J138,0)</f>
        <v/>
      </c>
      <c r="BT138" s="47">
        <f>-IF($E138=BT$3,$G138,0)+IF($H138=BT$3,$J138,0)</f>
        <v/>
      </c>
      <c r="BU138" s="46">
        <f>+G138-J138</f>
        <v/>
      </c>
      <c r="BV138" s="48">
        <f>-IF($E138=BV$3,$G138,0)+IF($H138=BV$3,$J138,0)</f>
        <v/>
      </c>
      <c r="BW138" s="3" t="n"/>
    </row>
    <row r="139" ht="15.75" customHeight="1" s="214">
      <c r="A139" s="7" t="n"/>
      <c r="B139" s="8" t="n"/>
      <c r="C139" s="9" t="n"/>
      <c r="D139" s="10" t="n"/>
      <c r="E139" s="247" t="n"/>
      <c r="F139" s="11">
        <f>IF(E139="","",IF(ISNA(VLOOKUP(E139,科目コード表!$C$4:$D$67,2,FALSE)),"該当科目なし",VLOOKUP(E139,科目コード表!$C$4:$D$67,2,FALSE)))</f>
        <v/>
      </c>
      <c r="G139" s="38" t="n"/>
      <c r="H139" s="248" t="n"/>
      <c r="I139" s="11">
        <f>IF(H139="","",IF(ISNA(VLOOKUP(H139,科目コード表!$C$4:$D$67,2,FALSE)),"該当科目なし",VLOOKUP(H139,科目コード表!$C$4:$D$67,2,FALSE)))</f>
        <v/>
      </c>
      <c r="J139" s="40" t="n"/>
      <c r="L139" s="46">
        <f>IF($E139=L$3,$G139,0)-IF($H139=L$3,$J139,0)</f>
        <v/>
      </c>
      <c r="M139" s="47">
        <f>IF($E139=M$3,$G139,0)-IF($H139=M$3,$J139,0)</f>
        <v/>
      </c>
      <c r="N139" s="47">
        <f>IF($E139=N$3,$G139,0)-IF($H139=N$3,$J139,0)</f>
        <v/>
      </c>
      <c r="O139" s="47">
        <f>IF($E139=O$3,$G139,0)-IF($H139=O$3,$J139,0)</f>
        <v/>
      </c>
      <c r="P139" s="47">
        <f>IF($E139=P$3,$G139,0)-IF($H139=P$3,$J139,0)</f>
        <v/>
      </c>
      <c r="Q139" s="47">
        <f>IF($E139=Q$3,$G139,0)-IF($H139=Q$3,$J139,0)</f>
        <v/>
      </c>
      <c r="R139" s="47">
        <f>IF($E139=R$3,$G139,0)-IF($H139=R$3,$J139,0)</f>
        <v/>
      </c>
      <c r="S139" s="47">
        <f>IF($E139=S$3,$G139,0)-IF($H139=S$3,$J139,0)</f>
        <v/>
      </c>
      <c r="T139" s="47">
        <f>IF($E139=T$3,$G139,0)-IF($H139=T$3,$J139,0)</f>
        <v/>
      </c>
      <c r="U139" s="47">
        <f>IF($E139=U$3,$G139,0)-IF($H139=U$3,$J139,0)</f>
        <v/>
      </c>
      <c r="V139" s="47">
        <f>IF($E139=V$3,$G139,0)-IF($H139=V$3,$J139,0)</f>
        <v/>
      </c>
      <c r="W139" s="47">
        <f>IF($E139=W$3,$G139,0)-IF($H139=W$3,$J139,0)</f>
        <v/>
      </c>
      <c r="X139" s="47">
        <f>IF($E139=X$3,$G139,0)-IF($H139=X$3,$J139,0)</f>
        <v/>
      </c>
      <c r="Y139" s="47">
        <f>IF($E139=Y$3,$G139,0)-IF($H139=Y$3,$J139,0)</f>
        <v/>
      </c>
      <c r="Z139" s="47">
        <f>IF($E139=Z$3,$G139,0)-IF($H139=Z$3,$J139,0)</f>
        <v/>
      </c>
      <c r="AA139" s="47">
        <f>IF($E139=AA$3,$G139,0)-IF($H139=AA$3,$J139,0)</f>
        <v/>
      </c>
      <c r="AB139" s="47">
        <f>IF($E139=AB$3,$G139,0)-IF($H139=AB$3,$J139,0)</f>
        <v/>
      </c>
      <c r="AC139" s="47">
        <f>IF($E139=AC$3,$G139,0)-IF($H139=AC$3,$J139,0)</f>
        <v/>
      </c>
      <c r="AD139" s="47">
        <f>IF($E139=AD$3,$G139,0)-IF($H139=AD$3,$J139,0)</f>
        <v/>
      </c>
      <c r="AE139" s="47">
        <f>IF($E139=AE$3,$G139,0)-IF($H139=AE$3,$J139,0)</f>
        <v/>
      </c>
      <c r="AF139" s="47">
        <f>IF($E139=AF$3,$G139,0)-IF($H139=AF$3,$J139,0)</f>
        <v/>
      </c>
      <c r="AG139" s="47">
        <f>IF($E139=AG$3,$G139,0)-IF($H139=AG$3,$J139,0)</f>
        <v/>
      </c>
      <c r="AH139" s="47">
        <f>IF($E139=AH$3,$G139,0)-IF($H139=AH$3,$J139,0)</f>
        <v/>
      </c>
      <c r="AI139" s="47">
        <f>IF($E139=AI$3,$G139,0)-IF($H139=AI$3,$J139,0)</f>
        <v/>
      </c>
      <c r="AJ139" s="47">
        <f>IF($E139=AJ$3,$G139,0)-IF($H139=AJ$3,$J139,0)</f>
        <v/>
      </c>
      <c r="AK139" s="47">
        <f>IF($E139=AK$3,$G139,0)-IF($H139=AK$3,$J139,0)</f>
        <v/>
      </c>
      <c r="AL139" s="48">
        <f>IF($E139=AL$3,$G139,0)-IF($H139=AL$3,$J139,0)</f>
        <v/>
      </c>
      <c r="AM139" s="46">
        <f>-IF($E139=AM$3,$G139,0)+IF($H139=AM$3,$J139,0)</f>
        <v/>
      </c>
      <c r="AN139" s="47">
        <f>-IF($E139=AN$3,$G139,0)+IF($H139=AN$3,$J139,0)</f>
        <v/>
      </c>
      <c r="AO139" s="48">
        <f>-IF($E139=AO$3,$G139,0)+IF($H139=AO$3,$J139,0)</f>
        <v/>
      </c>
      <c r="AP139" s="46">
        <f>IF($E139=AP$3,$G139,0)-IF($H139=AP$3,$J139,0)</f>
        <v/>
      </c>
      <c r="AQ139" s="47">
        <f>IF($E139=AQ$3,$G139,0)-IF($H139=AQ$3,$J139,0)</f>
        <v/>
      </c>
      <c r="AR139" s="47">
        <f>IF($E139=AR$3,$G139,0)-IF($H139=AR$3,$J139,0)</f>
        <v/>
      </c>
      <c r="AS139" s="47">
        <f>IF($E139=AS$3,$G139,0)-IF($H139=AS$3,$J139,0)</f>
        <v/>
      </c>
      <c r="AT139" s="47">
        <f>IF($E139=AT$3,$G139,0)-IF($H139=AT$3,$J139,0)</f>
        <v/>
      </c>
      <c r="AU139" s="47">
        <f>IF($E139=AU$3,$G139,0)-IF($H139=AU$3,$J139,0)</f>
        <v/>
      </c>
      <c r="AV139" s="47">
        <f>IF($E139=AV$3,$G139,0)-IF($H139=AV$3,$J139,0)</f>
        <v/>
      </c>
      <c r="AW139" s="47">
        <f>IF($E139=AW$3,$G139,0)-IF($H139=AW$3,$J139,0)</f>
        <v/>
      </c>
      <c r="AX139" s="47">
        <f>IF($E139=AX$3,$G139,0)-IF($H139=AX$3,$J139,0)</f>
        <v/>
      </c>
      <c r="AY139" s="47">
        <f>IF($E139=AY$3,$G139,0)-IF($H139=AY$3,$J139,0)</f>
        <v/>
      </c>
      <c r="AZ139" s="47">
        <f>IF($E139=AZ$3,$G139,0)-IF($H139=AZ$3,$J139,0)</f>
        <v/>
      </c>
      <c r="BA139" s="47">
        <f>IF($E139=BA$3,$G139,0)-IF($H139=BA$3,$J139,0)</f>
        <v/>
      </c>
      <c r="BB139" s="47">
        <f>IF($E139=BB$3,$G139,0)-IF($H139=BB$3,$J139,0)</f>
        <v/>
      </c>
      <c r="BC139" s="47">
        <f>IF($E139=BC$3,$G139,0)-IF($H139=BC$3,$J139,0)</f>
        <v/>
      </c>
      <c r="BD139" s="47">
        <f>IF($E139=BD$3,$G139,0)-IF($H139=BD$3,$J139,0)</f>
        <v/>
      </c>
      <c r="BE139" s="47">
        <f>IF($E139=BE$3,$G139,0)-IF($H139=BE$3,$J139,0)</f>
        <v/>
      </c>
      <c r="BF139" s="47">
        <f>IF($E139=BF$3,$G139,0)-IF($H139=BF$3,$J139,0)</f>
        <v/>
      </c>
      <c r="BG139" s="47">
        <f>IF($E139=BG$3,$G139,0)-IF($H139=BG$3,$J139,0)</f>
        <v/>
      </c>
      <c r="BH139" s="47">
        <f>IF($E139=BH$3,$G139,0)-IF($H139=BH$3,$J139,0)</f>
        <v/>
      </c>
      <c r="BI139" s="47">
        <f>IF($E139=BI$3,$G139,0)-IF($H139=BI$3,$J139,0)</f>
        <v/>
      </c>
      <c r="BJ139" s="47">
        <f>IF($E139=BJ$3,$G139,0)-IF($H139=BJ$3,$J139,0)</f>
        <v/>
      </c>
      <c r="BK139" s="47">
        <f>IF($E139=BK$3,$G139,0)-IF($H139=BK$3,$J139,0)</f>
        <v/>
      </c>
      <c r="BL139" s="46">
        <f>-IF($E139=BL$3,$G139,0)+IF($H139=BL$3,$J139,0)</f>
        <v/>
      </c>
      <c r="BM139" s="47">
        <f>-IF($E139=BM$3,$G139,0)+IF($H139=BM$3,$J139,0)</f>
        <v/>
      </c>
      <c r="BN139" s="47">
        <f>-IF($E139=BN$3,$G139,0)+IF($H139=BN$3,$J139,0)</f>
        <v/>
      </c>
      <c r="BO139" s="47">
        <f>-IF($E139=BO$3,$G139,0)+IF($H139=BO$3,$J139,0)</f>
        <v/>
      </c>
      <c r="BP139" s="47">
        <f>-IF($E139=BP$3,$G139,0)+IF($H139=BP$3,$J139,0)</f>
        <v/>
      </c>
      <c r="BQ139" s="47">
        <f>-IF($E139=BQ$3,$G139,0)+IF($H139=BQ$3,$J139,0)</f>
        <v/>
      </c>
      <c r="BR139" s="47">
        <f>-IF($E139=BR$3,$G139,0)+IF($H139=BR$3,$J139,0)</f>
        <v/>
      </c>
      <c r="BS139" s="47">
        <f>-IF($E139=BS$3,$G139,0)+IF($H139=BS$3,$J139,0)</f>
        <v/>
      </c>
      <c r="BT139" s="47">
        <f>-IF($E139=BT$3,$G139,0)+IF($H139=BT$3,$J139,0)</f>
        <v/>
      </c>
      <c r="BU139" s="46">
        <f>+G139-J139</f>
        <v/>
      </c>
      <c r="BV139" s="48">
        <f>-IF($E139=BV$3,$G139,0)+IF($H139=BV$3,$J139,0)</f>
        <v/>
      </c>
      <c r="BW139" s="3" t="n"/>
    </row>
    <row r="140" ht="15.75" customHeight="1" s="214">
      <c r="A140" s="7" t="n"/>
      <c r="B140" s="8" t="n"/>
      <c r="C140" s="9" t="n"/>
      <c r="D140" s="10" t="n"/>
      <c r="E140" s="247" t="n"/>
      <c r="F140" s="11">
        <f>IF(E140="","",IF(ISNA(VLOOKUP(E140,科目コード表!$C$4:$D$67,2,FALSE)),"該当科目なし",VLOOKUP(E140,科目コード表!$C$4:$D$67,2,FALSE)))</f>
        <v/>
      </c>
      <c r="G140" s="38" t="n"/>
      <c r="H140" s="248" t="n"/>
      <c r="I140" s="11">
        <f>IF(H140="","",IF(ISNA(VLOOKUP(H140,科目コード表!$C$4:$D$67,2,FALSE)),"該当科目なし",VLOOKUP(H140,科目コード表!$C$4:$D$67,2,FALSE)))</f>
        <v/>
      </c>
      <c r="J140" s="40" t="n"/>
      <c r="L140" s="46">
        <f>IF($E140=L$3,$G140,0)-IF($H140=L$3,$J140,0)</f>
        <v/>
      </c>
      <c r="M140" s="47">
        <f>IF($E140=M$3,$G140,0)-IF($H140=M$3,$J140,0)</f>
        <v/>
      </c>
      <c r="N140" s="47">
        <f>IF($E140=N$3,$G140,0)-IF($H140=N$3,$J140,0)</f>
        <v/>
      </c>
      <c r="O140" s="47">
        <f>IF($E140=O$3,$G140,0)-IF($H140=O$3,$J140,0)</f>
        <v/>
      </c>
      <c r="P140" s="47">
        <f>IF($E140=P$3,$G140,0)-IF($H140=P$3,$J140,0)</f>
        <v/>
      </c>
      <c r="Q140" s="47">
        <f>IF($E140=Q$3,$G140,0)-IF($H140=Q$3,$J140,0)</f>
        <v/>
      </c>
      <c r="R140" s="47">
        <f>IF($E140=R$3,$G140,0)-IF($H140=R$3,$J140,0)</f>
        <v/>
      </c>
      <c r="S140" s="47">
        <f>IF($E140=S$3,$G140,0)-IF($H140=S$3,$J140,0)</f>
        <v/>
      </c>
      <c r="T140" s="47">
        <f>IF($E140=T$3,$G140,0)-IF($H140=T$3,$J140,0)</f>
        <v/>
      </c>
      <c r="U140" s="47">
        <f>IF($E140=U$3,$G140,0)-IF($H140=U$3,$J140,0)</f>
        <v/>
      </c>
      <c r="V140" s="47">
        <f>IF($E140=V$3,$G140,0)-IF($H140=V$3,$J140,0)</f>
        <v/>
      </c>
      <c r="W140" s="47">
        <f>IF($E140=W$3,$G140,0)-IF($H140=W$3,$J140,0)</f>
        <v/>
      </c>
      <c r="X140" s="47">
        <f>IF($E140=X$3,$G140,0)-IF($H140=X$3,$J140,0)</f>
        <v/>
      </c>
      <c r="Y140" s="47">
        <f>IF($E140=Y$3,$G140,0)-IF($H140=Y$3,$J140,0)</f>
        <v/>
      </c>
      <c r="Z140" s="47">
        <f>IF($E140=Z$3,$G140,0)-IF($H140=Z$3,$J140,0)</f>
        <v/>
      </c>
      <c r="AA140" s="47">
        <f>IF($E140=AA$3,$G140,0)-IF($H140=AA$3,$J140,0)</f>
        <v/>
      </c>
      <c r="AB140" s="47">
        <f>IF($E140=AB$3,$G140,0)-IF($H140=AB$3,$J140,0)</f>
        <v/>
      </c>
      <c r="AC140" s="47">
        <f>IF($E140=AC$3,$G140,0)-IF($H140=AC$3,$J140,0)</f>
        <v/>
      </c>
      <c r="AD140" s="47">
        <f>IF($E140=AD$3,$G140,0)-IF($H140=AD$3,$J140,0)</f>
        <v/>
      </c>
      <c r="AE140" s="47">
        <f>IF($E140=AE$3,$G140,0)-IF($H140=AE$3,$J140,0)</f>
        <v/>
      </c>
      <c r="AF140" s="47">
        <f>IF($E140=AF$3,$G140,0)-IF($H140=AF$3,$J140,0)</f>
        <v/>
      </c>
      <c r="AG140" s="47">
        <f>IF($E140=AG$3,$G140,0)-IF($H140=AG$3,$J140,0)</f>
        <v/>
      </c>
      <c r="AH140" s="47">
        <f>IF($E140=AH$3,$G140,0)-IF($H140=AH$3,$J140,0)</f>
        <v/>
      </c>
      <c r="AI140" s="47">
        <f>IF($E140=AI$3,$G140,0)-IF($H140=AI$3,$J140,0)</f>
        <v/>
      </c>
      <c r="AJ140" s="47">
        <f>IF($E140=AJ$3,$G140,0)-IF($H140=AJ$3,$J140,0)</f>
        <v/>
      </c>
      <c r="AK140" s="47">
        <f>IF($E140=AK$3,$G140,0)-IF($H140=AK$3,$J140,0)</f>
        <v/>
      </c>
      <c r="AL140" s="48">
        <f>IF($E140=AL$3,$G140,0)-IF($H140=AL$3,$J140,0)</f>
        <v/>
      </c>
      <c r="AM140" s="46">
        <f>-IF($E140=AM$3,$G140,0)+IF($H140=AM$3,$J140,0)</f>
        <v/>
      </c>
      <c r="AN140" s="47">
        <f>-IF($E140=AN$3,$G140,0)+IF($H140=AN$3,$J140,0)</f>
        <v/>
      </c>
      <c r="AO140" s="48">
        <f>-IF($E140=AO$3,$G140,0)+IF($H140=AO$3,$J140,0)</f>
        <v/>
      </c>
      <c r="AP140" s="46">
        <f>IF($E140=AP$3,$G140,0)-IF($H140=AP$3,$J140,0)</f>
        <v/>
      </c>
      <c r="AQ140" s="47">
        <f>IF($E140=AQ$3,$G140,0)-IF($H140=AQ$3,$J140,0)</f>
        <v/>
      </c>
      <c r="AR140" s="47">
        <f>IF($E140=AR$3,$G140,0)-IF($H140=AR$3,$J140,0)</f>
        <v/>
      </c>
      <c r="AS140" s="47">
        <f>IF($E140=AS$3,$G140,0)-IF($H140=AS$3,$J140,0)</f>
        <v/>
      </c>
      <c r="AT140" s="47">
        <f>IF($E140=AT$3,$G140,0)-IF($H140=AT$3,$J140,0)</f>
        <v/>
      </c>
      <c r="AU140" s="47">
        <f>IF($E140=AU$3,$G140,0)-IF($H140=AU$3,$J140,0)</f>
        <v/>
      </c>
      <c r="AV140" s="47">
        <f>IF($E140=AV$3,$G140,0)-IF($H140=AV$3,$J140,0)</f>
        <v/>
      </c>
      <c r="AW140" s="47">
        <f>IF($E140=AW$3,$G140,0)-IF($H140=AW$3,$J140,0)</f>
        <v/>
      </c>
      <c r="AX140" s="47">
        <f>IF($E140=AX$3,$G140,0)-IF($H140=AX$3,$J140,0)</f>
        <v/>
      </c>
      <c r="AY140" s="47">
        <f>IF($E140=AY$3,$G140,0)-IF($H140=AY$3,$J140,0)</f>
        <v/>
      </c>
      <c r="AZ140" s="47">
        <f>IF($E140=AZ$3,$G140,0)-IF($H140=AZ$3,$J140,0)</f>
        <v/>
      </c>
      <c r="BA140" s="47">
        <f>IF($E140=BA$3,$G140,0)-IF($H140=BA$3,$J140,0)</f>
        <v/>
      </c>
      <c r="BB140" s="47">
        <f>IF($E140=BB$3,$G140,0)-IF($H140=BB$3,$J140,0)</f>
        <v/>
      </c>
      <c r="BC140" s="47">
        <f>IF($E140=BC$3,$G140,0)-IF($H140=BC$3,$J140,0)</f>
        <v/>
      </c>
      <c r="BD140" s="47">
        <f>IF($E140=BD$3,$G140,0)-IF($H140=BD$3,$J140,0)</f>
        <v/>
      </c>
      <c r="BE140" s="47">
        <f>IF($E140=BE$3,$G140,0)-IF($H140=BE$3,$J140,0)</f>
        <v/>
      </c>
      <c r="BF140" s="47">
        <f>IF($E140=BF$3,$G140,0)-IF($H140=BF$3,$J140,0)</f>
        <v/>
      </c>
      <c r="BG140" s="47">
        <f>IF($E140=BG$3,$G140,0)-IF($H140=BG$3,$J140,0)</f>
        <v/>
      </c>
      <c r="BH140" s="47">
        <f>IF($E140=BH$3,$G140,0)-IF($H140=BH$3,$J140,0)</f>
        <v/>
      </c>
      <c r="BI140" s="47">
        <f>IF($E140=BI$3,$G140,0)-IF($H140=BI$3,$J140,0)</f>
        <v/>
      </c>
      <c r="BJ140" s="47">
        <f>IF($E140=BJ$3,$G140,0)-IF($H140=BJ$3,$J140,0)</f>
        <v/>
      </c>
      <c r="BK140" s="47">
        <f>IF($E140=BK$3,$G140,0)-IF($H140=BK$3,$J140,0)</f>
        <v/>
      </c>
      <c r="BL140" s="46">
        <f>-IF($E140=BL$3,$G140,0)+IF($H140=BL$3,$J140,0)</f>
        <v/>
      </c>
      <c r="BM140" s="47">
        <f>-IF($E140=BM$3,$G140,0)+IF($H140=BM$3,$J140,0)</f>
        <v/>
      </c>
      <c r="BN140" s="47">
        <f>-IF($E140=BN$3,$G140,0)+IF($H140=BN$3,$J140,0)</f>
        <v/>
      </c>
      <c r="BO140" s="47">
        <f>-IF($E140=BO$3,$G140,0)+IF($H140=BO$3,$J140,0)</f>
        <v/>
      </c>
      <c r="BP140" s="47">
        <f>-IF($E140=BP$3,$G140,0)+IF($H140=BP$3,$J140,0)</f>
        <v/>
      </c>
      <c r="BQ140" s="47">
        <f>-IF($E140=BQ$3,$G140,0)+IF($H140=BQ$3,$J140,0)</f>
        <v/>
      </c>
      <c r="BR140" s="47">
        <f>-IF($E140=BR$3,$G140,0)+IF($H140=BR$3,$J140,0)</f>
        <v/>
      </c>
      <c r="BS140" s="47">
        <f>-IF($E140=BS$3,$G140,0)+IF($H140=BS$3,$J140,0)</f>
        <v/>
      </c>
      <c r="BT140" s="47">
        <f>-IF($E140=BT$3,$G140,0)+IF($H140=BT$3,$J140,0)</f>
        <v/>
      </c>
      <c r="BU140" s="46">
        <f>+G140-J140</f>
        <v/>
      </c>
      <c r="BV140" s="48">
        <f>-IF($E140=BV$3,$G140,0)+IF($H140=BV$3,$J140,0)</f>
        <v/>
      </c>
      <c r="BW140" s="3" t="n"/>
    </row>
    <row r="141" ht="15.75" customHeight="1" s="214">
      <c r="A141" s="7" t="n"/>
      <c r="B141" s="8" t="n"/>
      <c r="C141" s="9" t="n"/>
      <c r="D141" s="10" t="n"/>
      <c r="E141" s="247" t="n"/>
      <c r="F141" s="11">
        <f>IF(E141="","",IF(ISNA(VLOOKUP(E141,科目コード表!$C$4:$D$67,2,FALSE)),"該当科目なし",VLOOKUP(E141,科目コード表!$C$4:$D$67,2,FALSE)))</f>
        <v/>
      </c>
      <c r="G141" s="38" t="n"/>
      <c r="H141" s="248" t="n"/>
      <c r="I141" s="11">
        <f>IF(H141="","",IF(ISNA(VLOOKUP(H141,科目コード表!$C$4:$D$67,2,FALSE)),"該当科目なし",VLOOKUP(H141,科目コード表!$C$4:$D$67,2,FALSE)))</f>
        <v/>
      </c>
      <c r="J141" s="40" t="n"/>
      <c r="L141" s="46">
        <f>IF($E141=L$3,$G141,0)-IF($H141=L$3,$J141,0)</f>
        <v/>
      </c>
      <c r="M141" s="47">
        <f>IF($E141=M$3,$G141,0)-IF($H141=M$3,$J141,0)</f>
        <v/>
      </c>
      <c r="N141" s="47">
        <f>IF($E141=N$3,$G141,0)-IF($H141=N$3,$J141,0)</f>
        <v/>
      </c>
      <c r="O141" s="47">
        <f>IF($E141=O$3,$G141,0)-IF($H141=O$3,$J141,0)</f>
        <v/>
      </c>
      <c r="P141" s="47">
        <f>IF($E141=P$3,$G141,0)-IF($H141=P$3,$J141,0)</f>
        <v/>
      </c>
      <c r="Q141" s="47">
        <f>IF($E141=Q$3,$G141,0)-IF($H141=Q$3,$J141,0)</f>
        <v/>
      </c>
      <c r="R141" s="47">
        <f>IF($E141=R$3,$G141,0)-IF($H141=R$3,$J141,0)</f>
        <v/>
      </c>
      <c r="S141" s="47">
        <f>IF($E141=S$3,$G141,0)-IF($H141=S$3,$J141,0)</f>
        <v/>
      </c>
      <c r="T141" s="47">
        <f>IF($E141=T$3,$G141,0)-IF($H141=T$3,$J141,0)</f>
        <v/>
      </c>
      <c r="U141" s="47">
        <f>IF($E141=U$3,$G141,0)-IF($H141=U$3,$J141,0)</f>
        <v/>
      </c>
      <c r="V141" s="47">
        <f>IF($E141=V$3,$G141,0)-IF($H141=V$3,$J141,0)</f>
        <v/>
      </c>
      <c r="W141" s="47">
        <f>IF($E141=W$3,$G141,0)-IF($H141=W$3,$J141,0)</f>
        <v/>
      </c>
      <c r="X141" s="47">
        <f>IF($E141=X$3,$G141,0)-IF($H141=X$3,$J141,0)</f>
        <v/>
      </c>
      <c r="Y141" s="47">
        <f>IF($E141=Y$3,$G141,0)-IF($H141=Y$3,$J141,0)</f>
        <v/>
      </c>
      <c r="Z141" s="47">
        <f>IF($E141=Z$3,$G141,0)-IF($H141=Z$3,$J141,0)</f>
        <v/>
      </c>
      <c r="AA141" s="47">
        <f>IF($E141=AA$3,$G141,0)-IF($H141=AA$3,$J141,0)</f>
        <v/>
      </c>
      <c r="AB141" s="47">
        <f>IF($E141=AB$3,$G141,0)-IF($H141=AB$3,$J141,0)</f>
        <v/>
      </c>
      <c r="AC141" s="47">
        <f>IF($E141=AC$3,$G141,0)-IF($H141=AC$3,$J141,0)</f>
        <v/>
      </c>
      <c r="AD141" s="47">
        <f>IF($E141=AD$3,$G141,0)-IF($H141=AD$3,$J141,0)</f>
        <v/>
      </c>
      <c r="AE141" s="47">
        <f>IF($E141=AE$3,$G141,0)-IF($H141=AE$3,$J141,0)</f>
        <v/>
      </c>
      <c r="AF141" s="47">
        <f>IF($E141=AF$3,$G141,0)-IF($H141=AF$3,$J141,0)</f>
        <v/>
      </c>
      <c r="AG141" s="47">
        <f>IF($E141=AG$3,$G141,0)-IF($H141=AG$3,$J141,0)</f>
        <v/>
      </c>
      <c r="AH141" s="47">
        <f>IF($E141=AH$3,$G141,0)-IF($H141=AH$3,$J141,0)</f>
        <v/>
      </c>
      <c r="AI141" s="47">
        <f>IF($E141=AI$3,$G141,0)-IF($H141=AI$3,$J141,0)</f>
        <v/>
      </c>
      <c r="AJ141" s="47">
        <f>IF($E141=AJ$3,$G141,0)-IF($H141=AJ$3,$J141,0)</f>
        <v/>
      </c>
      <c r="AK141" s="47">
        <f>IF($E141=AK$3,$G141,0)-IF($H141=AK$3,$J141,0)</f>
        <v/>
      </c>
      <c r="AL141" s="48">
        <f>IF($E141=AL$3,$G141,0)-IF($H141=AL$3,$J141,0)</f>
        <v/>
      </c>
      <c r="AM141" s="46">
        <f>-IF($E141=AM$3,$G141,0)+IF($H141=AM$3,$J141,0)</f>
        <v/>
      </c>
      <c r="AN141" s="47">
        <f>-IF($E141=AN$3,$G141,0)+IF($H141=AN$3,$J141,0)</f>
        <v/>
      </c>
      <c r="AO141" s="48">
        <f>-IF($E141=AO$3,$G141,0)+IF($H141=AO$3,$J141,0)</f>
        <v/>
      </c>
      <c r="AP141" s="46">
        <f>IF($E141=AP$3,$G141,0)-IF($H141=AP$3,$J141,0)</f>
        <v/>
      </c>
      <c r="AQ141" s="47">
        <f>IF($E141=AQ$3,$G141,0)-IF($H141=AQ$3,$J141,0)</f>
        <v/>
      </c>
      <c r="AR141" s="47">
        <f>IF($E141=AR$3,$G141,0)-IF($H141=AR$3,$J141,0)</f>
        <v/>
      </c>
      <c r="AS141" s="47">
        <f>IF($E141=AS$3,$G141,0)-IF($H141=AS$3,$J141,0)</f>
        <v/>
      </c>
      <c r="AT141" s="47">
        <f>IF($E141=AT$3,$G141,0)-IF($H141=AT$3,$J141,0)</f>
        <v/>
      </c>
      <c r="AU141" s="47">
        <f>IF($E141=AU$3,$G141,0)-IF($H141=AU$3,$J141,0)</f>
        <v/>
      </c>
      <c r="AV141" s="47">
        <f>IF($E141=AV$3,$G141,0)-IF($H141=AV$3,$J141,0)</f>
        <v/>
      </c>
      <c r="AW141" s="47">
        <f>IF($E141=AW$3,$G141,0)-IF($H141=AW$3,$J141,0)</f>
        <v/>
      </c>
      <c r="AX141" s="47">
        <f>IF($E141=AX$3,$G141,0)-IF($H141=AX$3,$J141,0)</f>
        <v/>
      </c>
      <c r="AY141" s="47">
        <f>IF($E141=AY$3,$G141,0)-IF($H141=AY$3,$J141,0)</f>
        <v/>
      </c>
      <c r="AZ141" s="47">
        <f>IF($E141=AZ$3,$G141,0)-IF($H141=AZ$3,$J141,0)</f>
        <v/>
      </c>
      <c r="BA141" s="47">
        <f>IF($E141=BA$3,$G141,0)-IF($H141=BA$3,$J141,0)</f>
        <v/>
      </c>
      <c r="BB141" s="47">
        <f>IF($E141=BB$3,$G141,0)-IF($H141=BB$3,$J141,0)</f>
        <v/>
      </c>
      <c r="BC141" s="47">
        <f>IF($E141=BC$3,$G141,0)-IF($H141=BC$3,$J141,0)</f>
        <v/>
      </c>
      <c r="BD141" s="47">
        <f>IF($E141=BD$3,$G141,0)-IF($H141=BD$3,$J141,0)</f>
        <v/>
      </c>
      <c r="BE141" s="47">
        <f>IF($E141=BE$3,$G141,0)-IF($H141=BE$3,$J141,0)</f>
        <v/>
      </c>
      <c r="BF141" s="47">
        <f>IF($E141=BF$3,$G141,0)-IF($H141=BF$3,$J141,0)</f>
        <v/>
      </c>
      <c r="BG141" s="47">
        <f>IF($E141=BG$3,$G141,0)-IF($H141=BG$3,$J141,0)</f>
        <v/>
      </c>
      <c r="BH141" s="47">
        <f>IF($E141=BH$3,$G141,0)-IF($H141=BH$3,$J141,0)</f>
        <v/>
      </c>
      <c r="BI141" s="47">
        <f>IF($E141=BI$3,$G141,0)-IF($H141=BI$3,$J141,0)</f>
        <v/>
      </c>
      <c r="BJ141" s="47">
        <f>IF($E141=BJ$3,$G141,0)-IF($H141=BJ$3,$J141,0)</f>
        <v/>
      </c>
      <c r="BK141" s="47">
        <f>IF($E141=BK$3,$G141,0)-IF($H141=BK$3,$J141,0)</f>
        <v/>
      </c>
      <c r="BL141" s="46">
        <f>-IF($E141=BL$3,$G141,0)+IF($H141=BL$3,$J141,0)</f>
        <v/>
      </c>
      <c r="BM141" s="47">
        <f>-IF($E141=BM$3,$G141,0)+IF($H141=BM$3,$J141,0)</f>
        <v/>
      </c>
      <c r="BN141" s="47">
        <f>-IF($E141=BN$3,$G141,0)+IF($H141=BN$3,$J141,0)</f>
        <v/>
      </c>
      <c r="BO141" s="47">
        <f>-IF($E141=BO$3,$G141,0)+IF($H141=BO$3,$J141,0)</f>
        <v/>
      </c>
      <c r="BP141" s="47">
        <f>-IF($E141=BP$3,$G141,0)+IF($H141=BP$3,$J141,0)</f>
        <v/>
      </c>
      <c r="BQ141" s="47">
        <f>-IF($E141=BQ$3,$G141,0)+IF($H141=BQ$3,$J141,0)</f>
        <v/>
      </c>
      <c r="BR141" s="47">
        <f>-IF($E141=BR$3,$G141,0)+IF($H141=BR$3,$J141,0)</f>
        <v/>
      </c>
      <c r="BS141" s="47">
        <f>-IF($E141=BS$3,$G141,0)+IF($H141=BS$3,$J141,0)</f>
        <v/>
      </c>
      <c r="BT141" s="47">
        <f>-IF($E141=BT$3,$G141,0)+IF($H141=BT$3,$J141,0)</f>
        <v/>
      </c>
      <c r="BU141" s="46">
        <f>+G141-J141</f>
        <v/>
      </c>
      <c r="BV141" s="48">
        <f>-IF($E141=BV$3,$G141,0)+IF($H141=BV$3,$J141,0)</f>
        <v/>
      </c>
      <c r="BW141" s="3" t="n"/>
    </row>
    <row r="142" ht="15.75" customHeight="1" s="214">
      <c r="A142" s="7" t="n"/>
      <c r="B142" s="8" t="n"/>
      <c r="C142" s="9" t="n"/>
      <c r="D142" s="10" t="n"/>
      <c r="E142" s="247" t="n"/>
      <c r="F142" s="11">
        <f>IF(E142="","",IF(ISNA(VLOOKUP(E142,科目コード表!$C$4:$D$67,2,FALSE)),"該当科目なし",VLOOKUP(E142,科目コード表!$C$4:$D$67,2,FALSE)))</f>
        <v/>
      </c>
      <c r="G142" s="38" t="n"/>
      <c r="H142" s="248" t="n"/>
      <c r="I142" s="11">
        <f>IF(H142="","",IF(ISNA(VLOOKUP(H142,科目コード表!$C$4:$D$67,2,FALSE)),"該当科目なし",VLOOKUP(H142,科目コード表!$C$4:$D$67,2,FALSE)))</f>
        <v/>
      </c>
      <c r="J142" s="40" t="n"/>
      <c r="L142" s="46">
        <f>IF($E142=L$3,$G142,0)-IF($H142=L$3,$J142,0)</f>
        <v/>
      </c>
      <c r="M142" s="47">
        <f>IF($E142=M$3,$G142,0)-IF($H142=M$3,$J142,0)</f>
        <v/>
      </c>
      <c r="N142" s="47">
        <f>IF($E142=N$3,$G142,0)-IF($H142=N$3,$J142,0)</f>
        <v/>
      </c>
      <c r="O142" s="47">
        <f>IF($E142=O$3,$G142,0)-IF($H142=O$3,$J142,0)</f>
        <v/>
      </c>
      <c r="P142" s="47">
        <f>IF($E142=P$3,$G142,0)-IF($H142=P$3,$J142,0)</f>
        <v/>
      </c>
      <c r="Q142" s="47">
        <f>IF($E142=Q$3,$G142,0)-IF($H142=Q$3,$J142,0)</f>
        <v/>
      </c>
      <c r="R142" s="47">
        <f>IF($E142=R$3,$G142,0)-IF($H142=R$3,$J142,0)</f>
        <v/>
      </c>
      <c r="S142" s="47">
        <f>IF($E142=S$3,$G142,0)-IF($H142=S$3,$J142,0)</f>
        <v/>
      </c>
      <c r="T142" s="47">
        <f>IF($E142=T$3,$G142,0)-IF($H142=T$3,$J142,0)</f>
        <v/>
      </c>
      <c r="U142" s="47">
        <f>IF($E142=U$3,$G142,0)-IF($H142=U$3,$J142,0)</f>
        <v/>
      </c>
      <c r="V142" s="47">
        <f>IF($E142=V$3,$G142,0)-IF($H142=V$3,$J142,0)</f>
        <v/>
      </c>
      <c r="W142" s="47">
        <f>IF($E142=W$3,$G142,0)-IF($H142=W$3,$J142,0)</f>
        <v/>
      </c>
      <c r="X142" s="47">
        <f>IF($E142=X$3,$G142,0)-IF($H142=X$3,$J142,0)</f>
        <v/>
      </c>
      <c r="Y142" s="47">
        <f>IF($E142=Y$3,$G142,0)-IF($H142=Y$3,$J142,0)</f>
        <v/>
      </c>
      <c r="Z142" s="47">
        <f>IF($E142=Z$3,$G142,0)-IF($H142=Z$3,$J142,0)</f>
        <v/>
      </c>
      <c r="AA142" s="47">
        <f>IF($E142=AA$3,$G142,0)-IF($H142=AA$3,$J142,0)</f>
        <v/>
      </c>
      <c r="AB142" s="47">
        <f>IF($E142=AB$3,$G142,0)-IF($H142=AB$3,$J142,0)</f>
        <v/>
      </c>
      <c r="AC142" s="47">
        <f>IF($E142=AC$3,$G142,0)-IF($H142=AC$3,$J142,0)</f>
        <v/>
      </c>
      <c r="AD142" s="47">
        <f>IF($E142=AD$3,$G142,0)-IF($H142=AD$3,$J142,0)</f>
        <v/>
      </c>
      <c r="AE142" s="47">
        <f>IF($E142=AE$3,$G142,0)-IF($H142=AE$3,$J142,0)</f>
        <v/>
      </c>
      <c r="AF142" s="47">
        <f>IF($E142=AF$3,$G142,0)-IF($H142=AF$3,$J142,0)</f>
        <v/>
      </c>
      <c r="AG142" s="47">
        <f>IF($E142=AG$3,$G142,0)-IF($H142=AG$3,$J142,0)</f>
        <v/>
      </c>
      <c r="AH142" s="47">
        <f>IF($E142=AH$3,$G142,0)-IF($H142=AH$3,$J142,0)</f>
        <v/>
      </c>
      <c r="AI142" s="47">
        <f>IF($E142=AI$3,$G142,0)-IF($H142=AI$3,$J142,0)</f>
        <v/>
      </c>
      <c r="AJ142" s="47">
        <f>IF($E142=AJ$3,$G142,0)-IF($H142=AJ$3,$J142,0)</f>
        <v/>
      </c>
      <c r="AK142" s="47">
        <f>IF($E142=AK$3,$G142,0)-IF($H142=AK$3,$J142,0)</f>
        <v/>
      </c>
      <c r="AL142" s="48">
        <f>IF($E142=AL$3,$G142,0)-IF($H142=AL$3,$J142,0)</f>
        <v/>
      </c>
      <c r="AM142" s="46">
        <f>-IF($E142=AM$3,$G142,0)+IF($H142=AM$3,$J142,0)</f>
        <v/>
      </c>
      <c r="AN142" s="47">
        <f>-IF($E142=AN$3,$G142,0)+IF($H142=AN$3,$J142,0)</f>
        <v/>
      </c>
      <c r="AO142" s="48">
        <f>-IF($E142=AO$3,$G142,0)+IF($H142=AO$3,$J142,0)</f>
        <v/>
      </c>
      <c r="AP142" s="46">
        <f>IF($E142=AP$3,$G142,0)-IF($H142=AP$3,$J142,0)</f>
        <v/>
      </c>
      <c r="AQ142" s="47">
        <f>IF($E142=AQ$3,$G142,0)-IF($H142=AQ$3,$J142,0)</f>
        <v/>
      </c>
      <c r="AR142" s="47">
        <f>IF($E142=AR$3,$G142,0)-IF($H142=AR$3,$J142,0)</f>
        <v/>
      </c>
      <c r="AS142" s="47">
        <f>IF($E142=AS$3,$G142,0)-IF($H142=AS$3,$J142,0)</f>
        <v/>
      </c>
      <c r="AT142" s="47">
        <f>IF($E142=AT$3,$G142,0)-IF($H142=AT$3,$J142,0)</f>
        <v/>
      </c>
      <c r="AU142" s="47">
        <f>IF($E142=AU$3,$G142,0)-IF($H142=AU$3,$J142,0)</f>
        <v/>
      </c>
      <c r="AV142" s="47">
        <f>IF($E142=AV$3,$G142,0)-IF($H142=AV$3,$J142,0)</f>
        <v/>
      </c>
      <c r="AW142" s="47">
        <f>IF($E142=AW$3,$G142,0)-IF($H142=AW$3,$J142,0)</f>
        <v/>
      </c>
      <c r="AX142" s="47">
        <f>IF($E142=AX$3,$G142,0)-IF($H142=AX$3,$J142,0)</f>
        <v/>
      </c>
      <c r="AY142" s="47">
        <f>IF($E142=AY$3,$G142,0)-IF($H142=AY$3,$J142,0)</f>
        <v/>
      </c>
      <c r="AZ142" s="47">
        <f>IF($E142=AZ$3,$G142,0)-IF($H142=AZ$3,$J142,0)</f>
        <v/>
      </c>
      <c r="BA142" s="47">
        <f>IF($E142=BA$3,$G142,0)-IF($H142=BA$3,$J142,0)</f>
        <v/>
      </c>
      <c r="BB142" s="47">
        <f>IF($E142=BB$3,$G142,0)-IF($H142=BB$3,$J142,0)</f>
        <v/>
      </c>
      <c r="BC142" s="47">
        <f>IF($E142=BC$3,$G142,0)-IF($H142=BC$3,$J142,0)</f>
        <v/>
      </c>
      <c r="BD142" s="47">
        <f>IF($E142=BD$3,$G142,0)-IF($H142=BD$3,$J142,0)</f>
        <v/>
      </c>
      <c r="BE142" s="47">
        <f>IF($E142=BE$3,$G142,0)-IF($H142=BE$3,$J142,0)</f>
        <v/>
      </c>
      <c r="BF142" s="47">
        <f>IF($E142=BF$3,$G142,0)-IF($H142=BF$3,$J142,0)</f>
        <v/>
      </c>
      <c r="BG142" s="47">
        <f>IF($E142=BG$3,$G142,0)-IF($H142=BG$3,$J142,0)</f>
        <v/>
      </c>
      <c r="BH142" s="47">
        <f>IF($E142=BH$3,$G142,0)-IF($H142=BH$3,$J142,0)</f>
        <v/>
      </c>
      <c r="BI142" s="47">
        <f>IF($E142=BI$3,$G142,0)-IF($H142=BI$3,$J142,0)</f>
        <v/>
      </c>
      <c r="BJ142" s="47">
        <f>IF($E142=BJ$3,$G142,0)-IF($H142=BJ$3,$J142,0)</f>
        <v/>
      </c>
      <c r="BK142" s="47">
        <f>IF($E142=BK$3,$G142,0)-IF($H142=BK$3,$J142,0)</f>
        <v/>
      </c>
      <c r="BL142" s="46">
        <f>-IF($E142=BL$3,$G142,0)+IF($H142=BL$3,$J142,0)</f>
        <v/>
      </c>
      <c r="BM142" s="47">
        <f>-IF($E142=BM$3,$G142,0)+IF($H142=BM$3,$J142,0)</f>
        <v/>
      </c>
      <c r="BN142" s="47">
        <f>-IF($E142=BN$3,$G142,0)+IF($H142=BN$3,$J142,0)</f>
        <v/>
      </c>
      <c r="BO142" s="47">
        <f>-IF($E142=BO$3,$G142,0)+IF($H142=BO$3,$J142,0)</f>
        <v/>
      </c>
      <c r="BP142" s="47">
        <f>-IF($E142=BP$3,$G142,0)+IF($H142=BP$3,$J142,0)</f>
        <v/>
      </c>
      <c r="BQ142" s="47">
        <f>-IF($E142=BQ$3,$G142,0)+IF($H142=BQ$3,$J142,0)</f>
        <v/>
      </c>
      <c r="BR142" s="47">
        <f>-IF($E142=BR$3,$G142,0)+IF($H142=BR$3,$J142,0)</f>
        <v/>
      </c>
      <c r="BS142" s="47">
        <f>-IF($E142=BS$3,$G142,0)+IF($H142=BS$3,$J142,0)</f>
        <v/>
      </c>
      <c r="BT142" s="47">
        <f>-IF($E142=BT$3,$G142,0)+IF($H142=BT$3,$J142,0)</f>
        <v/>
      </c>
      <c r="BU142" s="46">
        <f>+G142-J142</f>
        <v/>
      </c>
      <c r="BV142" s="48">
        <f>-IF($E142=BV$3,$G142,0)+IF($H142=BV$3,$J142,0)</f>
        <v/>
      </c>
      <c r="BW142" s="3" t="n"/>
    </row>
    <row r="143" ht="15.75" customHeight="1" s="214">
      <c r="A143" s="7" t="n"/>
      <c r="B143" s="8" t="n"/>
      <c r="C143" s="9" t="n"/>
      <c r="D143" s="10" t="n"/>
      <c r="E143" s="247" t="n"/>
      <c r="F143" s="11">
        <f>IF(E143="","",IF(ISNA(VLOOKUP(E143,科目コード表!$C$4:$D$67,2,FALSE)),"該当科目なし",VLOOKUP(E143,科目コード表!$C$4:$D$67,2,FALSE)))</f>
        <v/>
      </c>
      <c r="G143" s="38" t="n"/>
      <c r="H143" s="248" t="n"/>
      <c r="I143" s="11">
        <f>IF(H143="","",IF(ISNA(VLOOKUP(H143,科目コード表!$C$4:$D$67,2,FALSE)),"該当科目なし",VLOOKUP(H143,科目コード表!$C$4:$D$67,2,FALSE)))</f>
        <v/>
      </c>
      <c r="J143" s="40" t="n"/>
      <c r="L143" s="46">
        <f>IF($E143=L$3,$G143,0)-IF($H143=L$3,$J143,0)</f>
        <v/>
      </c>
      <c r="M143" s="47">
        <f>IF($E143=M$3,$G143,0)-IF($H143=M$3,$J143,0)</f>
        <v/>
      </c>
      <c r="N143" s="47">
        <f>IF($E143=N$3,$G143,0)-IF($H143=N$3,$J143,0)</f>
        <v/>
      </c>
      <c r="O143" s="47">
        <f>IF($E143=O$3,$G143,0)-IF($H143=O$3,$J143,0)</f>
        <v/>
      </c>
      <c r="P143" s="47">
        <f>IF($E143=P$3,$G143,0)-IF($H143=P$3,$J143,0)</f>
        <v/>
      </c>
      <c r="Q143" s="47">
        <f>IF($E143=Q$3,$G143,0)-IF($H143=Q$3,$J143,0)</f>
        <v/>
      </c>
      <c r="R143" s="47">
        <f>IF($E143=R$3,$G143,0)-IF($H143=R$3,$J143,0)</f>
        <v/>
      </c>
      <c r="S143" s="47">
        <f>IF($E143=S$3,$G143,0)-IF($H143=S$3,$J143,0)</f>
        <v/>
      </c>
      <c r="T143" s="47">
        <f>IF($E143=T$3,$G143,0)-IF($H143=T$3,$J143,0)</f>
        <v/>
      </c>
      <c r="U143" s="47">
        <f>IF($E143=U$3,$G143,0)-IF($H143=U$3,$J143,0)</f>
        <v/>
      </c>
      <c r="V143" s="47">
        <f>IF($E143=V$3,$G143,0)-IF($H143=V$3,$J143,0)</f>
        <v/>
      </c>
      <c r="W143" s="47">
        <f>IF($E143=W$3,$G143,0)-IF($H143=W$3,$J143,0)</f>
        <v/>
      </c>
      <c r="X143" s="47">
        <f>IF($E143=X$3,$G143,0)-IF($H143=X$3,$J143,0)</f>
        <v/>
      </c>
      <c r="Y143" s="47">
        <f>IF($E143=Y$3,$G143,0)-IF($H143=Y$3,$J143,0)</f>
        <v/>
      </c>
      <c r="Z143" s="47">
        <f>IF($E143=Z$3,$G143,0)-IF($H143=Z$3,$J143,0)</f>
        <v/>
      </c>
      <c r="AA143" s="47">
        <f>IF($E143=AA$3,$G143,0)-IF($H143=AA$3,$J143,0)</f>
        <v/>
      </c>
      <c r="AB143" s="47">
        <f>IF($E143=AB$3,$G143,0)-IF($H143=AB$3,$J143,0)</f>
        <v/>
      </c>
      <c r="AC143" s="47">
        <f>IF($E143=AC$3,$G143,0)-IF($H143=AC$3,$J143,0)</f>
        <v/>
      </c>
      <c r="AD143" s="47">
        <f>IF($E143=AD$3,$G143,0)-IF($H143=AD$3,$J143,0)</f>
        <v/>
      </c>
      <c r="AE143" s="47">
        <f>IF($E143=AE$3,$G143,0)-IF($H143=AE$3,$J143,0)</f>
        <v/>
      </c>
      <c r="AF143" s="47">
        <f>IF($E143=AF$3,$G143,0)-IF($H143=AF$3,$J143,0)</f>
        <v/>
      </c>
      <c r="AG143" s="47">
        <f>IF($E143=AG$3,$G143,0)-IF($H143=AG$3,$J143,0)</f>
        <v/>
      </c>
      <c r="AH143" s="47">
        <f>IF($E143=AH$3,$G143,0)-IF($H143=AH$3,$J143,0)</f>
        <v/>
      </c>
      <c r="AI143" s="47">
        <f>IF($E143=AI$3,$G143,0)-IF($H143=AI$3,$J143,0)</f>
        <v/>
      </c>
      <c r="AJ143" s="47">
        <f>IF($E143=AJ$3,$G143,0)-IF($H143=AJ$3,$J143,0)</f>
        <v/>
      </c>
      <c r="AK143" s="47">
        <f>IF($E143=AK$3,$G143,0)-IF($H143=AK$3,$J143,0)</f>
        <v/>
      </c>
      <c r="AL143" s="48">
        <f>IF($E143=AL$3,$G143,0)-IF($H143=AL$3,$J143,0)</f>
        <v/>
      </c>
      <c r="AM143" s="46">
        <f>-IF($E143=AM$3,$G143,0)+IF($H143=AM$3,$J143,0)</f>
        <v/>
      </c>
      <c r="AN143" s="47">
        <f>-IF($E143=AN$3,$G143,0)+IF($H143=AN$3,$J143,0)</f>
        <v/>
      </c>
      <c r="AO143" s="48">
        <f>-IF($E143=AO$3,$G143,0)+IF($H143=AO$3,$J143,0)</f>
        <v/>
      </c>
      <c r="AP143" s="46">
        <f>IF($E143=AP$3,$G143,0)-IF($H143=AP$3,$J143,0)</f>
        <v/>
      </c>
      <c r="AQ143" s="47">
        <f>IF($E143=AQ$3,$G143,0)-IF($H143=AQ$3,$J143,0)</f>
        <v/>
      </c>
      <c r="AR143" s="47">
        <f>IF($E143=AR$3,$G143,0)-IF($H143=AR$3,$J143,0)</f>
        <v/>
      </c>
      <c r="AS143" s="47">
        <f>IF($E143=AS$3,$G143,0)-IF($H143=AS$3,$J143,0)</f>
        <v/>
      </c>
      <c r="AT143" s="47">
        <f>IF($E143=AT$3,$G143,0)-IF($H143=AT$3,$J143,0)</f>
        <v/>
      </c>
      <c r="AU143" s="47">
        <f>IF($E143=AU$3,$G143,0)-IF($H143=AU$3,$J143,0)</f>
        <v/>
      </c>
      <c r="AV143" s="47">
        <f>IF($E143=AV$3,$G143,0)-IF($H143=AV$3,$J143,0)</f>
        <v/>
      </c>
      <c r="AW143" s="47">
        <f>IF($E143=AW$3,$G143,0)-IF($H143=AW$3,$J143,0)</f>
        <v/>
      </c>
      <c r="AX143" s="47">
        <f>IF($E143=AX$3,$G143,0)-IF($H143=AX$3,$J143,0)</f>
        <v/>
      </c>
      <c r="AY143" s="47">
        <f>IF($E143=AY$3,$G143,0)-IF($H143=AY$3,$J143,0)</f>
        <v/>
      </c>
      <c r="AZ143" s="47">
        <f>IF($E143=AZ$3,$G143,0)-IF($H143=AZ$3,$J143,0)</f>
        <v/>
      </c>
      <c r="BA143" s="47">
        <f>IF($E143=BA$3,$G143,0)-IF($H143=BA$3,$J143,0)</f>
        <v/>
      </c>
      <c r="BB143" s="47">
        <f>IF($E143=BB$3,$G143,0)-IF($H143=BB$3,$J143,0)</f>
        <v/>
      </c>
      <c r="BC143" s="47">
        <f>IF($E143=BC$3,$G143,0)-IF($H143=BC$3,$J143,0)</f>
        <v/>
      </c>
      <c r="BD143" s="47">
        <f>IF($E143=BD$3,$G143,0)-IF($H143=BD$3,$J143,0)</f>
        <v/>
      </c>
      <c r="BE143" s="47">
        <f>IF($E143=BE$3,$G143,0)-IF($H143=BE$3,$J143,0)</f>
        <v/>
      </c>
      <c r="BF143" s="47">
        <f>IF($E143=BF$3,$G143,0)-IF($H143=BF$3,$J143,0)</f>
        <v/>
      </c>
      <c r="BG143" s="47">
        <f>IF($E143=BG$3,$G143,0)-IF($H143=BG$3,$J143,0)</f>
        <v/>
      </c>
      <c r="BH143" s="47">
        <f>IF($E143=BH$3,$G143,0)-IF($H143=BH$3,$J143,0)</f>
        <v/>
      </c>
      <c r="BI143" s="47">
        <f>IF($E143=BI$3,$G143,0)-IF($H143=BI$3,$J143,0)</f>
        <v/>
      </c>
      <c r="BJ143" s="47">
        <f>IF($E143=BJ$3,$G143,0)-IF($H143=BJ$3,$J143,0)</f>
        <v/>
      </c>
      <c r="BK143" s="47">
        <f>IF($E143=BK$3,$G143,0)-IF($H143=BK$3,$J143,0)</f>
        <v/>
      </c>
      <c r="BL143" s="46">
        <f>-IF($E143=BL$3,$G143,0)+IF($H143=BL$3,$J143,0)</f>
        <v/>
      </c>
      <c r="BM143" s="47">
        <f>-IF($E143=BM$3,$G143,0)+IF($H143=BM$3,$J143,0)</f>
        <v/>
      </c>
      <c r="BN143" s="47">
        <f>-IF($E143=BN$3,$G143,0)+IF($H143=BN$3,$J143,0)</f>
        <v/>
      </c>
      <c r="BO143" s="47">
        <f>-IF($E143=BO$3,$G143,0)+IF($H143=BO$3,$J143,0)</f>
        <v/>
      </c>
      <c r="BP143" s="47">
        <f>-IF($E143=BP$3,$G143,0)+IF($H143=BP$3,$J143,0)</f>
        <v/>
      </c>
      <c r="BQ143" s="47">
        <f>-IF($E143=BQ$3,$G143,0)+IF($H143=BQ$3,$J143,0)</f>
        <v/>
      </c>
      <c r="BR143" s="47">
        <f>-IF($E143=BR$3,$G143,0)+IF($H143=BR$3,$J143,0)</f>
        <v/>
      </c>
      <c r="BS143" s="47">
        <f>-IF($E143=BS$3,$G143,0)+IF($H143=BS$3,$J143,0)</f>
        <v/>
      </c>
      <c r="BT143" s="47">
        <f>-IF($E143=BT$3,$G143,0)+IF($H143=BT$3,$J143,0)</f>
        <v/>
      </c>
      <c r="BU143" s="46">
        <f>+G143-J143</f>
        <v/>
      </c>
      <c r="BV143" s="48">
        <f>-IF($E143=BV$3,$G143,0)+IF($H143=BV$3,$J143,0)</f>
        <v/>
      </c>
      <c r="BW143" s="3" t="n"/>
    </row>
    <row r="144" ht="15.75" customHeight="1" s="214">
      <c r="A144" s="7" t="n"/>
      <c r="B144" s="8" t="n"/>
      <c r="C144" s="9" t="n"/>
      <c r="D144" s="10" t="n"/>
      <c r="E144" s="247" t="n"/>
      <c r="F144" s="11">
        <f>IF(E144="","",IF(ISNA(VLOOKUP(E144,科目コード表!$C$4:$D$67,2,FALSE)),"該当科目なし",VLOOKUP(E144,科目コード表!$C$4:$D$67,2,FALSE)))</f>
        <v/>
      </c>
      <c r="G144" s="38" t="n"/>
      <c r="H144" s="248" t="n"/>
      <c r="I144" s="11">
        <f>IF(H144="","",IF(ISNA(VLOOKUP(H144,科目コード表!$C$4:$D$67,2,FALSE)),"該当科目なし",VLOOKUP(H144,科目コード表!$C$4:$D$67,2,FALSE)))</f>
        <v/>
      </c>
      <c r="J144" s="40" t="n"/>
      <c r="L144" s="46">
        <f>IF($E144=L$3,$G144,0)-IF($H144=L$3,$J144,0)</f>
        <v/>
      </c>
      <c r="M144" s="47">
        <f>IF($E144=M$3,$G144,0)-IF($H144=M$3,$J144,0)</f>
        <v/>
      </c>
      <c r="N144" s="47">
        <f>IF($E144=N$3,$G144,0)-IF($H144=N$3,$J144,0)</f>
        <v/>
      </c>
      <c r="O144" s="47">
        <f>IF($E144=O$3,$G144,0)-IF($H144=O$3,$J144,0)</f>
        <v/>
      </c>
      <c r="P144" s="47">
        <f>IF($E144=P$3,$G144,0)-IF($H144=P$3,$J144,0)</f>
        <v/>
      </c>
      <c r="Q144" s="47">
        <f>IF($E144=Q$3,$G144,0)-IF($H144=Q$3,$J144,0)</f>
        <v/>
      </c>
      <c r="R144" s="47">
        <f>IF($E144=R$3,$G144,0)-IF($H144=R$3,$J144,0)</f>
        <v/>
      </c>
      <c r="S144" s="47">
        <f>IF($E144=S$3,$G144,0)-IF($H144=S$3,$J144,0)</f>
        <v/>
      </c>
      <c r="T144" s="47">
        <f>IF($E144=T$3,$G144,0)-IF($H144=T$3,$J144,0)</f>
        <v/>
      </c>
      <c r="U144" s="47">
        <f>IF($E144=U$3,$G144,0)-IF($H144=U$3,$J144,0)</f>
        <v/>
      </c>
      <c r="V144" s="47">
        <f>IF($E144=V$3,$G144,0)-IF($H144=V$3,$J144,0)</f>
        <v/>
      </c>
      <c r="W144" s="47">
        <f>IF($E144=W$3,$G144,0)-IF($H144=W$3,$J144,0)</f>
        <v/>
      </c>
      <c r="X144" s="47">
        <f>IF($E144=X$3,$G144,0)-IF($H144=X$3,$J144,0)</f>
        <v/>
      </c>
      <c r="Y144" s="47">
        <f>IF($E144=Y$3,$G144,0)-IF($H144=Y$3,$J144,0)</f>
        <v/>
      </c>
      <c r="Z144" s="47">
        <f>IF($E144=Z$3,$G144,0)-IF($H144=Z$3,$J144,0)</f>
        <v/>
      </c>
      <c r="AA144" s="47">
        <f>IF($E144=AA$3,$G144,0)-IF($H144=AA$3,$J144,0)</f>
        <v/>
      </c>
      <c r="AB144" s="47">
        <f>IF($E144=AB$3,$G144,0)-IF($H144=AB$3,$J144,0)</f>
        <v/>
      </c>
      <c r="AC144" s="47">
        <f>IF($E144=AC$3,$G144,0)-IF($H144=AC$3,$J144,0)</f>
        <v/>
      </c>
      <c r="AD144" s="47">
        <f>IF($E144=AD$3,$G144,0)-IF($H144=AD$3,$J144,0)</f>
        <v/>
      </c>
      <c r="AE144" s="47">
        <f>IF($E144=AE$3,$G144,0)-IF($H144=AE$3,$J144,0)</f>
        <v/>
      </c>
      <c r="AF144" s="47">
        <f>IF($E144=AF$3,$G144,0)-IF($H144=AF$3,$J144,0)</f>
        <v/>
      </c>
      <c r="AG144" s="47">
        <f>IF($E144=AG$3,$G144,0)-IF($H144=AG$3,$J144,0)</f>
        <v/>
      </c>
      <c r="AH144" s="47">
        <f>IF($E144=AH$3,$G144,0)-IF($H144=AH$3,$J144,0)</f>
        <v/>
      </c>
      <c r="AI144" s="47">
        <f>IF($E144=AI$3,$G144,0)-IF($H144=AI$3,$J144,0)</f>
        <v/>
      </c>
      <c r="AJ144" s="47">
        <f>IF($E144=AJ$3,$G144,0)-IF($H144=AJ$3,$J144,0)</f>
        <v/>
      </c>
      <c r="AK144" s="47">
        <f>IF($E144=AK$3,$G144,0)-IF($H144=AK$3,$J144,0)</f>
        <v/>
      </c>
      <c r="AL144" s="48">
        <f>IF($E144=AL$3,$G144,0)-IF($H144=AL$3,$J144,0)</f>
        <v/>
      </c>
      <c r="AM144" s="46">
        <f>-IF($E144=AM$3,$G144,0)+IF($H144=AM$3,$J144,0)</f>
        <v/>
      </c>
      <c r="AN144" s="47">
        <f>-IF($E144=AN$3,$G144,0)+IF($H144=AN$3,$J144,0)</f>
        <v/>
      </c>
      <c r="AO144" s="48">
        <f>-IF($E144=AO$3,$G144,0)+IF($H144=AO$3,$J144,0)</f>
        <v/>
      </c>
      <c r="AP144" s="46">
        <f>IF($E144=AP$3,$G144,0)-IF($H144=AP$3,$J144,0)</f>
        <v/>
      </c>
      <c r="AQ144" s="47">
        <f>IF($E144=AQ$3,$G144,0)-IF($H144=AQ$3,$J144,0)</f>
        <v/>
      </c>
      <c r="AR144" s="47">
        <f>IF($E144=AR$3,$G144,0)-IF($H144=AR$3,$J144,0)</f>
        <v/>
      </c>
      <c r="AS144" s="47">
        <f>IF($E144=AS$3,$G144,0)-IF($H144=AS$3,$J144,0)</f>
        <v/>
      </c>
      <c r="AT144" s="47">
        <f>IF($E144=AT$3,$G144,0)-IF($H144=AT$3,$J144,0)</f>
        <v/>
      </c>
      <c r="AU144" s="47">
        <f>IF($E144=AU$3,$G144,0)-IF($H144=AU$3,$J144,0)</f>
        <v/>
      </c>
      <c r="AV144" s="47">
        <f>IF($E144=AV$3,$G144,0)-IF($H144=AV$3,$J144,0)</f>
        <v/>
      </c>
      <c r="AW144" s="47">
        <f>IF($E144=AW$3,$G144,0)-IF($H144=AW$3,$J144,0)</f>
        <v/>
      </c>
      <c r="AX144" s="47">
        <f>IF($E144=AX$3,$G144,0)-IF($H144=AX$3,$J144,0)</f>
        <v/>
      </c>
      <c r="AY144" s="47">
        <f>IF($E144=AY$3,$G144,0)-IF($H144=AY$3,$J144,0)</f>
        <v/>
      </c>
      <c r="AZ144" s="47">
        <f>IF($E144=AZ$3,$G144,0)-IF($H144=AZ$3,$J144,0)</f>
        <v/>
      </c>
      <c r="BA144" s="47">
        <f>IF($E144=BA$3,$G144,0)-IF($H144=BA$3,$J144,0)</f>
        <v/>
      </c>
      <c r="BB144" s="47">
        <f>IF($E144=BB$3,$G144,0)-IF($H144=BB$3,$J144,0)</f>
        <v/>
      </c>
      <c r="BC144" s="47">
        <f>IF($E144=BC$3,$G144,0)-IF($H144=BC$3,$J144,0)</f>
        <v/>
      </c>
      <c r="BD144" s="47">
        <f>IF($E144=BD$3,$G144,0)-IF($H144=BD$3,$J144,0)</f>
        <v/>
      </c>
      <c r="BE144" s="47">
        <f>IF($E144=BE$3,$G144,0)-IF($H144=BE$3,$J144,0)</f>
        <v/>
      </c>
      <c r="BF144" s="47">
        <f>IF($E144=BF$3,$G144,0)-IF($H144=BF$3,$J144,0)</f>
        <v/>
      </c>
      <c r="BG144" s="47">
        <f>IF($E144=BG$3,$G144,0)-IF($H144=BG$3,$J144,0)</f>
        <v/>
      </c>
      <c r="BH144" s="47">
        <f>IF($E144=BH$3,$G144,0)-IF($H144=BH$3,$J144,0)</f>
        <v/>
      </c>
      <c r="BI144" s="47">
        <f>IF($E144=BI$3,$G144,0)-IF($H144=BI$3,$J144,0)</f>
        <v/>
      </c>
      <c r="BJ144" s="47">
        <f>IF($E144=BJ$3,$G144,0)-IF($H144=BJ$3,$J144,0)</f>
        <v/>
      </c>
      <c r="BK144" s="47">
        <f>IF($E144=BK$3,$G144,0)-IF($H144=BK$3,$J144,0)</f>
        <v/>
      </c>
      <c r="BL144" s="46">
        <f>-IF($E144=BL$3,$G144,0)+IF($H144=BL$3,$J144,0)</f>
        <v/>
      </c>
      <c r="BM144" s="47">
        <f>-IF($E144=BM$3,$G144,0)+IF($H144=BM$3,$J144,0)</f>
        <v/>
      </c>
      <c r="BN144" s="47">
        <f>-IF($E144=BN$3,$G144,0)+IF($H144=BN$3,$J144,0)</f>
        <v/>
      </c>
      <c r="BO144" s="47">
        <f>-IF($E144=BO$3,$G144,0)+IF($H144=BO$3,$J144,0)</f>
        <v/>
      </c>
      <c r="BP144" s="47">
        <f>-IF($E144=BP$3,$G144,0)+IF($H144=BP$3,$J144,0)</f>
        <v/>
      </c>
      <c r="BQ144" s="47">
        <f>-IF($E144=BQ$3,$G144,0)+IF($H144=BQ$3,$J144,0)</f>
        <v/>
      </c>
      <c r="BR144" s="47">
        <f>-IF($E144=BR$3,$G144,0)+IF($H144=BR$3,$J144,0)</f>
        <v/>
      </c>
      <c r="BS144" s="47">
        <f>-IF($E144=BS$3,$G144,0)+IF($H144=BS$3,$J144,0)</f>
        <v/>
      </c>
      <c r="BT144" s="47">
        <f>-IF($E144=BT$3,$G144,0)+IF($H144=BT$3,$J144,0)</f>
        <v/>
      </c>
      <c r="BU144" s="46">
        <f>+G144-J144</f>
        <v/>
      </c>
      <c r="BV144" s="48">
        <f>-IF($E144=BV$3,$G144,0)+IF($H144=BV$3,$J144,0)</f>
        <v/>
      </c>
      <c r="BW144" s="3" t="n"/>
    </row>
    <row r="145" ht="15.75" customHeight="1" s="214">
      <c r="A145" s="7" t="n"/>
      <c r="B145" s="8" t="n"/>
      <c r="C145" s="9" t="n"/>
      <c r="D145" s="10" t="n"/>
      <c r="E145" s="247" t="n"/>
      <c r="F145" s="11">
        <f>IF(E145="","",IF(ISNA(VLOOKUP(E145,科目コード表!$C$4:$D$67,2,FALSE)),"該当科目なし",VLOOKUP(E145,科目コード表!$C$4:$D$67,2,FALSE)))</f>
        <v/>
      </c>
      <c r="G145" s="38" t="n"/>
      <c r="H145" s="248" t="n"/>
      <c r="I145" s="11">
        <f>IF(H145="","",IF(ISNA(VLOOKUP(H145,科目コード表!$C$4:$D$67,2,FALSE)),"該当科目なし",VLOOKUP(H145,科目コード表!$C$4:$D$67,2,FALSE)))</f>
        <v/>
      </c>
      <c r="J145" s="40" t="n"/>
      <c r="L145" s="46">
        <f>IF($E145=L$3,$G145,0)-IF($H145=L$3,$J145,0)</f>
        <v/>
      </c>
      <c r="M145" s="47">
        <f>IF($E145=M$3,$G145,0)-IF($H145=M$3,$J145,0)</f>
        <v/>
      </c>
      <c r="N145" s="47">
        <f>IF($E145=N$3,$G145,0)-IF($H145=N$3,$J145,0)</f>
        <v/>
      </c>
      <c r="O145" s="47">
        <f>IF($E145=O$3,$G145,0)-IF($H145=O$3,$J145,0)</f>
        <v/>
      </c>
      <c r="P145" s="47">
        <f>IF($E145=P$3,$G145,0)-IF($H145=P$3,$J145,0)</f>
        <v/>
      </c>
      <c r="Q145" s="47">
        <f>IF($E145=Q$3,$G145,0)-IF($H145=Q$3,$J145,0)</f>
        <v/>
      </c>
      <c r="R145" s="47">
        <f>IF($E145=R$3,$G145,0)-IF($H145=R$3,$J145,0)</f>
        <v/>
      </c>
      <c r="S145" s="47">
        <f>IF($E145=S$3,$G145,0)-IF($H145=S$3,$J145,0)</f>
        <v/>
      </c>
      <c r="T145" s="47">
        <f>IF($E145=T$3,$G145,0)-IF($H145=T$3,$J145,0)</f>
        <v/>
      </c>
      <c r="U145" s="47">
        <f>IF($E145=U$3,$G145,0)-IF($H145=U$3,$J145,0)</f>
        <v/>
      </c>
      <c r="V145" s="47">
        <f>IF($E145=V$3,$G145,0)-IF($H145=V$3,$J145,0)</f>
        <v/>
      </c>
      <c r="W145" s="47">
        <f>IF($E145=W$3,$G145,0)-IF($H145=W$3,$J145,0)</f>
        <v/>
      </c>
      <c r="X145" s="47">
        <f>IF($E145=X$3,$G145,0)-IF($H145=X$3,$J145,0)</f>
        <v/>
      </c>
      <c r="Y145" s="47">
        <f>IF($E145=Y$3,$G145,0)-IF($H145=Y$3,$J145,0)</f>
        <v/>
      </c>
      <c r="Z145" s="47">
        <f>IF($E145=Z$3,$G145,0)-IF($H145=Z$3,$J145,0)</f>
        <v/>
      </c>
      <c r="AA145" s="47">
        <f>IF($E145=AA$3,$G145,0)-IF($H145=AA$3,$J145,0)</f>
        <v/>
      </c>
      <c r="AB145" s="47">
        <f>IF($E145=AB$3,$G145,0)-IF($H145=AB$3,$J145,0)</f>
        <v/>
      </c>
      <c r="AC145" s="47">
        <f>IF($E145=AC$3,$G145,0)-IF($H145=AC$3,$J145,0)</f>
        <v/>
      </c>
      <c r="AD145" s="47">
        <f>IF($E145=AD$3,$G145,0)-IF($H145=AD$3,$J145,0)</f>
        <v/>
      </c>
      <c r="AE145" s="47">
        <f>IF($E145=AE$3,$G145,0)-IF($H145=AE$3,$J145,0)</f>
        <v/>
      </c>
      <c r="AF145" s="47">
        <f>IF($E145=AF$3,$G145,0)-IF($H145=AF$3,$J145,0)</f>
        <v/>
      </c>
      <c r="AG145" s="47">
        <f>IF($E145=AG$3,$G145,0)-IF($H145=AG$3,$J145,0)</f>
        <v/>
      </c>
      <c r="AH145" s="47">
        <f>IF($E145=AH$3,$G145,0)-IF($H145=AH$3,$J145,0)</f>
        <v/>
      </c>
      <c r="AI145" s="47">
        <f>IF($E145=AI$3,$G145,0)-IF($H145=AI$3,$J145,0)</f>
        <v/>
      </c>
      <c r="AJ145" s="47">
        <f>IF($E145=AJ$3,$G145,0)-IF($H145=AJ$3,$J145,0)</f>
        <v/>
      </c>
      <c r="AK145" s="47">
        <f>IF($E145=AK$3,$G145,0)-IF($H145=AK$3,$J145,0)</f>
        <v/>
      </c>
      <c r="AL145" s="48">
        <f>IF($E145=AL$3,$G145,0)-IF($H145=AL$3,$J145,0)</f>
        <v/>
      </c>
      <c r="AM145" s="46">
        <f>-IF($E145=AM$3,$G145,0)+IF($H145=AM$3,$J145,0)</f>
        <v/>
      </c>
      <c r="AN145" s="47">
        <f>-IF($E145=AN$3,$G145,0)+IF($H145=AN$3,$J145,0)</f>
        <v/>
      </c>
      <c r="AO145" s="48">
        <f>-IF($E145=AO$3,$G145,0)+IF($H145=AO$3,$J145,0)</f>
        <v/>
      </c>
      <c r="AP145" s="46">
        <f>IF($E145=AP$3,$G145,0)-IF($H145=AP$3,$J145,0)</f>
        <v/>
      </c>
      <c r="AQ145" s="47">
        <f>IF($E145=AQ$3,$G145,0)-IF($H145=AQ$3,$J145,0)</f>
        <v/>
      </c>
      <c r="AR145" s="47">
        <f>IF($E145=AR$3,$G145,0)-IF($H145=AR$3,$J145,0)</f>
        <v/>
      </c>
      <c r="AS145" s="47">
        <f>IF($E145=AS$3,$G145,0)-IF($H145=AS$3,$J145,0)</f>
        <v/>
      </c>
      <c r="AT145" s="47">
        <f>IF($E145=AT$3,$G145,0)-IF($H145=AT$3,$J145,0)</f>
        <v/>
      </c>
      <c r="AU145" s="47">
        <f>IF($E145=AU$3,$G145,0)-IF($H145=AU$3,$J145,0)</f>
        <v/>
      </c>
      <c r="AV145" s="47">
        <f>IF($E145=AV$3,$G145,0)-IF($H145=AV$3,$J145,0)</f>
        <v/>
      </c>
      <c r="AW145" s="47">
        <f>IF($E145=AW$3,$G145,0)-IF($H145=AW$3,$J145,0)</f>
        <v/>
      </c>
      <c r="AX145" s="47">
        <f>IF($E145=AX$3,$G145,0)-IF($H145=AX$3,$J145,0)</f>
        <v/>
      </c>
      <c r="AY145" s="47">
        <f>IF($E145=AY$3,$G145,0)-IF($H145=AY$3,$J145,0)</f>
        <v/>
      </c>
      <c r="AZ145" s="47">
        <f>IF($E145=AZ$3,$G145,0)-IF($H145=AZ$3,$J145,0)</f>
        <v/>
      </c>
      <c r="BA145" s="47">
        <f>IF($E145=BA$3,$G145,0)-IF($H145=BA$3,$J145,0)</f>
        <v/>
      </c>
      <c r="BB145" s="47">
        <f>IF($E145=BB$3,$G145,0)-IF($H145=BB$3,$J145,0)</f>
        <v/>
      </c>
      <c r="BC145" s="47">
        <f>IF($E145=BC$3,$G145,0)-IF($H145=BC$3,$J145,0)</f>
        <v/>
      </c>
      <c r="BD145" s="47">
        <f>IF($E145=BD$3,$G145,0)-IF($H145=BD$3,$J145,0)</f>
        <v/>
      </c>
      <c r="BE145" s="47">
        <f>IF($E145=BE$3,$G145,0)-IF($H145=BE$3,$J145,0)</f>
        <v/>
      </c>
      <c r="BF145" s="47">
        <f>IF($E145=BF$3,$G145,0)-IF($H145=BF$3,$J145,0)</f>
        <v/>
      </c>
      <c r="BG145" s="47">
        <f>IF($E145=BG$3,$G145,0)-IF($H145=BG$3,$J145,0)</f>
        <v/>
      </c>
      <c r="BH145" s="47">
        <f>IF($E145=BH$3,$G145,0)-IF($H145=BH$3,$J145,0)</f>
        <v/>
      </c>
      <c r="BI145" s="47">
        <f>IF($E145=BI$3,$G145,0)-IF($H145=BI$3,$J145,0)</f>
        <v/>
      </c>
      <c r="BJ145" s="47">
        <f>IF($E145=BJ$3,$G145,0)-IF($H145=BJ$3,$J145,0)</f>
        <v/>
      </c>
      <c r="BK145" s="47">
        <f>IF($E145=BK$3,$G145,0)-IF($H145=BK$3,$J145,0)</f>
        <v/>
      </c>
      <c r="BL145" s="46">
        <f>-IF($E145=BL$3,$G145,0)+IF($H145=BL$3,$J145,0)</f>
        <v/>
      </c>
      <c r="BM145" s="47">
        <f>-IF($E145=BM$3,$G145,0)+IF($H145=BM$3,$J145,0)</f>
        <v/>
      </c>
      <c r="BN145" s="47">
        <f>-IF($E145=BN$3,$G145,0)+IF($H145=BN$3,$J145,0)</f>
        <v/>
      </c>
      <c r="BO145" s="47">
        <f>-IF($E145=BO$3,$G145,0)+IF($H145=BO$3,$J145,0)</f>
        <v/>
      </c>
      <c r="BP145" s="47">
        <f>-IF($E145=BP$3,$G145,0)+IF($H145=BP$3,$J145,0)</f>
        <v/>
      </c>
      <c r="BQ145" s="47">
        <f>-IF($E145=BQ$3,$G145,0)+IF($H145=BQ$3,$J145,0)</f>
        <v/>
      </c>
      <c r="BR145" s="47">
        <f>-IF($E145=BR$3,$G145,0)+IF($H145=BR$3,$J145,0)</f>
        <v/>
      </c>
      <c r="BS145" s="47">
        <f>-IF($E145=BS$3,$G145,0)+IF($H145=BS$3,$J145,0)</f>
        <v/>
      </c>
      <c r="BT145" s="47">
        <f>-IF($E145=BT$3,$G145,0)+IF($H145=BT$3,$J145,0)</f>
        <v/>
      </c>
      <c r="BU145" s="46">
        <f>+G145-J145</f>
        <v/>
      </c>
      <c r="BV145" s="48">
        <f>-IF($E145=BV$3,$G145,0)+IF($H145=BV$3,$J145,0)</f>
        <v/>
      </c>
      <c r="BW145" s="3" t="n"/>
    </row>
    <row r="146" ht="15.75" customHeight="1" s="214">
      <c r="A146" s="7" t="n"/>
      <c r="B146" s="8" t="n"/>
      <c r="C146" s="9" t="n"/>
      <c r="D146" s="10" t="n"/>
      <c r="E146" s="247" t="n"/>
      <c r="F146" s="11">
        <f>IF(E146="","",IF(ISNA(VLOOKUP(E146,科目コード表!$C$4:$D$67,2,FALSE)),"該当科目なし",VLOOKUP(E146,科目コード表!$C$4:$D$67,2,FALSE)))</f>
        <v/>
      </c>
      <c r="G146" s="38" t="n"/>
      <c r="H146" s="248" t="n"/>
      <c r="I146" s="11">
        <f>IF(H146="","",IF(ISNA(VLOOKUP(H146,科目コード表!$C$4:$D$67,2,FALSE)),"該当科目なし",VLOOKUP(H146,科目コード表!$C$4:$D$67,2,FALSE)))</f>
        <v/>
      </c>
      <c r="J146" s="40" t="n"/>
      <c r="L146" s="46">
        <f>IF($E146=L$3,$G146,0)-IF($H146=L$3,$J146,0)</f>
        <v/>
      </c>
      <c r="M146" s="47">
        <f>IF($E146=M$3,$G146,0)-IF($H146=M$3,$J146,0)</f>
        <v/>
      </c>
      <c r="N146" s="47">
        <f>IF($E146=N$3,$G146,0)-IF($H146=N$3,$J146,0)</f>
        <v/>
      </c>
      <c r="O146" s="47">
        <f>IF($E146=O$3,$G146,0)-IF($H146=O$3,$J146,0)</f>
        <v/>
      </c>
      <c r="P146" s="47">
        <f>IF($E146=P$3,$G146,0)-IF($H146=P$3,$J146,0)</f>
        <v/>
      </c>
      <c r="Q146" s="47">
        <f>IF($E146=Q$3,$G146,0)-IF($H146=Q$3,$J146,0)</f>
        <v/>
      </c>
      <c r="R146" s="47">
        <f>IF($E146=R$3,$G146,0)-IF($H146=R$3,$J146,0)</f>
        <v/>
      </c>
      <c r="S146" s="47">
        <f>IF($E146=S$3,$G146,0)-IF($H146=S$3,$J146,0)</f>
        <v/>
      </c>
      <c r="T146" s="47">
        <f>IF($E146=T$3,$G146,0)-IF($H146=T$3,$J146,0)</f>
        <v/>
      </c>
      <c r="U146" s="47">
        <f>IF($E146=U$3,$G146,0)-IF($H146=U$3,$J146,0)</f>
        <v/>
      </c>
      <c r="V146" s="47">
        <f>IF($E146=V$3,$G146,0)-IF($H146=V$3,$J146,0)</f>
        <v/>
      </c>
      <c r="W146" s="47">
        <f>IF($E146=W$3,$G146,0)-IF($H146=W$3,$J146,0)</f>
        <v/>
      </c>
      <c r="X146" s="47">
        <f>IF($E146=X$3,$G146,0)-IF($H146=X$3,$J146,0)</f>
        <v/>
      </c>
      <c r="Y146" s="47">
        <f>IF($E146=Y$3,$G146,0)-IF($H146=Y$3,$J146,0)</f>
        <v/>
      </c>
      <c r="Z146" s="47">
        <f>IF($E146=Z$3,$G146,0)-IF($H146=Z$3,$J146,0)</f>
        <v/>
      </c>
      <c r="AA146" s="47">
        <f>IF($E146=AA$3,$G146,0)-IF($H146=AA$3,$J146,0)</f>
        <v/>
      </c>
      <c r="AB146" s="47">
        <f>IF($E146=AB$3,$G146,0)-IF($H146=AB$3,$J146,0)</f>
        <v/>
      </c>
      <c r="AC146" s="47">
        <f>IF($E146=AC$3,$G146,0)-IF($H146=AC$3,$J146,0)</f>
        <v/>
      </c>
      <c r="AD146" s="47">
        <f>IF($E146=AD$3,$G146,0)-IF($H146=AD$3,$J146,0)</f>
        <v/>
      </c>
      <c r="AE146" s="47">
        <f>IF($E146=AE$3,$G146,0)-IF($H146=AE$3,$J146,0)</f>
        <v/>
      </c>
      <c r="AF146" s="47">
        <f>IF($E146=AF$3,$G146,0)-IF($H146=AF$3,$J146,0)</f>
        <v/>
      </c>
      <c r="AG146" s="47">
        <f>IF($E146=AG$3,$G146,0)-IF($H146=AG$3,$J146,0)</f>
        <v/>
      </c>
      <c r="AH146" s="47">
        <f>IF($E146=AH$3,$G146,0)-IF($H146=AH$3,$J146,0)</f>
        <v/>
      </c>
      <c r="AI146" s="47">
        <f>IF($E146=AI$3,$G146,0)-IF($H146=AI$3,$J146,0)</f>
        <v/>
      </c>
      <c r="AJ146" s="47">
        <f>IF($E146=AJ$3,$G146,0)-IF($H146=AJ$3,$J146,0)</f>
        <v/>
      </c>
      <c r="AK146" s="47">
        <f>IF($E146=AK$3,$G146,0)-IF($H146=AK$3,$J146,0)</f>
        <v/>
      </c>
      <c r="AL146" s="48">
        <f>IF($E146=AL$3,$G146,0)-IF($H146=AL$3,$J146,0)</f>
        <v/>
      </c>
      <c r="AM146" s="46">
        <f>-IF($E146=AM$3,$G146,0)+IF($H146=AM$3,$J146,0)</f>
        <v/>
      </c>
      <c r="AN146" s="47">
        <f>-IF($E146=AN$3,$G146,0)+IF($H146=AN$3,$J146,0)</f>
        <v/>
      </c>
      <c r="AO146" s="48">
        <f>-IF($E146=AO$3,$G146,0)+IF($H146=AO$3,$J146,0)</f>
        <v/>
      </c>
      <c r="AP146" s="46">
        <f>IF($E146=AP$3,$G146,0)-IF($H146=AP$3,$J146,0)</f>
        <v/>
      </c>
      <c r="AQ146" s="47">
        <f>IF($E146=AQ$3,$G146,0)-IF($H146=AQ$3,$J146,0)</f>
        <v/>
      </c>
      <c r="AR146" s="47">
        <f>IF($E146=AR$3,$G146,0)-IF($H146=AR$3,$J146,0)</f>
        <v/>
      </c>
      <c r="AS146" s="47">
        <f>IF($E146=AS$3,$G146,0)-IF($H146=AS$3,$J146,0)</f>
        <v/>
      </c>
      <c r="AT146" s="47">
        <f>IF($E146=AT$3,$G146,0)-IF($H146=AT$3,$J146,0)</f>
        <v/>
      </c>
      <c r="AU146" s="47">
        <f>IF($E146=AU$3,$G146,0)-IF($H146=AU$3,$J146,0)</f>
        <v/>
      </c>
      <c r="AV146" s="47">
        <f>IF($E146=AV$3,$G146,0)-IF($H146=AV$3,$J146,0)</f>
        <v/>
      </c>
      <c r="AW146" s="47">
        <f>IF($E146=AW$3,$G146,0)-IF($H146=AW$3,$J146,0)</f>
        <v/>
      </c>
      <c r="AX146" s="47">
        <f>IF($E146=AX$3,$G146,0)-IF($H146=AX$3,$J146,0)</f>
        <v/>
      </c>
      <c r="AY146" s="47">
        <f>IF($E146=AY$3,$G146,0)-IF($H146=AY$3,$J146,0)</f>
        <v/>
      </c>
      <c r="AZ146" s="47">
        <f>IF($E146=AZ$3,$G146,0)-IF($H146=AZ$3,$J146,0)</f>
        <v/>
      </c>
      <c r="BA146" s="47">
        <f>IF($E146=BA$3,$G146,0)-IF($H146=BA$3,$J146,0)</f>
        <v/>
      </c>
      <c r="BB146" s="47">
        <f>IF($E146=BB$3,$G146,0)-IF($H146=BB$3,$J146,0)</f>
        <v/>
      </c>
      <c r="BC146" s="47">
        <f>IF($E146=BC$3,$G146,0)-IF($H146=BC$3,$J146,0)</f>
        <v/>
      </c>
      <c r="BD146" s="47">
        <f>IF($E146=BD$3,$G146,0)-IF($H146=BD$3,$J146,0)</f>
        <v/>
      </c>
      <c r="BE146" s="47">
        <f>IF($E146=BE$3,$G146,0)-IF($H146=BE$3,$J146,0)</f>
        <v/>
      </c>
      <c r="BF146" s="47">
        <f>IF($E146=BF$3,$G146,0)-IF($H146=BF$3,$J146,0)</f>
        <v/>
      </c>
      <c r="BG146" s="47">
        <f>IF($E146=BG$3,$G146,0)-IF($H146=BG$3,$J146,0)</f>
        <v/>
      </c>
      <c r="BH146" s="47">
        <f>IF($E146=BH$3,$G146,0)-IF($H146=BH$3,$J146,0)</f>
        <v/>
      </c>
      <c r="BI146" s="47">
        <f>IF($E146=BI$3,$G146,0)-IF($H146=BI$3,$J146,0)</f>
        <v/>
      </c>
      <c r="BJ146" s="47">
        <f>IF($E146=BJ$3,$G146,0)-IF($H146=BJ$3,$J146,0)</f>
        <v/>
      </c>
      <c r="BK146" s="47">
        <f>IF($E146=BK$3,$G146,0)-IF($H146=BK$3,$J146,0)</f>
        <v/>
      </c>
      <c r="BL146" s="46">
        <f>-IF($E146=BL$3,$G146,0)+IF($H146=BL$3,$J146,0)</f>
        <v/>
      </c>
      <c r="BM146" s="47">
        <f>-IF($E146=BM$3,$G146,0)+IF($H146=BM$3,$J146,0)</f>
        <v/>
      </c>
      <c r="BN146" s="47">
        <f>-IF($E146=BN$3,$G146,0)+IF($H146=BN$3,$J146,0)</f>
        <v/>
      </c>
      <c r="BO146" s="47">
        <f>-IF($E146=BO$3,$G146,0)+IF($H146=BO$3,$J146,0)</f>
        <v/>
      </c>
      <c r="BP146" s="47">
        <f>-IF($E146=BP$3,$G146,0)+IF($H146=BP$3,$J146,0)</f>
        <v/>
      </c>
      <c r="BQ146" s="47">
        <f>-IF($E146=BQ$3,$G146,0)+IF($H146=BQ$3,$J146,0)</f>
        <v/>
      </c>
      <c r="BR146" s="47">
        <f>-IF($E146=BR$3,$G146,0)+IF($H146=BR$3,$J146,0)</f>
        <v/>
      </c>
      <c r="BS146" s="47">
        <f>-IF($E146=BS$3,$G146,0)+IF($H146=BS$3,$J146,0)</f>
        <v/>
      </c>
      <c r="BT146" s="47">
        <f>-IF($E146=BT$3,$G146,0)+IF($H146=BT$3,$J146,0)</f>
        <v/>
      </c>
      <c r="BU146" s="46">
        <f>+G146-J146</f>
        <v/>
      </c>
      <c r="BV146" s="48">
        <f>-IF($E146=BV$3,$G146,0)+IF($H146=BV$3,$J146,0)</f>
        <v/>
      </c>
      <c r="BW146" s="3" t="n"/>
    </row>
    <row r="147" ht="15.75" customHeight="1" s="214">
      <c r="A147" s="7" t="n"/>
      <c r="B147" s="8" t="n"/>
      <c r="C147" s="9" t="n"/>
      <c r="D147" s="10" t="n"/>
      <c r="E147" s="247" t="n"/>
      <c r="F147" s="11">
        <f>IF(E147="","",IF(ISNA(VLOOKUP(E147,科目コード表!$C$4:$D$67,2,FALSE)),"該当科目なし",VLOOKUP(E147,科目コード表!$C$4:$D$67,2,FALSE)))</f>
        <v/>
      </c>
      <c r="G147" s="38" t="n"/>
      <c r="H147" s="248" t="n"/>
      <c r="I147" s="11">
        <f>IF(H147="","",IF(ISNA(VLOOKUP(H147,科目コード表!$C$4:$D$67,2,FALSE)),"該当科目なし",VLOOKUP(H147,科目コード表!$C$4:$D$67,2,FALSE)))</f>
        <v/>
      </c>
      <c r="J147" s="40" t="n"/>
      <c r="L147" s="46">
        <f>IF($E147=L$3,$G147,0)-IF($H147=L$3,$J147,0)</f>
        <v/>
      </c>
      <c r="M147" s="47">
        <f>IF($E147=M$3,$G147,0)-IF($H147=M$3,$J147,0)</f>
        <v/>
      </c>
      <c r="N147" s="47">
        <f>IF($E147=N$3,$G147,0)-IF($H147=N$3,$J147,0)</f>
        <v/>
      </c>
      <c r="O147" s="47">
        <f>IF($E147=O$3,$G147,0)-IF($H147=O$3,$J147,0)</f>
        <v/>
      </c>
      <c r="P147" s="47">
        <f>IF($E147=P$3,$G147,0)-IF($H147=P$3,$J147,0)</f>
        <v/>
      </c>
      <c r="Q147" s="47">
        <f>IF($E147=Q$3,$G147,0)-IF($H147=Q$3,$J147,0)</f>
        <v/>
      </c>
      <c r="R147" s="47">
        <f>IF($E147=R$3,$G147,0)-IF($H147=R$3,$J147,0)</f>
        <v/>
      </c>
      <c r="S147" s="47">
        <f>IF($E147=S$3,$G147,0)-IF($H147=S$3,$J147,0)</f>
        <v/>
      </c>
      <c r="T147" s="47">
        <f>IF($E147=T$3,$G147,0)-IF($H147=T$3,$J147,0)</f>
        <v/>
      </c>
      <c r="U147" s="47">
        <f>IF($E147=U$3,$G147,0)-IF($H147=U$3,$J147,0)</f>
        <v/>
      </c>
      <c r="V147" s="47">
        <f>IF($E147=V$3,$G147,0)-IF($H147=V$3,$J147,0)</f>
        <v/>
      </c>
      <c r="W147" s="47">
        <f>IF($E147=W$3,$G147,0)-IF($H147=W$3,$J147,0)</f>
        <v/>
      </c>
      <c r="X147" s="47">
        <f>IF($E147=X$3,$G147,0)-IF($H147=X$3,$J147,0)</f>
        <v/>
      </c>
      <c r="Y147" s="47">
        <f>IF($E147=Y$3,$G147,0)-IF($H147=Y$3,$J147,0)</f>
        <v/>
      </c>
      <c r="Z147" s="47">
        <f>IF($E147=Z$3,$G147,0)-IF($H147=Z$3,$J147,0)</f>
        <v/>
      </c>
      <c r="AA147" s="47">
        <f>IF($E147=AA$3,$G147,0)-IF($H147=AA$3,$J147,0)</f>
        <v/>
      </c>
      <c r="AB147" s="47">
        <f>IF($E147=AB$3,$G147,0)-IF($H147=AB$3,$J147,0)</f>
        <v/>
      </c>
      <c r="AC147" s="47">
        <f>IF($E147=AC$3,$G147,0)-IF($H147=AC$3,$J147,0)</f>
        <v/>
      </c>
      <c r="AD147" s="47">
        <f>IF($E147=AD$3,$G147,0)-IF($H147=AD$3,$J147,0)</f>
        <v/>
      </c>
      <c r="AE147" s="47">
        <f>IF($E147=AE$3,$G147,0)-IF($H147=AE$3,$J147,0)</f>
        <v/>
      </c>
      <c r="AF147" s="47">
        <f>IF($E147=AF$3,$G147,0)-IF($H147=AF$3,$J147,0)</f>
        <v/>
      </c>
      <c r="AG147" s="47">
        <f>IF($E147=AG$3,$G147,0)-IF($H147=AG$3,$J147,0)</f>
        <v/>
      </c>
      <c r="AH147" s="47">
        <f>IF($E147=AH$3,$G147,0)-IF($H147=AH$3,$J147,0)</f>
        <v/>
      </c>
      <c r="AI147" s="47">
        <f>IF($E147=AI$3,$G147,0)-IF($H147=AI$3,$J147,0)</f>
        <v/>
      </c>
      <c r="AJ147" s="47">
        <f>IF($E147=AJ$3,$G147,0)-IF($H147=AJ$3,$J147,0)</f>
        <v/>
      </c>
      <c r="AK147" s="47">
        <f>IF($E147=AK$3,$G147,0)-IF($H147=AK$3,$J147,0)</f>
        <v/>
      </c>
      <c r="AL147" s="48">
        <f>IF($E147=AL$3,$G147,0)-IF($H147=AL$3,$J147,0)</f>
        <v/>
      </c>
      <c r="AM147" s="46">
        <f>-IF($E147=AM$3,$G147,0)+IF($H147=AM$3,$J147,0)</f>
        <v/>
      </c>
      <c r="AN147" s="47">
        <f>-IF($E147=AN$3,$G147,0)+IF($H147=AN$3,$J147,0)</f>
        <v/>
      </c>
      <c r="AO147" s="48">
        <f>-IF($E147=AO$3,$G147,0)+IF($H147=AO$3,$J147,0)</f>
        <v/>
      </c>
      <c r="AP147" s="46">
        <f>IF($E147=AP$3,$G147,0)-IF($H147=AP$3,$J147,0)</f>
        <v/>
      </c>
      <c r="AQ147" s="47">
        <f>IF($E147=AQ$3,$G147,0)-IF($H147=AQ$3,$J147,0)</f>
        <v/>
      </c>
      <c r="AR147" s="47">
        <f>IF($E147=AR$3,$G147,0)-IF($H147=AR$3,$J147,0)</f>
        <v/>
      </c>
      <c r="AS147" s="47">
        <f>IF($E147=AS$3,$G147,0)-IF($H147=AS$3,$J147,0)</f>
        <v/>
      </c>
      <c r="AT147" s="47">
        <f>IF($E147=AT$3,$G147,0)-IF($H147=AT$3,$J147,0)</f>
        <v/>
      </c>
      <c r="AU147" s="47">
        <f>IF($E147=AU$3,$G147,0)-IF($H147=AU$3,$J147,0)</f>
        <v/>
      </c>
      <c r="AV147" s="47">
        <f>IF($E147=AV$3,$G147,0)-IF($H147=AV$3,$J147,0)</f>
        <v/>
      </c>
      <c r="AW147" s="47">
        <f>IF($E147=AW$3,$G147,0)-IF($H147=AW$3,$J147,0)</f>
        <v/>
      </c>
      <c r="AX147" s="47">
        <f>IF($E147=AX$3,$G147,0)-IF($H147=AX$3,$J147,0)</f>
        <v/>
      </c>
      <c r="AY147" s="47">
        <f>IF($E147=AY$3,$G147,0)-IF($H147=AY$3,$J147,0)</f>
        <v/>
      </c>
      <c r="AZ147" s="47">
        <f>IF($E147=AZ$3,$G147,0)-IF($H147=AZ$3,$J147,0)</f>
        <v/>
      </c>
      <c r="BA147" s="47">
        <f>IF($E147=BA$3,$G147,0)-IF($H147=BA$3,$J147,0)</f>
        <v/>
      </c>
      <c r="BB147" s="47">
        <f>IF($E147=BB$3,$G147,0)-IF($H147=BB$3,$J147,0)</f>
        <v/>
      </c>
      <c r="BC147" s="47">
        <f>IF($E147=BC$3,$G147,0)-IF($H147=BC$3,$J147,0)</f>
        <v/>
      </c>
      <c r="BD147" s="47">
        <f>IF($E147=BD$3,$G147,0)-IF($H147=BD$3,$J147,0)</f>
        <v/>
      </c>
      <c r="BE147" s="47">
        <f>IF($E147=BE$3,$G147,0)-IF($H147=BE$3,$J147,0)</f>
        <v/>
      </c>
      <c r="BF147" s="47">
        <f>IF($E147=BF$3,$G147,0)-IF($H147=BF$3,$J147,0)</f>
        <v/>
      </c>
      <c r="BG147" s="47">
        <f>IF($E147=BG$3,$G147,0)-IF($H147=BG$3,$J147,0)</f>
        <v/>
      </c>
      <c r="BH147" s="47">
        <f>IF($E147=BH$3,$G147,0)-IF($H147=BH$3,$J147,0)</f>
        <v/>
      </c>
      <c r="BI147" s="47">
        <f>IF($E147=BI$3,$G147,0)-IF($H147=BI$3,$J147,0)</f>
        <v/>
      </c>
      <c r="BJ147" s="47">
        <f>IF($E147=BJ$3,$G147,0)-IF($H147=BJ$3,$J147,0)</f>
        <v/>
      </c>
      <c r="BK147" s="47">
        <f>IF($E147=BK$3,$G147,0)-IF($H147=BK$3,$J147,0)</f>
        <v/>
      </c>
      <c r="BL147" s="46">
        <f>-IF($E147=BL$3,$G147,0)+IF($H147=BL$3,$J147,0)</f>
        <v/>
      </c>
      <c r="BM147" s="47">
        <f>-IF($E147=BM$3,$G147,0)+IF($H147=BM$3,$J147,0)</f>
        <v/>
      </c>
      <c r="BN147" s="47">
        <f>-IF($E147=BN$3,$G147,0)+IF($H147=BN$3,$J147,0)</f>
        <v/>
      </c>
      <c r="BO147" s="47">
        <f>-IF($E147=BO$3,$G147,0)+IF($H147=BO$3,$J147,0)</f>
        <v/>
      </c>
      <c r="BP147" s="47">
        <f>-IF($E147=BP$3,$G147,0)+IF($H147=BP$3,$J147,0)</f>
        <v/>
      </c>
      <c r="BQ147" s="47">
        <f>-IF($E147=BQ$3,$G147,0)+IF($H147=BQ$3,$J147,0)</f>
        <v/>
      </c>
      <c r="BR147" s="47">
        <f>-IF($E147=BR$3,$G147,0)+IF($H147=BR$3,$J147,0)</f>
        <v/>
      </c>
      <c r="BS147" s="47">
        <f>-IF($E147=BS$3,$G147,0)+IF($H147=BS$3,$J147,0)</f>
        <v/>
      </c>
      <c r="BT147" s="47">
        <f>-IF($E147=BT$3,$G147,0)+IF($H147=BT$3,$J147,0)</f>
        <v/>
      </c>
      <c r="BU147" s="46">
        <f>+G147-J147</f>
        <v/>
      </c>
      <c r="BV147" s="48">
        <f>-IF($E147=BV$3,$G147,0)+IF($H147=BV$3,$J147,0)</f>
        <v/>
      </c>
      <c r="BW147" s="3" t="n"/>
    </row>
    <row r="148" ht="15.75" customHeight="1" s="214">
      <c r="A148" s="7" t="n"/>
      <c r="B148" s="8" t="n"/>
      <c r="C148" s="9" t="n"/>
      <c r="D148" s="10" t="n"/>
      <c r="E148" s="247" t="n"/>
      <c r="F148" s="11">
        <f>IF(E148="","",IF(ISNA(VLOOKUP(E148,科目コード表!$C$4:$D$67,2,FALSE)),"該当科目なし",VLOOKUP(E148,科目コード表!$C$4:$D$67,2,FALSE)))</f>
        <v/>
      </c>
      <c r="G148" s="38" t="n"/>
      <c r="H148" s="248" t="n"/>
      <c r="I148" s="11">
        <f>IF(H148="","",IF(ISNA(VLOOKUP(H148,科目コード表!$C$4:$D$67,2,FALSE)),"該当科目なし",VLOOKUP(H148,科目コード表!$C$4:$D$67,2,FALSE)))</f>
        <v/>
      </c>
      <c r="J148" s="40" t="n"/>
      <c r="L148" s="46">
        <f>IF($E148=L$3,$G148,0)-IF($H148=L$3,$J148,0)</f>
        <v/>
      </c>
      <c r="M148" s="47">
        <f>IF($E148=M$3,$G148,0)-IF($H148=M$3,$J148,0)</f>
        <v/>
      </c>
      <c r="N148" s="47">
        <f>IF($E148=N$3,$G148,0)-IF($H148=N$3,$J148,0)</f>
        <v/>
      </c>
      <c r="O148" s="47">
        <f>IF($E148=O$3,$G148,0)-IF($H148=O$3,$J148,0)</f>
        <v/>
      </c>
      <c r="P148" s="47">
        <f>IF($E148=P$3,$G148,0)-IF($H148=P$3,$J148,0)</f>
        <v/>
      </c>
      <c r="Q148" s="47">
        <f>IF($E148=Q$3,$G148,0)-IF($H148=Q$3,$J148,0)</f>
        <v/>
      </c>
      <c r="R148" s="47">
        <f>IF($E148=R$3,$G148,0)-IF($H148=R$3,$J148,0)</f>
        <v/>
      </c>
      <c r="S148" s="47">
        <f>IF($E148=S$3,$G148,0)-IF($H148=S$3,$J148,0)</f>
        <v/>
      </c>
      <c r="T148" s="47">
        <f>IF($E148=T$3,$G148,0)-IF($H148=T$3,$J148,0)</f>
        <v/>
      </c>
      <c r="U148" s="47">
        <f>IF($E148=U$3,$G148,0)-IF($H148=U$3,$J148,0)</f>
        <v/>
      </c>
      <c r="V148" s="47">
        <f>IF($E148=V$3,$G148,0)-IF($H148=V$3,$J148,0)</f>
        <v/>
      </c>
      <c r="W148" s="47">
        <f>IF($E148=W$3,$G148,0)-IF($H148=W$3,$J148,0)</f>
        <v/>
      </c>
      <c r="X148" s="47">
        <f>IF($E148=X$3,$G148,0)-IF($H148=X$3,$J148,0)</f>
        <v/>
      </c>
      <c r="Y148" s="47">
        <f>IF($E148=Y$3,$G148,0)-IF($H148=Y$3,$J148,0)</f>
        <v/>
      </c>
      <c r="Z148" s="47">
        <f>IF($E148=Z$3,$G148,0)-IF($H148=Z$3,$J148,0)</f>
        <v/>
      </c>
      <c r="AA148" s="47">
        <f>IF($E148=AA$3,$G148,0)-IF($H148=AA$3,$J148,0)</f>
        <v/>
      </c>
      <c r="AB148" s="47">
        <f>IF($E148=AB$3,$G148,0)-IF($H148=AB$3,$J148,0)</f>
        <v/>
      </c>
      <c r="AC148" s="47">
        <f>IF($E148=AC$3,$G148,0)-IF($H148=AC$3,$J148,0)</f>
        <v/>
      </c>
      <c r="AD148" s="47">
        <f>IF($E148=AD$3,$G148,0)-IF($H148=AD$3,$J148,0)</f>
        <v/>
      </c>
      <c r="AE148" s="47">
        <f>IF($E148=AE$3,$G148,0)-IF($H148=AE$3,$J148,0)</f>
        <v/>
      </c>
      <c r="AF148" s="47">
        <f>IF($E148=AF$3,$G148,0)-IF($H148=AF$3,$J148,0)</f>
        <v/>
      </c>
      <c r="AG148" s="47">
        <f>IF($E148=AG$3,$G148,0)-IF($H148=AG$3,$J148,0)</f>
        <v/>
      </c>
      <c r="AH148" s="47">
        <f>IF($E148=AH$3,$G148,0)-IF($H148=AH$3,$J148,0)</f>
        <v/>
      </c>
      <c r="AI148" s="47">
        <f>IF($E148=AI$3,$G148,0)-IF($H148=AI$3,$J148,0)</f>
        <v/>
      </c>
      <c r="AJ148" s="47">
        <f>IF($E148=AJ$3,$G148,0)-IF($H148=AJ$3,$J148,0)</f>
        <v/>
      </c>
      <c r="AK148" s="47">
        <f>IF($E148=AK$3,$G148,0)-IF($H148=AK$3,$J148,0)</f>
        <v/>
      </c>
      <c r="AL148" s="48">
        <f>IF($E148=AL$3,$G148,0)-IF($H148=AL$3,$J148,0)</f>
        <v/>
      </c>
      <c r="AM148" s="46">
        <f>-IF($E148=AM$3,$G148,0)+IF($H148=AM$3,$J148,0)</f>
        <v/>
      </c>
      <c r="AN148" s="47">
        <f>-IF($E148=AN$3,$G148,0)+IF($H148=AN$3,$J148,0)</f>
        <v/>
      </c>
      <c r="AO148" s="48">
        <f>-IF($E148=AO$3,$G148,0)+IF($H148=AO$3,$J148,0)</f>
        <v/>
      </c>
      <c r="AP148" s="46">
        <f>IF($E148=AP$3,$G148,0)-IF($H148=AP$3,$J148,0)</f>
        <v/>
      </c>
      <c r="AQ148" s="47">
        <f>IF($E148=AQ$3,$G148,0)-IF($H148=AQ$3,$J148,0)</f>
        <v/>
      </c>
      <c r="AR148" s="47">
        <f>IF($E148=AR$3,$G148,0)-IF($H148=AR$3,$J148,0)</f>
        <v/>
      </c>
      <c r="AS148" s="47">
        <f>IF($E148=AS$3,$G148,0)-IF($H148=AS$3,$J148,0)</f>
        <v/>
      </c>
      <c r="AT148" s="47">
        <f>IF($E148=AT$3,$G148,0)-IF($H148=AT$3,$J148,0)</f>
        <v/>
      </c>
      <c r="AU148" s="47">
        <f>IF($E148=AU$3,$G148,0)-IF($H148=AU$3,$J148,0)</f>
        <v/>
      </c>
      <c r="AV148" s="47">
        <f>IF($E148=AV$3,$G148,0)-IF($H148=AV$3,$J148,0)</f>
        <v/>
      </c>
      <c r="AW148" s="47">
        <f>IF($E148=AW$3,$G148,0)-IF($H148=AW$3,$J148,0)</f>
        <v/>
      </c>
      <c r="AX148" s="47">
        <f>IF($E148=AX$3,$G148,0)-IF($H148=AX$3,$J148,0)</f>
        <v/>
      </c>
      <c r="AY148" s="47">
        <f>IF($E148=AY$3,$G148,0)-IF($H148=AY$3,$J148,0)</f>
        <v/>
      </c>
      <c r="AZ148" s="47">
        <f>IF($E148=AZ$3,$G148,0)-IF($H148=AZ$3,$J148,0)</f>
        <v/>
      </c>
      <c r="BA148" s="47">
        <f>IF($E148=BA$3,$G148,0)-IF($H148=BA$3,$J148,0)</f>
        <v/>
      </c>
      <c r="BB148" s="47">
        <f>IF($E148=BB$3,$G148,0)-IF($H148=BB$3,$J148,0)</f>
        <v/>
      </c>
      <c r="BC148" s="47">
        <f>IF($E148=BC$3,$G148,0)-IF($H148=BC$3,$J148,0)</f>
        <v/>
      </c>
      <c r="BD148" s="47">
        <f>IF($E148=BD$3,$G148,0)-IF($H148=BD$3,$J148,0)</f>
        <v/>
      </c>
      <c r="BE148" s="47">
        <f>IF($E148=BE$3,$G148,0)-IF($H148=BE$3,$J148,0)</f>
        <v/>
      </c>
      <c r="BF148" s="47">
        <f>IF($E148=BF$3,$G148,0)-IF($H148=BF$3,$J148,0)</f>
        <v/>
      </c>
      <c r="BG148" s="47">
        <f>IF($E148=BG$3,$G148,0)-IF($H148=BG$3,$J148,0)</f>
        <v/>
      </c>
      <c r="BH148" s="47">
        <f>IF($E148=BH$3,$G148,0)-IF($H148=BH$3,$J148,0)</f>
        <v/>
      </c>
      <c r="BI148" s="47">
        <f>IF($E148=BI$3,$G148,0)-IF($H148=BI$3,$J148,0)</f>
        <v/>
      </c>
      <c r="BJ148" s="47">
        <f>IF($E148=BJ$3,$G148,0)-IF($H148=BJ$3,$J148,0)</f>
        <v/>
      </c>
      <c r="BK148" s="47">
        <f>IF($E148=BK$3,$G148,0)-IF($H148=BK$3,$J148,0)</f>
        <v/>
      </c>
      <c r="BL148" s="46">
        <f>-IF($E148=BL$3,$G148,0)+IF($H148=BL$3,$J148,0)</f>
        <v/>
      </c>
      <c r="BM148" s="47">
        <f>-IF($E148=BM$3,$G148,0)+IF($H148=BM$3,$J148,0)</f>
        <v/>
      </c>
      <c r="BN148" s="47">
        <f>-IF($E148=BN$3,$G148,0)+IF($H148=BN$3,$J148,0)</f>
        <v/>
      </c>
      <c r="BO148" s="47">
        <f>-IF($E148=BO$3,$G148,0)+IF($H148=BO$3,$J148,0)</f>
        <v/>
      </c>
      <c r="BP148" s="47">
        <f>-IF($E148=BP$3,$G148,0)+IF($H148=BP$3,$J148,0)</f>
        <v/>
      </c>
      <c r="BQ148" s="47">
        <f>-IF($E148=BQ$3,$G148,0)+IF($H148=BQ$3,$J148,0)</f>
        <v/>
      </c>
      <c r="BR148" s="47">
        <f>-IF($E148=BR$3,$G148,0)+IF($H148=BR$3,$J148,0)</f>
        <v/>
      </c>
      <c r="BS148" s="47">
        <f>-IF($E148=BS$3,$G148,0)+IF($H148=BS$3,$J148,0)</f>
        <v/>
      </c>
      <c r="BT148" s="47">
        <f>-IF($E148=BT$3,$G148,0)+IF($H148=BT$3,$J148,0)</f>
        <v/>
      </c>
      <c r="BU148" s="46">
        <f>+G148-J148</f>
        <v/>
      </c>
      <c r="BV148" s="48">
        <f>-IF($E148=BV$3,$G148,0)+IF($H148=BV$3,$J148,0)</f>
        <v/>
      </c>
      <c r="BW148" s="3" t="n"/>
    </row>
    <row r="149" ht="15.75" customHeight="1" s="214">
      <c r="A149" s="7" t="n"/>
      <c r="B149" s="8" t="n"/>
      <c r="C149" s="9" t="n"/>
      <c r="D149" s="10" t="n"/>
      <c r="E149" s="247" t="n"/>
      <c r="F149" s="11">
        <f>IF(E149="","",IF(ISNA(VLOOKUP(E149,科目コード表!$C$4:$D$67,2,FALSE)),"該当科目なし",VLOOKUP(E149,科目コード表!$C$4:$D$67,2,FALSE)))</f>
        <v/>
      </c>
      <c r="G149" s="38" t="n"/>
      <c r="H149" s="248" t="n"/>
      <c r="I149" s="11">
        <f>IF(H149="","",IF(ISNA(VLOOKUP(H149,科目コード表!$C$4:$D$67,2,FALSE)),"該当科目なし",VLOOKUP(H149,科目コード表!$C$4:$D$67,2,FALSE)))</f>
        <v/>
      </c>
      <c r="J149" s="40" t="n"/>
      <c r="L149" s="46">
        <f>IF($E149=L$3,$G149,0)-IF($H149=L$3,$J149,0)</f>
        <v/>
      </c>
      <c r="M149" s="47">
        <f>IF($E149=M$3,$G149,0)-IF($H149=M$3,$J149,0)</f>
        <v/>
      </c>
      <c r="N149" s="47">
        <f>IF($E149=N$3,$G149,0)-IF($H149=N$3,$J149,0)</f>
        <v/>
      </c>
      <c r="O149" s="47">
        <f>IF($E149=O$3,$G149,0)-IF($H149=O$3,$J149,0)</f>
        <v/>
      </c>
      <c r="P149" s="47">
        <f>IF($E149=P$3,$G149,0)-IF($H149=P$3,$J149,0)</f>
        <v/>
      </c>
      <c r="Q149" s="47">
        <f>IF($E149=Q$3,$G149,0)-IF($H149=Q$3,$J149,0)</f>
        <v/>
      </c>
      <c r="R149" s="47">
        <f>IF($E149=R$3,$G149,0)-IF($H149=R$3,$J149,0)</f>
        <v/>
      </c>
      <c r="S149" s="47">
        <f>IF($E149=S$3,$G149,0)-IF($H149=S$3,$J149,0)</f>
        <v/>
      </c>
      <c r="T149" s="47">
        <f>IF($E149=T$3,$G149,0)-IF($H149=T$3,$J149,0)</f>
        <v/>
      </c>
      <c r="U149" s="47">
        <f>IF($E149=U$3,$G149,0)-IF($H149=U$3,$J149,0)</f>
        <v/>
      </c>
      <c r="V149" s="47">
        <f>IF($E149=V$3,$G149,0)-IF($H149=V$3,$J149,0)</f>
        <v/>
      </c>
      <c r="W149" s="47">
        <f>IF($E149=W$3,$G149,0)-IF($H149=W$3,$J149,0)</f>
        <v/>
      </c>
      <c r="X149" s="47">
        <f>IF($E149=X$3,$G149,0)-IF($H149=X$3,$J149,0)</f>
        <v/>
      </c>
      <c r="Y149" s="47">
        <f>IF($E149=Y$3,$G149,0)-IF($H149=Y$3,$J149,0)</f>
        <v/>
      </c>
      <c r="Z149" s="47">
        <f>IF($E149=Z$3,$G149,0)-IF($H149=Z$3,$J149,0)</f>
        <v/>
      </c>
      <c r="AA149" s="47">
        <f>IF($E149=AA$3,$G149,0)-IF($H149=AA$3,$J149,0)</f>
        <v/>
      </c>
      <c r="AB149" s="47">
        <f>IF($E149=AB$3,$G149,0)-IF($H149=AB$3,$J149,0)</f>
        <v/>
      </c>
      <c r="AC149" s="47">
        <f>IF($E149=AC$3,$G149,0)-IF($H149=AC$3,$J149,0)</f>
        <v/>
      </c>
      <c r="AD149" s="47">
        <f>IF($E149=AD$3,$G149,0)-IF($H149=AD$3,$J149,0)</f>
        <v/>
      </c>
      <c r="AE149" s="47">
        <f>IF($E149=AE$3,$G149,0)-IF($H149=AE$3,$J149,0)</f>
        <v/>
      </c>
      <c r="AF149" s="47">
        <f>IF($E149=AF$3,$G149,0)-IF($H149=AF$3,$J149,0)</f>
        <v/>
      </c>
      <c r="AG149" s="47">
        <f>IF($E149=AG$3,$G149,0)-IF($H149=AG$3,$J149,0)</f>
        <v/>
      </c>
      <c r="AH149" s="47">
        <f>IF($E149=AH$3,$G149,0)-IF($H149=AH$3,$J149,0)</f>
        <v/>
      </c>
      <c r="AI149" s="47">
        <f>IF($E149=AI$3,$G149,0)-IF($H149=AI$3,$J149,0)</f>
        <v/>
      </c>
      <c r="AJ149" s="47">
        <f>IF($E149=AJ$3,$G149,0)-IF($H149=AJ$3,$J149,0)</f>
        <v/>
      </c>
      <c r="AK149" s="47">
        <f>IF($E149=AK$3,$G149,0)-IF($H149=AK$3,$J149,0)</f>
        <v/>
      </c>
      <c r="AL149" s="48">
        <f>IF($E149=AL$3,$G149,0)-IF($H149=AL$3,$J149,0)</f>
        <v/>
      </c>
      <c r="AM149" s="46">
        <f>-IF($E149=AM$3,$G149,0)+IF($H149=AM$3,$J149,0)</f>
        <v/>
      </c>
      <c r="AN149" s="47">
        <f>-IF($E149=AN$3,$G149,0)+IF($H149=AN$3,$J149,0)</f>
        <v/>
      </c>
      <c r="AO149" s="48">
        <f>-IF($E149=AO$3,$G149,0)+IF($H149=AO$3,$J149,0)</f>
        <v/>
      </c>
      <c r="AP149" s="46">
        <f>IF($E149=AP$3,$G149,0)-IF($H149=AP$3,$J149,0)</f>
        <v/>
      </c>
      <c r="AQ149" s="47">
        <f>IF($E149=AQ$3,$G149,0)-IF($H149=AQ$3,$J149,0)</f>
        <v/>
      </c>
      <c r="AR149" s="47">
        <f>IF($E149=AR$3,$G149,0)-IF($H149=AR$3,$J149,0)</f>
        <v/>
      </c>
      <c r="AS149" s="47">
        <f>IF($E149=AS$3,$G149,0)-IF($H149=AS$3,$J149,0)</f>
        <v/>
      </c>
      <c r="AT149" s="47">
        <f>IF($E149=AT$3,$G149,0)-IF($H149=AT$3,$J149,0)</f>
        <v/>
      </c>
      <c r="AU149" s="47">
        <f>IF($E149=AU$3,$G149,0)-IF($H149=AU$3,$J149,0)</f>
        <v/>
      </c>
      <c r="AV149" s="47">
        <f>IF($E149=AV$3,$G149,0)-IF($H149=AV$3,$J149,0)</f>
        <v/>
      </c>
      <c r="AW149" s="47">
        <f>IF($E149=AW$3,$G149,0)-IF($H149=AW$3,$J149,0)</f>
        <v/>
      </c>
      <c r="AX149" s="47">
        <f>IF($E149=AX$3,$G149,0)-IF($H149=AX$3,$J149,0)</f>
        <v/>
      </c>
      <c r="AY149" s="47">
        <f>IF($E149=AY$3,$G149,0)-IF($H149=AY$3,$J149,0)</f>
        <v/>
      </c>
      <c r="AZ149" s="47">
        <f>IF($E149=AZ$3,$G149,0)-IF($H149=AZ$3,$J149,0)</f>
        <v/>
      </c>
      <c r="BA149" s="47">
        <f>IF($E149=BA$3,$G149,0)-IF($H149=BA$3,$J149,0)</f>
        <v/>
      </c>
      <c r="BB149" s="47">
        <f>IF($E149=BB$3,$G149,0)-IF($H149=BB$3,$J149,0)</f>
        <v/>
      </c>
      <c r="BC149" s="47">
        <f>IF($E149=BC$3,$G149,0)-IF($H149=BC$3,$J149,0)</f>
        <v/>
      </c>
      <c r="BD149" s="47">
        <f>IF($E149=BD$3,$G149,0)-IF($H149=BD$3,$J149,0)</f>
        <v/>
      </c>
      <c r="BE149" s="47">
        <f>IF($E149=BE$3,$G149,0)-IF($H149=BE$3,$J149,0)</f>
        <v/>
      </c>
      <c r="BF149" s="47">
        <f>IF($E149=BF$3,$G149,0)-IF($H149=BF$3,$J149,0)</f>
        <v/>
      </c>
      <c r="BG149" s="47">
        <f>IF($E149=BG$3,$G149,0)-IF($H149=BG$3,$J149,0)</f>
        <v/>
      </c>
      <c r="BH149" s="47">
        <f>IF($E149=BH$3,$G149,0)-IF($H149=BH$3,$J149,0)</f>
        <v/>
      </c>
      <c r="BI149" s="47">
        <f>IF($E149=BI$3,$G149,0)-IF($H149=BI$3,$J149,0)</f>
        <v/>
      </c>
      <c r="BJ149" s="47">
        <f>IF($E149=BJ$3,$G149,0)-IF($H149=BJ$3,$J149,0)</f>
        <v/>
      </c>
      <c r="BK149" s="47">
        <f>IF($E149=BK$3,$G149,0)-IF($H149=BK$3,$J149,0)</f>
        <v/>
      </c>
      <c r="BL149" s="46">
        <f>-IF($E149=BL$3,$G149,0)+IF($H149=BL$3,$J149,0)</f>
        <v/>
      </c>
      <c r="BM149" s="47">
        <f>-IF($E149=BM$3,$G149,0)+IF($H149=BM$3,$J149,0)</f>
        <v/>
      </c>
      <c r="BN149" s="47">
        <f>-IF($E149=BN$3,$G149,0)+IF($H149=BN$3,$J149,0)</f>
        <v/>
      </c>
      <c r="BO149" s="47">
        <f>-IF($E149=BO$3,$G149,0)+IF($H149=BO$3,$J149,0)</f>
        <v/>
      </c>
      <c r="BP149" s="47">
        <f>-IF($E149=BP$3,$G149,0)+IF($H149=BP$3,$J149,0)</f>
        <v/>
      </c>
      <c r="BQ149" s="47">
        <f>-IF($E149=BQ$3,$G149,0)+IF($H149=BQ$3,$J149,0)</f>
        <v/>
      </c>
      <c r="BR149" s="47">
        <f>-IF($E149=BR$3,$G149,0)+IF($H149=BR$3,$J149,0)</f>
        <v/>
      </c>
      <c r="BS149" s="47">
        <f>-IF($E149=BS$3,$G149,0)+IF($H149=BS$3,$J149,0)</f>
        <v/>
      </c>
      <c r="BT149" s="47">
        <f>-IF($E149=BT$3,$G149,0)+IF($H149=BT$3,$J149,0)</f>
        <v/>
      </c>
      <c r="BU149" s="46">
        <f>+G149-J149</f>
        <v/>
      </c>
      <c r="BV149" s="48">
        <f>-IF($E149=BV$3,$G149,0)+IF($H149=BV$3,$J149,0)</f>
        <v/>
      </c>
      <c r="BW149" s="3" t="n"/>
    </row>
    <row r="150" ht="15.75" customHeight="1" s="214">
      <c r="A150" s="7" t="n"/>
      <c r="B150" s="8" t="n"/>
      <c r="C150" s="9" t="n"/>
      <c r="D150" s="10" t="n"/>
      <c r="E150" s="247" t="n"/>
      <c r="F150" s="11">
        <f>IF(E150="","",IF(ISNA(VLOOKUP(E150,科目コード表!$C$4:$D$67,2,FALSE)),"該当科目なし",VLOOKUP(E150,科目コード表!$C$4:$D$67,2,FALSE)))</f>
        <v/>
      </c>
      <c r="G150" s="38" t="n"/>
      <c r="H150" s="248" t="n"/>
      <c r="I150" s="11">
        <f>IF(H150="","",IF(ISNA(VLOOKUP(H150,科目コード表!$C$4:$D$67,2,FALSE)),"該当科目なし",VLOOKUP(H150,科目コード表!$C$4:$D$67,2,FALSE)))</f>
        <v/>
      </c>
      <c r="J150" s="40" t="n"/>
      <c r="L150" s="46">
        <f>IF($E150=L$3,$G150,0)-IF($H150=L$3,$J150,0)</f>
        <v/>
      </c>
      <c r="M150" s="47">
        <f>IF($E150=M$3,$G150,0)-IF($H150=M$3,$J150,0)</f>
        <v/>
      </c>
      <c r="N150" s="47">
        <f>IF($E150=N$3,$G150,0)-IF($H150=N$3,$J150,0)</f>
        <v/>
      </c>
      <c r="O150" s="47">
        <f>IF($E150=O$3,$G150,0)-IF($H150=O$3,$J150,0)</f>
        <v/>
      </c>
      <c r="P150" s="47">
        <f>IF($E150=P$3,$G150,0)-IF($H150=P$3,$J150,0)</f>
        <v/>
      </c>
      <c r="Q150" s="47">
        <f>IF($E150=Q$3,$G150,0)-IF($H150=Q$3,$J150,0)</f>
        <v/>
      </c>
      <c r="R150" s="47">
        <f>IF($E150=R$3,$G150,0)-IF($H150=R$3,$J150,0)</f>
        <v/>
      </c>
      <c r="S150" s="47">
        <f>IF($E150=S$3,$G150,0)-IF($H150=S$3,$J150,0)</f>
        <v/>
      </c>
      <c r="T150" s="47">
        <f>IF($E150=T$3,$G150,0)-IF($H150=T$3,$J150,0)</f>
        <v/>
      </c>
      <c r="U150" s="47">
        <f>IF($E150=U$3,$G150,0)-IF($H150=U$3,$J150,0)</f>
        <v/>
      </c>
      <c r="V150" s="47">
        <f>IF($E150=V$3,$G150,0)-IF($H150=V$3,$J150,0)</f>
        <v/>
      </c>
      <c r="W150" s="47">
        <f>IF($E150=W$3,$G150,0)-IF($H150=W$3,$J150,0)</f>
        <v/>
      </c>
      <c r="X150" s="47">
        <f>IF($E150=X$3,$G150,0)-IF($H150=X$3,$J150,0)</f>
        <v/>
      </c>
      <c r="Y150" s="47">
        <f>IF($E150=Y$3,$G150,0)-IF($H150=Y$3,$J150,0)</f>
        <v/>
      </c>
      <c r="Z150" s="47">
        <f>IF($E150=Z$3,$G150,0)-IF($H150=Z$3,$J150,0)</f>
        <v/>
      </c>
      <c r="AA150" s="47">
        <f>IF($E150=AA$3,$G150,0)-IF($H150=AA$3,$J150,0)</f>
        <v/>
      </c>
      <c r="AB150" s="47">
        <f>IF($E150=AB$3,$G150,0)-IF($H150=AB$3,$J150,0)</f>
        <v/>
      </c>
      <c r="AC150" s="47">
        <f>IF($E150=AC$3,$G150,0)-IF($H150=AC$3,$J150,0)</f>
        <v/>
      </c>
      <c r="AD150" s="47">
        <f>IF($E150=AD$3,$G150,0)-IF($H150=AD$3,$J150,0)</f>
        <v/>
      </c>
      <c r="AE150" s="47">
        <f>IF($E150=AE$3,$G150,0)-IF($H150=AE$3,$J150,0)</f>
        <v/>
      </c>
      <c r="AF150" s="47">
        <f>IF($E150=AF$3,$G150,0)-IF($H150=AF$3,$J150,0)</f>
        <v/>
      </c>
      <c r="AG150" s="47">
        <f>IF($E150=AG$3,$G150,0)-IF($H150=AG$3,$J150,0)</f>
        <v/>
      </c>
      <c r="AH150" s="47">
        <f>IF($E150=AH$3,$G150,0)-IF($H150=AH$3,$J150,0)</f>
        <v/>
      </c>
      <c r="AI150" s="47">
        <f>IF($E150=AI$3,$G150,0)-IF($H150=AI$3,$J150,0)</f>
        <v/>
      </c>
      <c r="AJ150" s="47">
        <f>IF($E150=AJ$3,$G150,0)-IF($H150=AJ$3,$J150,0)</f>
        <v/>
      </c>
      <c r="AK150" s="47">
        <f>IF($E150=AK$3,$G150,0)-IF($H150=AK$3,$J150,0)</f>
        <v/>
      </c>
      <c r="AL150" s="48">
        <f>IF($E150=AL$3,$G150,0)-IF($H150=AL$3,$J150,0)</f>
        <v/>
      </c>
      <c r="AM150" s="46">
        <f>-IF($E150=AM$3,$G150,0)+IF($H150=AM$3,$J150,0)</f>
        <v/>
      </c>
      <c r="AN150" s="47">
        <f>-IF($E150=AN$3,$G150,0)+IF($H150=AN$3,$J150,0)</f>
        <v/>
      </c>
      <c r="AO150" s="48">
        <f>-IF($E150=AO$3,$G150,0)+IF($H150=AO$3,$J150,0)</f>
        <v/>
      </c>
      <c r="AP150" s="46">
        <f>IF($E150=AP$3,$G150,0)-IF($H150=AP$3,$J150,0)</f>
        <v/>
      </c>
      <c r="AQ150" s="47">
        <f>IF($E150=AQ$3,$G150,0)-IF($H150=AQ$3,$J150,0)</f>
        <v/>
      </c>
      <c r="AR150" s="47">
        <f>IF($E150=AR$3,$G150,0)-IF($H150=AR$3,$J150,0)</f>
        <v/>
      </c>
      <c r="AS150" s="47">
        <f>IF($E150=AS$3,$G150,0)-IF($H150=AS$3,$J150,0)</f>
        <v/>
      </c>
      <c r="AT150" s="47">
        <f>IF($E150=AT$3,$G150,0)-IF($H150=AT$3,$J150,0)</f>
        <v/>
      </c>
      <c r="AU150" s="47">
        <f>IF($E150=AU$3,$G150,0)-IF($H150=AU$3,$J150,0)</f>
        <v/>
      </c>
      <c r="AV150" s="47">
        <f>IF($E150=AV$3,$G150,0)-IF($H150=AV$3,$J150,0)</f>
        <v/>
      </c>
      <c r="AW150" s="47">
        <f>IF($E150=AW$3,$G150,0)-IF($H150=AW$3,$J150,0)</f>
        <v/>
      </c>
      <c r="AX150" s="47">
        <f>IF($E150=AX$3,$G150,0)-IF($H150=AX$3,$J150,0)</f>
        <v/>
      </c>
      <c r="AY150" s="47">
        <f>IF($E150=AY$3,$G150,0)-IF($H150=AY$3,$J150,0)</f>
        <v/>
      </c>
      <c r="AZ150" s="47">
        <f>IF($E150=AZ$3,$G150,0)-IF($H150=AZ$3,$J150,0)</f>
        <v/>
      </c>
      <c r="BA150" s="47">
        <f>IF($E150=BA$3,$G150,0)-IF($H150=BA$3,$J150,0)</f>
        <v/>
      </c>
      <c r="BB150" s="47">
        <f>IF($E150=BB$3,$G150,0)-IF($H150=BB$3,$J150,0)</f>
        <v/>
      </c>
      <c r="BC150" s="47">
        <f>IF($E150=BC$3,$G150,0)-IF($H150=BC$3,$J150,0)</f>
        <v/>
      </c>
      <c r="BD150" s="47">
        <f>IF($E150=BD$3,$G150,0)-IF($H150=BD$3,$J150,0)</f>
        <v/>
      </c>
      <c r="BE150" s="47">
        <f>IF($E150=BE$3,$G150,0)-IF($H150=BE$3,$J150,0)</f>
        <v/>
      </c>
      <c r="BF150" s="47">
        <f>IF($E150=BF$3,$G150,0)-IF($H150=BF$3,$J150,0)</f>
        <v/>
      </c>
      <c r="BG150" s="47">
        <f>IF($E150=BG$3,$G150,0)-IF($H150=BG$3,$J150,0)</f>
        <v/>
      </c>
      <c r="BH150" s="47">
        <f>IF($E150=BH$3,$G150,0)-IF($H150=BH$3,$J150,0)</f>
        <v/>
      </c>
      <c r="BI150" s="47">
        <f>IF($E150=BI$3,$G150,0)-IF($H150=BI$3,$J150,0)</f>
        <v/>
      </c>
      <c r="BJ150" s="47">
        <f>IF($E150=BJ$3,$G150,0)-IF($H150=BJ$3,$J150,0)</f>
        <v/>
      </c>
      <c r="BK150" s="47">
        <f>IF($E150=BK$3,$G150,0)-IF($H150=BK$3,$J150,0)</f>
        <v/>
      </c>
      <c r="BL150" s="46">
        <f>-IF($E150=BL$3,$G150,0)+IF($H150=BL$3,$J150,0)</f>
        <v/>
      </c>
      <c r="BM150" s="47">
        <f>-IF($E150=BM$3,$G150,0)+IF($H150=BM$3,$J150,0)</f>
        <v/>
      </c>
      <c r="BN150" s="47">
        <f>-IF($E150=BN$3,$G150,0)+IF($H150=BN$3,$J150,0)</f>
        <v/>
      </c>
      <c r="BO150" s="47">
        <f>-IF($E150=BO$3,$G150,0)+IF($H150=BO$3,$J150,0)</f>
        <v/>
      </c>
      <c r="BP150" s="47">
        <f>-IF($E150=BP$3,$G150,0)+IF($H150=BP$3,$J150,0)</f>
        <v/>
      </c>
      <c r="BQ150" s="47">
        <f>-IF($E150=BQ$3,$G150,0)+IF($H150=BQ$3,$J150,0)</f>
        <v/>
      </c>
      <c r="BR150" s="47">
        <f>-IF($E150=BR$3,$G150,0)+IF($H150=BR$3,$J150,0)</f>
        <v/>
      </c>
      <c r="BS150" s="47">
        <f>-IF($E150=BS$3,$G150,0)+IF($H150=BS$3,$J150,0)</f>
        <v/>
      </c>
      <c r="BT150" s="47">
        <f>-IF($E150=BT$3,$G150,0)+IF($H150=BT$3,$J150,0)</f>
        <v/>
      </c>
      <c r="BU150" s="46">
        <f>+G150-J150</f>
        <v/>
      </c>
      <c r="BV150" s="48">
        <f>-IF($E150=BV$3,$G150,0)+IF($H150=BV$3,$J150,0)</f>
        <v/>
      </c>
      <c r="BW150" s="3" t="n"/>
    </row>
    <row r="151" ht="15.75" customHeight="1" s="214">
      <c r="A151" s="7" t="n"/>
      <c r="B151" s="8" t="n"/>
      <c r="C151" s="9" t="n"/>
      <c r="D151" s="10" t="n"/>
      <c r="E151" s="247" t="n"/>
      <c r="F151" s="11">
        <f>IF(E151="","",IF(ISNA(VLOOKUP(E151,科目コード表!$C$4:$D$67,2,FALSE)),"該当科目なし",VLOOKUP(E151,科目コード表!$C$4:$D$67,2,FALSE)))</f>
        <v/>
      </c>
      <c r="G151" s="38" t="n"/>
      <c r="H151" s="248" t="n"/>
      <c r="I151" s="11">
        <f>IF(H151="","",IF(ISNA(VLOOKUP(H151,科目コード表!$C$4:$D$67,2,FALSE)),"該当科目なし",VLOOKUP(H151,科目コード表!$C$4:$D$67,2,FALSE)))</f>
        <v/>
      </c>
      <c r="J151" s="40" t="n"/>
      <c r="L151" s="46">
        <f>IF($E151=L$3,$G151,0)-IF($H151=L$3,$J151,0)</f>
        <v/>
      </c>
      <c r="M151" s="47">
        <f>IF($E151=M$3,$G151,0)-IF($H151=M$3,$J151,0)</f>
        <v/>
      </c>
      <c r="N151" s="47">
        <f>IF($E151=N$3,$G151,0)-IF($H151=N$3,$J151,0)</f>
        <v/>
      </c>
      <c r="O151" s="47">
        <f>IF($E151=O$3,$G151,0)-IF($H151=O$3,$J151,0)</f>
        <v/>
      </c>
      <c r="P151" s="47">
        <f>IF($E151=P$3,$G151,0)-IF($H151=P$3,$J151,0)</f>
        <v/>
      </c>
      <c r="Q151" s="47">
        <f>IF($E151=Q$3,$G151,0)-IF($H151=Q$3,$J151,0)</f>
        <v/>
      </c>
      <c r="R151" s="47">
        <f>IF($E151=R$3,$G151,0)-IF($H151=R$3,$J151,0)</f>
        <v/>
      </c>
      <c r="S151" s="47">
        <f>IF($E151=S$3,$G151,0)-IF($H151=S$3,$J151,0)</f>
        <v/>
      </c>
      <c r="T151" s="47">
        <f>IF($E151=T$3,$G151,0)-IF($H151=T$3,$J151,0)</f>
        <v/>
      </c>
      <c r="U151" s="47">
        <f>IF($E151=U$3,$G151,0)-IF($H151=U$3,$J151,0)</f>
        <v/>
      </c>
      <c r="V151" s="47">
        <f>IF($E151=V$3,$G151,0)-IF($H151=V$3,$J151,0)</f>
        <v/>
      </c>
      <c r="W151" s="47">
        <f>IF($E151=W$3,$G151,0)-IF($H151=W$3,$J151,0)</f>
        <v/>
      </c>
      <c r="X151" s="47">
        <f>IF($E151=X$3,$G151,0)-IF($H151=X$3,$J151,0)</f>
        <v/>
      </c>
      <c r="Y151" s="47">
        <f>IF($E151=Y$3,$G151,0)-IF($H151=Y$3,$J151,0)</f>
        <v/>
      </c>
      <c r="Z151" s="47">
        <f>IF($E151=Z$3,$G151,0)-IF($H151=Z$3,$J151,0)</f>
        <v/>
      </c>
      <c r="AA151" s="47">
        <f>IF($E151=AA$3,$G151,0)-IF($H151=AA$3,$J151,0)</f>
        <v/>
      </c>
      <c r="AB151" s="47">
        <f>IF($E151=AB$3,$G151,0)-IF($H151=AB$3,$J151,0)</f>
        <v/>
      </c>
      <c r="AC151" s="47">
        <f>IF($E151=AC$3,$G151,0)-IF($H151=AC$3,$J151,0)</f>
        <v/>
      </c>
      <c r="AD151" s="47">
        <f>IF($E151=AD$3,$G151,0)-IF($H151=AD$3,$J151,0)</f>
        <v/>
      </c>
      <c r="AE151" s="47">
        <f>IF($E151=AE$3,$G151,0)-IF($H151=AE$3,$J151,0)</f>
        <v/>
      </c>
      <c r="AF151" s="47">
        <f>IF($E151=AF$3,$G151,0)-IF($H151=AF$3,$J151,0)</f>
        <v/>
      </c>
      <c r="AG151" s="47">
        <f>IF($E151=AG$3,$G151,0)-IF($H151=AG$3,$J151,0)</f>
        <v/>
      </c>
      <c r="AH151" s="47">
        <f>IF($E151=AH$3,$G151,0)-IF($H151=AH$3,$J151,0)</f>
        <v/>
      </c>
      <c r="AI151" s="47">
        <f>IF($E151=AI$3,$G151,0)-IF($H151=AI$3,$J151,0)</f>
        <v/>
      </c>
      <c r="AJ151" s="47">
        <f>IF($E151=AJ$3,$G151,0)-IF($H151=AJ$3,$J151,0)</f>
        <v/>
      </c>
      <c r="AK151" s="47">
        <f>IF($E151=AK$3,$G151,0)-IF($H151=AK$3,$J151,0)</f>
        <v/>
      </c>
      <c r="AL151" s="48">
        <f>IF($E151=AL$3,$G151,0)-IF($H151=AL$3,$J151,0)</f>
        <v/>
      </c>
      <c r="AM151" s="46">
        <f>-IF($E151=AM$3,$G151,0)+IF($H151=AM$3,$J151,0)</f>
        <v/>
      </c>
      <c r="AN151" s="47">
        <f>-IF($E151=AN$3,$G151,0)+IF($H151=AN$3,$J151,0)</f>
        <v/>
      </c>
      <c r="AO151" s="48">
        <f>-IF($E151=AO$3,$G151,0)+IF($H151=AO$3,$J151,0)</f>
        <v/>
      </c>
      <c r="AP151" s="46">
        <f>IF($E151=AP$3,$G151,0)-IF($H151=AP$3,$J151,0)</f>
        <v/>
      </c>
      <c r="AQ151" s="47">
        <f>IF($E151=AQ$3,$G151,0)-IF($H151=AQ$3,$J151,0)</f>
        <v/>
      </c>
      <c r="AR151" s="47">
        <f>IF($E151=AR$3,$G151,0)-IF($H151=AR$3,$J151,0)</f>
        <v/>
      </c>
      <c r="AS151" s="47">
        <f>IF($E151=AS$3,$G151,0)-IF($H151=AS$3,$J151,0)</f>
        <v/>
      </c>
      <c r="AT151" s="47">
        <f>IF($E151=AT$3,$G151,0)-IF($H151=AT$3,$J151,0)</f>
        <v/>
      </c>
      <c r="AU151" s="47">
        <f>IF($E151=AU$3,$G151,0)-IF($H151=AU$3,$J151,0)</f>
        <v/>
      </c>
      <c r="AV151" s="47">
        <f>IF($E151=AV$3,$G151,0)-IF($H151=AV$3,$J151,0)</f>
        <v/>
      </c>
      <c r="AW151" s="47">
        <f>IF($E151=AW$3,$G151,0)-IF($H151=AW$3,$J151,0)</f>
        <v/>
      </c>
      <c r="AX151" s="47">
        <f>IF($E151=AX$3,$G151,0)-IF($H151=AX$3,$J151,0)</f>
        <v/>
      </c>
      <c r="AY151" s="47">
        <f>IF($E151=AY$3,$G151,0)-IF($H151=AY$3,$J151,0)</f>
        <v/>
      </c>
      <c r="AZ151" s="47">
        <f>IF($E151=AZ$3,$G151,0)-IF($H151=AZ$3,$J151,0)</f>
        <v/>
      </c>
      <c r="BA151" s="47">
        <f>IF($E151=BA$3,$G151,0)-IF($H151=BA$3,$J151,0)</f>
        <v/>
      </c>
      <c r="BB151" s="47">
        <f>IF($E151=BB$3,$G151,0)-IF($H151=BB$3,$J151,0)</f>
        <v/>
      </c>
      <c r="BC151" s="47">
        <f>IF($E151=BC$3,$G151,0)-IF($H151=BC$3,$J151,0)</f>
        <v/>
      </c>
      <c r="BD151" s="47">
        <f>IF($E151=BD$3,$G151,0)-IF($H151=BD$3,$J151,0)</f>
        <v/>
      </c>
      <c r="BE151" s="47">
        <f>IF($E151=BE$3,$G151,0)-IF($H151=BE$3,$J151,0)</f>
        <v/>
      </c>
      <c r="BF151" s="47">
        <f>IF($E151=BF$3,$G151,0)-IF($H151=BF$3,$J151,0)</f>
        <v/>
      </c>
      <c r="BG151" s="47">
        <f>IF($E151=BG$3,$G151,0)-IF($H151=BG$3,$J151,0)</f>
        <v/>
      </c>
      <c r="BH151" s="47">
        <f>IF($E151=BH$3,$G151,0)-IF($H151=BH$3,$J151,0)</f>
        <v/>
      </c>
      <c r="BI151" s="47">
        <f>IF($E151=BI$3,$G151,0)-IF($H151=BI$3,$J151,0)</f>
        <v/>
      </c>
      <c r="BJ151" s="47">
        <f>IF($E151=BJ$3,$G151,0)-IF($H151=BJ$3,$J151,0)</f>
        <v/>
      </c>
      <c r="BK151" s="47">
        <f>IF($E151=BK$3,$G151,0)-IF($H151=BK$3,$J151,0)</f>
        <v/>
      </c>
      <c r="BL151" s="46">
        <f>-IF($E151=BL$3,$G151,0)+IF($H151=BL$3,$J151,0)</f>
        <v/>
      </c>
      <c r="BM151" s="47">
        <f>-IF($E151=BM$3,$G151,0)+IF($H151=BM$3,$J151,0)</f>
        <v/>
      </c>
      <c r="BN151" s="47">
        <f>-IF($E151=BN$3,$G151,0)+IF($H151=BN$3,$J151,0)</f>
        <v/>
      </c>
      <c r="BO151" s="47">
        <f>-IF($E151=BO$3,$G151,0)+IF($H151=BO$3,$J151,0)</f>
        <v/>
      </c>
      <c r="BP151" s="47">
        <f>-IF($E151=BP$3,$G151,0)+IF($H151=BP$3,$J151,0)</f>
        <v/>
      </c>
      <c r="BQ151" s="47">
        <f>-IF($E151=BQ$3,$G151,0)+IF($H151=BQ$3,$J151,0)</f>
        <v/>
      </c>
      <c r="BR151" s="47">
        <f>-IF($E151=BR$3,$G151,0)+IF($H151=BR$3,$J151,0)</f>
        <v/>
      </c>
      <c r="BS151" s="47">
        <f>-IF($E151=BS$3,$G151,0)+IF($H151=BS$3,$J151,0)</f>
        <v/>
      </c>
      <c r="BT151" s="47">
        <f>-IF($E151=BT$3,$G151,0)+IF($H151=BT$3,$J151,0)</f>
        <v/>
      </c>
      <c r="BU151" s="46">
        <f>+G151-J151</f>
        <v/>
      </c>
      <c r="BV151" s="48">
        <f>-IF($E151=BV$3,$G151,0)+IF($H151=BV$3,$J151,0)</f>
        <v/>
      </c>
      <c r="BW151" s="3" t="n"/>
    </row>
    <row r="152" ht="15.75" customHeight="1" s="214">
      <c r="A152" s="7" t="n"/>
      <c r="B152" s="8" t="n"/>
      <c r="C152" s="9" t="n"/>
      <c r="D152" s="10" t="n"/>
      <c r="E152" s="247" t="n"/>
      <c r="F152" s="11">
        <f>IF(E152="","",IF(ISNA(VLOOKUP(E152,科目コード表!$C$4:$D$67,2,FALSE)),"該当科目なし",VLOOKUP(E152,科目コード表!$C$4:$D$67,2,FALSE)))</f>
        <v/>
      </c>
      <c r="G152" s="38" t="n"/>
      <c r="H152" s="248" t="n"/>
      <c r="I152" s="11">
        <f>IF(H152="","",IF(ISNA(VLOOKUP(H152,科目コード表!$C$4:$D$67,2,FALSE)),"該当科目なし",VLOOKUP(H152,科目コード表!$C$4:$D$67,2,FALSE)))</f>
        <v/>
      </c>
      <c r="J152" s="40" t="n"/>
      <c r="L152" s="46">
        <f>IF($E152=L$3,$G152,0)-IF($H152=L$3,$J152,0)</f>
        <v/>
      </c>
      <c r="M152" s="47">
        <f>IF($E152=M$3,$G152,0)-IF($H152=M$3,$J152,0)</f>
        <v/>
      </c>
      <c r="N152" s="47">
        <f>IF($E152=N$3,$G152,0)-IF($H152=N$3,$J152,0)</f>
        <v/>
      </c>
      <c r="O152" s="47">
        <f>IF($E152=O$3,$G152,0)-IF($H152=O$3,$J152,0)</f>
        <v/>
      </c>
      <c r="P152" s="47">
        <f>IF($E152=P$3,$G152,0)-IF($H152=P$3,$J152,0)</f>
        <v/>
      </c>
      <c r="Q152" s="47">
        <f>IF($E152=Q$3,$G152,0)-IF($H152=Q$3,$J152,0)</f>
        <v/>
      </c>
      <c r="R152" s="47">
        <f>IF($E152=R$3,$G152,0)-IF($H152=R$3,$J152,0)</f>
        <v/>
      </c>
      <c r="S152" s="47">
        <f>IF($E152=S$3,$G152,0)-IF($H152=S$3,$J152,0)</f>
        <v/>
      </c>
      <c r="T152" s="47">
        <f>IF($E152=T$3,$G152,0)-IF($H152=T$3,$J152,0)</f>
        <v/>
      </c>
      <c r="U152" s="47">
        <f>IF($E152=U$3,$G152,0)-IF($H152=U$3,$J152,0)</f>
        <v/>
      </c>
      <c r="V152" s="47">
        <f>IF($E152=V$3,$G152,0)-IF($H152=V$3,$J152,0)</f>
        <v/>
      </c>
      <c r="W152" s="47">
        <f>IF($E152=W$3,$G152,0)-IF($H152=W$3,$J152,0)</f>
        <v/>
      </c>
      <c r="X152" s="47">
        <f>IF($E152=X$3,$G152,0)-IF($H152=X$3,$J152,0)</f>
        <v/>
      </c>
      <c r="Y152" s="47">
        <f>IF($E152=Y$3,$G152,0)-IF($H152=Y$3,$J152,0)</f>
        <v/>
      </c>
      <c r="Z152" s="47">
        <f>IF($E152=Z$3,$G152,0)-IF($H152=Z$3,$J152,0)</f>
        <v/>
      </c>
      <c r="AA152" s="47">
        <f>IF($E152=AA$3,$G152,0)-IF($H152=AA$3,$J152,0)</f>
        <v/>
      </c>
      <c r="AB152" s="47">
        <f>IF($E152=AB$3,$G152,0)-IF($H152=AB$3,$J152,0)</f>
        <v/>
      </c>
      <c r="AC152" s="47">
        <f>IF($E152=AC$3,$G152,0)-IF($H152=AC$3,$J152,0)</f>
        <v/>
      </c>
      <c r="AD152" s="47">
        <f>IF($E152=AD$3,$G152,0)-IF($H152=AD$3,$J152,0)</f>
        <v/>
      </c>
      <c r="AE152" s="47">
        <f>IF($E152=AE$3,$G152,0)-IF($H152=AE$3,$J152,0)</f>
        <v/>
      </c>
      <c r="AF152" s="47">
        <f>IF($E152=AF$3,$G152,0)-IF($H152=AF$3,$J152,0)</f>
        <v/>
      </c>
      <c r="AG152" s="47">
        <f>IF($E152=AG$3,$G152,0)-IF($H152=AG$3,$J152,0)</f>
        <v/>
      </c>
      <c r="AH152" s="47">
        <f>IF($E152=AH$3,$G152,0)-IF($H152=AH$3,$J152,0)</f>
        <v/>
      </c>
      <c r="AI152" s="47">
        <f>IF($E152=AI$3,$G152,0)-IF($H152=AI$3,$J152,0)</f>
        <v/>
      </c>
      <c r="AJ152" s="47">
        <f>IF($E152=AJ$3,$G152,0)-IF($H152=AJ$3,$J152,0)</f>
        <v/>
      </c>
      <c r="AK152" s="47">
        <f>IF($E152=AK$3,$G152,0)-IF($H152=AK$3,$J152,0)</f>
        <v/>
      </c>
      <c r="AL152" s="48">
        <f>IF($E152=AL$3,$G152,0)-IF($H152=AL$3,$J152,0)</f>
        <v/>
      </c>
      <c r="AM152" s="46">
        <f>-IF($E152=AM$3,$G152,0)+IF($H152=AM$3,$J152,0)</f>
        <v/>
      </c>
      <c r="AN152" s="47">
        <f>-IF($E152=AN$3,$G152,0)+IF($H152=AN$3,$J152,0)</f>
        <v/>
      </c>
      <c r="AO152" s="48">
        <f>-IF($E152=AO$3,$G152,0)+IF($H152=AO$3,$J152,0)</f>
        <v/>
      </c>
      <c r="AP152" s="46">
        <f>IF($E152=AP$3,$G152,0)-IF($H152=AP$3,$J152,0)</f>
        <v/>
      </c>
      <c r="AQ152" s="47">
        <f>IF($E152=AQ$3,$G152,0)-IF($H152=AQ$3,$J152,0)</f>
        <v/>
      </c>
      <c r="AR152" s="47">
        <f>IF($E152=AR$3,$G152,0)-IF($H152=AR$3,$J152,0)</f>
        <v/>
      </c>
      <c r="AS152" s="47">
        <f>IF($E152=AS$3,$G152,0)-IF($H152=AS$3,$J152,0)</f>
        <v/>
      </c>
      <c r="AT152" s="47">
        <f>IF($E152=AT$3,$G152,0)-IF($H152=AT$3,$J152,0)</f>
        <v/>
      </c>
      <c r="AU152" s="47">
        <f>IF($E152=AU$3,$G152,0)-IF($H152=AU$3,$J152,0)</f>
        <v/>
      </c>
      <c r="AV152" s="47">
        <f>IF($E152=AV$3,$G152,0)-IF($H152=AV$3,$J152,0)</f>
        <v/>
      </c>
      <c r="AW152" s="47">
        <f>IF($E152=AW$3,$G152,0)-IF($H152=AW$3,$J152,0)</f>
        <v/>
      </c>
      <c r="AX152" s="47">
        <f>IF($E152=AX$3,$G152,0)-IF($H152=AX$3,$J152,0)</f>
        <v/>
      </c>
      <c r="AY152" s="47">
        <f>IF($E152=AY$3,$G152,0)-IF($H152=AY$3,$J152,0)</f>
        <v/>
      </c>
      <c r="AZ152" s="47">
        <f>IF($E152=AZ$3,$G152,0)-IF($H152=AZ$3,$J152,0)</f>
        <v/>
      </c>
      <c r="BA152" s="47">
        <f>IF($E152=BA$3,$G152,0)-IF($H152=BA$3,$J152,0)</f>
        <v/>
      </c>
      <c r="BB152" s="47">
        <f>IF($E152=BB$3,$G152,0)-IF($H152=BB$3,$J152,0)</f>
        <v/>
      </c>
      <c r="BC152" s="47">
        <f>IF($E152=BC$3,$G152,0)-IF($H152=BC$3,$J152,0)</f>
        <v/>
      </c>
      <c r="BD152" s="47">
        <f>IF($E152=BD$3,$G152,0)-IF($H152=BD$3,$J152,0)</f>
        <v/>
      </c>
      <c r="BE152" s="47">
        <f>IF($E152=BE$3,$G152,0)-IF($H152=BE$3,$J152,0)</f>
        <v/>
      </c>
      <c r="BF152" s="47">
        <f>IF($E152=BF$3,$G152,0)-IF($H152=BF$3,$J152,0)</f>
        <v/>
      </c>
      <c r="BG152" s="47">
        <f>IF($E152=BG$3,$G152,0)-IF($H152=BG$3,$J152,0)</f>
        <v/>
      </c>
      <c r="BH152" s="47">
        <f>IF($E152=BH$3,$G152,0)-IF($H152=BH$3,$J152,0)</f>
        <v/>
      </c>
      <c r="BI152" s="47">
        <f>IF($E152=BI$3,$G152,0)-IF($H152=BI$3,$J152,0)</f>
        <v/>
      </c>
      <c r="BJ152" s="47">
        <f>IF($E152=BJ$3,$G152,0)-IF($H152=BJ$3,$J152,0)</f>
        <v/>
      </c>
      <c r="BK152" s="47">
        <f>IF($E152=BK$3,$G152,0)-IF($H152=BK$3,$J152,0)</f>
        <v/>
      </c>
      <c r="BL152" s="46">
        <f>-IF($E152=BL$3,$G152,0)+IF($H152=BL$3,$J152,0)</f>
        <v/>
      </c>
      <c r="BM152" s="47">
        <f>-IF($E152=BM$3,$G152,0)+IF($H152=BM$3,$J152,0)</f>
        <v/>
      </c>
      <c r="BN152" s="47">
        <f>-IF($E152=BN$3,$G152,0)+IF($H152=BN$3,$J152,0)</f>
        <v/>
      </c>
      <c r="BO152" s="47">
        <f>-IF($E152=BO$3,$G152,0)+IF($H152=BO$3,$J152,0)</f>
        <v/>
      </c>
      <c r="BP152" s="47">
        <f>-IF($E152=BP$3,$G152,0)+IF($H152=BP$3,$J152,0)</f>
        <v/>
      </c>
      <c r="BQ152" s="47">
        <f>-IF($E152=BQ$3,$G152,0)+IF($H152=BQ$3,$J152,0)</f>
        <v/>
      </c>
      <c r="BR152" s="47">
        <f>-IF($E152=BR$3,$G152,0)+IF($H152=BR$3,$J152,0)</f>
        <v/>
      </c>
      <c r="BS152" s="47">
        <f>-IF($E152=BS$3,$G152,0)+IF($H152=BS$3,$J152,0)</f>
        <v/>
      </c>
      <c r="BT152" s="47">
        <f>-IF($E152=BT$3,$G152,0)+IF($H152=BT$3,$J152,0)</f>
        <v/>
      </c>
      <c r="BU152" s="46">
        <f>+G152-J152</f>
        <v/>
      </c>
      <c r="BV152" s="48">
        <f>-IF($E152=BV$3,$G152,0)+IF($H152=BV$3,$J152,0)</f>
        <v/>
      </c>
      <c r="BW152" s="3" t="n"/>
    </row>
    <row r="153" ht="15.75" customHeight="1" s="214">
      <c r="A153" s="7" t="n"/>
      <c r="B153" s="8" t="n"/>
      <c r="C153" s="9" t="n"/>
      <c r="D153" s="10" t="n"/>
      <c r="E153" s="247" t="n"/>
      <c r="F153" s="11">
        <f>IF(E153="","",IF(ISNA(VLOOKUP(E153,科目コード表!$C$4:$D$67,2,FALSE)),"該当科目なし",VLOOKUP(E153,科目コード表!$C$4:$D$67,2,FALSE)))</f>
        <v/>
      </c>
      <c r="G153" s="38" t="n"/>
      <c r="H153" s="248" t="n"/>
      <c r="I153" s="11">
        <f>IF(H153="","",IF(ISNA(VLOOKUP(H153,科目コード表!$C$4:$D$67,2,FALSE)),"該当科目なし",VLOOKUP(H153,科目コード表!$C$4:$D$67,2,FALSE)))</f>
        <v/>
      </c>
      <c r="J153" s="40" t="n"/>
      <c r="L153" s="46">
        <f>IF($E153=L$3,$G153,0)-IF($H153=L$3,$J153,0)</f>
        <v/>
      </c>
      <c r="M153" s="47">
        <f>IF($E153=M$3,$G153,0)-IF($H153=M$3,$J153,0)</f>
        <v/>
      </c>
      <c r="N153" s="47">
        <f>IF($E153=N$3,$G153,0)-IF($H153=N$3,$J153,0)</f>
        <v/>
      </c>
      <c r="O153" s="47">
        <f>IF($E153=O$3,$G153,0)-IF($H153=O$3,$J153,0)</f>
        <v/>
      </c>
      <c r="P153" s="47">
        <f>IF($E153=P$3,$G153,0)-IF($H153=P$3,$J153,0)</f>
        <v/>
      </c>
      <c r="Q153" s="47">
        <f>IF($E153=Q$3,$G153,0)-IF($H153=Q$3,$J153,0)</f>
        <v/>
      </c>
      <c r="R153" s="47">
        <f>IF($E153=R$3,$G153,0)-IF($H153=R$3,$J153,0)</f>
        <v/>
      </c>
      <c r="S153" s="47">
        <f>IF($E153=S$3,$G153,0)-IF($H153=S$3,$J153,0)</f>
        <v/>
      </c>
      <c r="T153" s="47">
        <f>IF($E153=T$3,$G153,0)-IF($H153=T$3,$J153,0)</f>
        <v/>
      </c>
      <c r="U153" s="47">
        <f>IF($E153=U$3,$G153,0)-IF($H153=U$3,$J153,0)</f>
        <v/>
      </c>
      <c r="V153" s="47">
        <f>IF($E153=V$3,$G153,0)-IF($H153=V$3,$J153,0)</f>
        <v/>
      </c>
      <c r="W153" s="47">
        <f>IF($E153=W$3,$G153,0)-IF($H153=W$3,$J153,0)</f>
        <v/>
      </c>
      <c r="X153" s="47">
        <f>IF($E153=X$3,$G153,0)-IF($H153=X$3,$J153,0)</f>
        <v/>
      </c>
      <c r="Y153" s="47">
        <f>IF($E153=Y$3,$G153,0)-IF($H153=Y$3,$J153,0)</f>
        <v/>
      </c>
      <c r="Z153" s="47">
        <f>IF($E153=Z$3,$G153,0)-IF($H153=Z$3,$J153,0)</f>
        <v/>
      </c>
      <c r="AA153" s="47">
        <f>IF($E153=AA$3,$G153,0)-IF($H153=AA$3,$J153,0)</f>
        <v/>
      </c>
      <c r="AB153" s="47">
        <f>IF($E153=AB$3,$G153,0)-IF($H153=AB$3,$J153,0)</f>
        <v/>
      </c>
      <c r="AC153" s="47">
        <f>IF($E153=AC$3,$G153,0)-IF($H153=AC$3,$J153,0)</f>
        <v/>
      </c>
      <c r="AD153" s="47">
        <f>IF($E153=AD$3,$G153,0)-IF($H153=AD$3,$J153,0)</f>
        <v/>
      </c>
      <c r="AE153" s="47">
        <f>IF($E153=AE$3,$G153,0)-IF($H153=AE$3,$J153,0)</f>
        <v/>
      </c>
      <c r="AF153" s="47">
        <f>IF($E153=AF$3,$G153,0)-IF($H153=AF$3,$J153,0)</f>
        <v/>
      </c>
      <c r="AG153" s="47">
        <f>IF($E153=AG$3,$G153,0)-IF($H153=AG$3,$J153,0)</f>
        <v/>
      </c>
      <c r="AH153" s="47">
        <f>IF($E153=AH$3,$G153,0)-IF($H153=AH$3,$J153,0)</f>
        <v/>
      </c>
      <c r="AI153" s="47">
        <f>IF($E153=AI$3,$G153,0)-IF($H153=AI$3,$J153,0)</f>
        <v/>
      </c>
      <c r="AJ153" s="47">
        <f>IF($E153=AJ$3,$G153,0)-IF($H153=AJ$3,$J153,0)</f>
        <v/>
      </c>
      <c r="AK153" s="47">
        <f>IF($E153=AK$3,$G153,0)-IF($H153=AK$3,$J153,0)</f>
        <v/>
      </c>
      <c r="AL153" s="48">
        <f>IF($E153=AL$3,$G153,0)-IF($H153=AL$3,$J153,0)</f>
        <v/>
      </c>
      <c r="AM153" s="46">
        <f>-IF($E153=AM$3,$G153,0)+IF($H153=AM$3,$J153,0)</f>
        <v/>
      </c>
      <c r="AN153" s="47">
        <f>-IF($E153=AN$3,$G153,0)+IF($H153=AN$3,$J153,0)</f>
        <v/>
      </c>
      <c r="AO153" s="48">
        <f>-IF($E153=AO$3,$G153,0)+IF($H153=AO$3,$J153,0)</f>
        <v/>
      </c>
      <c r="AP153" s="46">
        <f>IF($E153=AP$3,$G153,0)-IF($H153=AP$3,$J153,0)</f>
        <v/>
      </c>
      <c r="AQ153" s="47">
        <f>IF($E153=AQ$3,$G153,0)-IF($H153=AQ$3,$J153,0)</f>
        <v/>
      </c>
      <c r="AR153" s="47">
        <f>IF($E153=AR$3,$G153,0)-IF($H153=AR$3,$J153,0)</f>
        <v/>
      </c>
      <c r="AS153" s="47">
        <f>IF($E153=AS$3,$G153,0)-IF($H153=AS$3,$J153,0)</f>
        <v/>
      </c>
      <c r="AT153" s="47">
        <f>IF($E153=AT$3,$G153,0)-IF($H153=AT$3,$J153,0)</f>
        <v/>
      </c>
      <c r="AU153" s="47">
        <f>IF($E153=AU$3,$G153,0)-IF($H153=AU$3,$J153,0)</f>
        <v/>
      </c>
      <c r="AV153" s="47">
        <f>IF($E153=AV$3,$G153,0)-IF($H153=AV$3,$J153,0)</f>
        <v/>
      </c>
      <c r="AW153" s="47">
        <f>IF($E153=AW$3,$G153,0)-IF($H153=AW$3,$J153,0)</f>
        <v/>
      </c>
      <c r="AX153" s="47">
        <f>IF($E153=AX$3,$G153,0)-IF($H153=AX$3,$J153,0)</f>
        <v/>
      </c>
      <c r="AY153" s="47">
        <f>IF($E153=AY$3,$G153,0)-IF($H153=AY$3,$J153,0)</f>
        <v/>
      </c>
      <c r="AZ153" s="47">
        <f>IF($E153=AZ$3,$G153,0)-IF($H153=AZ$3,$J153,0)</f>
        <v/>
      </c>
      <c r="BA153" s="47">
        <f>IF($E153=BA$3,$G153,0)-IF($H153=BA$3,$J153,0)</f>
        <v/>
      </c>
      <c r="BB153" s="47">
        <f>IF($E153=BB$3,$G153,0)-IF($H153=BB$3,$J153,0)</f>
        <v/>
      </c>
      <c r="BC153" s="47">
        <f>IF($E153=BC$3,$G153,0)-IF($H153=BC$3,$J153,0)</f>
        <v/>
      </c>
      <c r="BD153" s="47">
        <f>IF($E153=BD$3,$G153,0)-IF($H153=BD$3,$J153,0)</f>
        <v/>
      </c>
      <c r="BE153" s="47">
        <f>IF($E153=BE$3,$G153,0)-IF($H153=BE$3,$J153,0)</f>
        <v/>
      </c>
      <c r="BF153" s="47">
        <f>IF($E153=BF$3,$G153,0)-IF($H153=BF$3,$J153,0)</f>
        <v/>
      </c>
      <c r="BG153" s="47">
        <f>IF($E153=BG$3,$G153,0)-IF($H153=BG$3,$J153,0)</f>
        <v/>
      </c>
      <c r="BH153" s="47">
        <f>IF($E153=BH$3,$G153,0)-IF($H153=BH$3,$J153,0)</f>
        <v/>
      </c>
      <c r="BI153" s="47">
        <f>IF($E153=BI$3,$G153,0)-IF($H153=BI$3,$J153,0)</f>
        <v/>
      </c>
      <c r="BJ153" s="47">
        <f>IF($E153=BJ$3,$G153,0)-IF($H153=BJ$3,$J153,0)</f>
        <v/>
      </c>
      <c r="BK153" s="47">
        <f>IF($E153=BK$3,$G153,0)-IF($H153=BK$3,$J153,0)</f>
        <v/>
      </c>
      <c r="BL153" s="46">
        <f>-IF($E153=BL$3,$G153,0)+IF($H153=BL$3,$J153,0)</f>
        <v/>
      </c>
      <c r="BM153" s="47">
        <f>-IF($E153=BM$3,$G153,0)+IF($H153=BM$3,$J153,0)</f>
        <v/>
      </c>
      <c r="BN153" s="47">
        <f>-IF($E153=BN$3,$G153,0)+IF($H153=BN$3,$J153,0)</f>
        <v/>
      </c>
      <c r="BO153" s="47">
        <f>-IF($E153=BO$3,$G153,0)+IF($H153=BO$3,$J153,0)</f>
        <v/>
      </c>
      <c r="BP153" s="47">
        <f>-IF($E153=BP$3,$G153,0)+IF($H153=BP$3,$J153,0)</f>
        <v/>
      </c>
      <c r="BQ153" s="47">
        <f>-IF($E153=BQ$3,$G153,0)+IF($H153=BQ$3,$J153,0)</f>
        <v/>
      </c>
      <c r="BR153" s="47">
        <f>-IF($E153=BR$3,$G153,0)+IF($H153=BR$3,$J153,0)</f>
        <v/>
      </c>
      <c r="BS153" s="47">
        <f>-IF($E153=BS$3,$G153,0)+IF($H153=BS$3,$J153,0)</f>
        <v/>
      </c>
      <c r="BT153" s="47">
        <f>-IF($E153=BT$3,$G153,0)+IF($H153=BT$3,$J153,0)</f>
        <v/>
      </c>
      <c r="BU153" s="46">
        <f>+G153-J153</f>
        <v/>
      </c>
      <c r="BV153" s="48">
        <f>-IF($E153=BV$3,$G153,0)+IF($H153=BV$3,$J153,0)</f>
        <v/>
      </c>
      <c r="BW153" s="3" t="n"/>
    </row>
    <row r="154" ht="15.75" customHeight="1" s="214">
      <c r="A154" s="7" t="n"/>
      <c r="B154" s="8" t="n"/>
      <c r="C154" s="9" t="n"/>
      <c r="D154" s="10" t="n"/>
      <c r="E154" s="247" t="n"/>
      <c r="F154" s="11">
        <f>IF(E154="","",IF(ISNA(VLOOKUP(E154,科目コード表!$C$4:$D$67,2,FALSE)),"該当科目なし",VLOOKUP(E154,科目コード表!$C$4:$D$67,2,FALSE)))</f>
        <v/>
      </c>
      <c r="G154" s="38" t="n"/>
      <c r="H154" s="248" t="n"/>
      <c r="I154" s="11">
        <f>IF(H154="","",IF(ISNA(VLOOKUP(H154,科目コード表!$C$4:$D$67,2,FALSE)),"該当科目なし",VLOOKUP(H154,科目コード表!$C$4:$D$67,2,FALSE)))</f>
        <v/>
      </c>
      <c r="J154" s="40" t="n"/>
      <c r="L154" s="46">
        <f>IF($E154=L$3,$G154,0)-IF($H154=L$3,$J154,0)</f>
        <v/>
      </c>
      <c r="M154" s="47">
        <f>IF($E154=M$3,$G154,0)-IF($H154=M$3,$J154,0)</f>
        <v/>
      </c>
      <c r="N154" s="47">
        <f>IF($E154=N$3,$G154,0)-IF($H154=N$3,$J154,0)</f>
        <v/>
      </c>
      <c r="O154" s="47">
        <f>IF($E154=O$3,$G154,0)-IF($H154=O$3,$J154,0)</f>
        <v/>
      </c>
      <c r="P154" s="47">
        <f>IF($E154=P$3,$G154,0)-IF($H154=P$3,$J154,0)</f>
        <v/>
      </c>
      <c r="Q154" s="47">
        <f>IF($E154=Q$3,$G154,0)-IF($H154=Q$3,$J154,0)</f>
        <v/>
      </c>
      <c r="R154" s="47">
        <f>IF($E154=R$3,$G154,0)-IF($H154=R$3,$J154,0)</f>
        <v/>
      </c>
      <c r="S154" s="47">
        <f>IF($E154=S$3,$G154,0)-IF($H154=S$3,$J154,0)</f>
        <v/>
      </c>
      <c r="T154" s="47">
        <f>IF($E154=T$3,$G154,0)-IF($H154=T$3,$J154,0)</f>
        <v/>
      </c>
      <c r="U154" s="47">
        <f>IF($E154=U$3,$G154,0)-IF($H154=U$3,$J154,0)</f>
        <v/>
      </c>
      <c r="V154" s="47">
        <f>IF($E154=V$3,$G154,0)-IF($H154=V$3,$J154,0)</f>
        <v/>
      </c>
      <c r="W154" s="47">
        <f>IF($E154=W$3,$G154,0)-IF($H154=W$3,$J154,0)</f>
        <v/>
      </c>
      <c r="X154" s="47">
        <f>IF($E154=X$3,$G154,0)-IF($H154=X$3,$J154,0)</f>
        <v/>
      </c>
      <c r="Y154" s="47">
        <f>IF($E154=Y$3,$G154,0)-IF($H154=Y$3,$J154,0)</f>
        <v/>
      </c>
      <c r="Z154" s="47">
        <f>IF($E154=Z$3,$G154,0)-IF($H154=Z$3,$J154,0)</f>
        <v/>
      </c>
      <c r="AA154" s="47">
        <f>IF($E154=AA$3,$G154,0)-IF($H154=AA$3,$J154,0)</f>
        <v/>
      </c>
      <c r="AB154" s="47">
        <f>IF($E154=AB$3,$G154,0)-IF($H154=AB$3,$J154,0)</f>
        <v/>
      </c>
      <c r="AC154" s="47">
        <f>IF($E154=AC$3,$G154,0)-IF($H154=AC$3,$J154,0)</f>
        <v/>
      </c>
      <c r="AD154" s="47">
        <f>IF($E154=AD$3,$G154,0)-IF($H154=AD$3,$J154,0)</f>
        <v/>
      </c>
      <c r="AE154" s="47">
        <f>IF($E154=AE$3,$G154,0)-IF($H154=AE$3,$J154,0)</f>
        <v/>
      </c>
      <c r="AF154" s="47">
        <f>IF($E154=AF$3,$G154,0)-IF($H154=AF$3,$J154,0)</f>
        <v/>
      </c>
      <c r="AG154" s="47">
        <f>IF($E154=AG$3,$G154,0)-IF($H154=AG$3,$J154,0)</f>
        <v/>
      </c>
      <c r="AH154" s="47">
        <f>IF($E154=AH$3,$G154,0)-IF($H154=AH$3,$J154,0)</f>
        <v/>
      </c>
      <c r="AI154" s="47">
        <f>IF($E154=AI$3,$G154,0)-IF($H154=AI$3,$J154,0)</f>
        <v/>
      </c>
      <c r="AJ154" s="47">
        <f>IF($E154=AJ$3,$G154,0)-IF($H154=AJ$3,$J154,0)</f>
        <v/>
      </c>
      <c r="AK154" s="47">
        <f>IF($E154=AK$3,$G154,0)-IF($H154=AK$3,$J154,0)</f>
        <v/>
      </c>
      <c r="AL154" s="48">
        <f>IF($E154=AL$3,$G154,0)-IF($H154=AL$3,$J154,0)</f>
        <v/>
      </c>
      <c r="AM154" s="46">
        <f>-IF($E154=AM$3,$G154,0)+IF($H154=AM$3,$J154,0)</f>
        <v/>
      </c>
      <c r="AN154" s="47">
        <f>-IF($E154=AN$3,$G154,0)+IF($H154=AN$3,$J154,0)</f>
        <v/>
      </c>
      <c r="AO154" s="48">
        <f>-IF($E154=AO$3,$G154,0)+IF($H154=AO$3,$J154,0)</f>
        <v/>
      </c>
      <c r="AP154" s="46">
        <f>IF($E154=AP$3,$G154,0)-IF($H154=AP$3,$J154,0)</f>
        <v/>
      </c>
      <c r="AQ154" s="47">
        <f>IF($E154=AQ$3,$G154,0)-IF($H154=AQ$3,$J154,0)</f>
        <v/>
      </c>
      <c r="AR154" s="47">
        <f>IF($E154=AR$3,$G154,0)-IF($H154=AR$3,$J154,0)</f>
        <v/>
      </c>
      <c r="AS154" s="47">
        <f>IF($E154=AS$3,$G154,0)-IF($H154=AS$3,$J154,0)</f>
        <v/>
      </c>
      <c r="AT154" s="47">
        <f>IF($E154=AT$3,$G154,0)-IF($H154=AT$3,$J154,0)</f>
        <v/>
      </c>
      <c r="AU154" s="47">
        <f>IF($E154=AU$3,$G154,0)-IF($H154=AU$3,$J154,0)</f>
        <v/>
      </c>
      <c r="AV154" s="47">
        <f>IF($E154=AV$3,$G154,0)-IF($H154=AV$3,$J154,0)</f>
        <v/>
      </c>
      <c r="AW154" s="47">
        <f>IF($E154=AW$3,$G154,0)-IF($H154=AW$3,$J154,0)</f>
        <v/>
      </c>
      <c r="AX154" s="47">
        <f>IF($E154=AX$3,$G154,0)-IF($H154=AX$3,$J154,0)</f>
        <v/>
      </c>
      <c r="AY154" s="47">
        <f>IF($E154=AY$3,$G154,0)-IF($H154=AY$3,$J154,0)</f>
        <v/>
      </c>
      <c r="AZ154" s="47">
        <f>IF($E154=AZ$3,$G154,0)-IF($H154=AZ$3,$J154,0)</f>
        <v/>
      </c>
      <c r="BA154" s="47">
        <f>IF($E154=BA$3,$G154,0)-IF($H154=BA$3,$J154,0)</f>
        <v/>
      </c>
      <c r="BB154" s="47">
        <f>IF($E154=BB$3,$G154,0)-IF($H154=BB$3,$J154,0)</f>
        <v/>
      </c>
      <c r="BC154" s="47">
        <f>IF($E154=BC$3,$G154,0)-IF($H154=BC$3,$J154,0)</f>
        <v/>
      </c>
      <c r="BD154" s="47">
        <f>IF($E154=BD$3,$G154,0)-IF($H154=BD$3,$J154,0)</f>
        <v/>
      </c>
      <c r="BE154" s="47">
        <f>IF($E154=BE$3,$G154,0)-IF($H154=BE$3,$J154,0)</f>
        <v/>
      </c>
      <c r="BF154" s="47">
        <f>IF($E154=BF$3,$G154,0)-IF($H154=BF$3,$J154,0)</f>
        <v/>
      </c>
      <c r="BG154" s="47">
        <f>IF($E154=BG$3,$G154,0)-IF($H154=BG$3,$J154,0)</f>
        <v/>
      </c>
      <c r="BH154" s="47">
        <f>IF($E154=BH$3,$G154,0)-IF($H154=BH$3,$J154,0)</f>
        <v/>
      </c>
      <c r="BI154" s="47">
        <f>IF($E154=BI$3,$G154,0)-IF($H154=BI$3,$J154,0)</f>
        <v/>
      </c>
      <c r="BJ154" s="47">
        <f>IF($E154=BJ$3,$G154,0)-IF($H154=BJ$3,$J154,0)</f>
        <v/>
      </c>
      <c r="BK154" s="47">
        <f>IF($E154=BK$3,$G154,0)-IF($H154=BK$3,$J154,0)</f>
        <v/>
      </c>
      <c r="BL154" s="46">
        <f>-IF($E154=BL$3,$G154,0)+IF($H154=BL$3,$J154,0)</f>
        <v/>
      </c>
      <c r="BM154" s="47">
        <f>-IF($E154=BM$3,$G154,0)+IF($H154=BM$3,$J154,0)</f>
        <v/>
      </c>
      <c r="BN154" s="47">
        <f>-IF($E154=BN$3,$G154,0)+IF($H154=BN$3,$J154,0)</f>
        <v/>
      </c>
      <c r="BO154" s="47">
        <f>-IF($E154=BO$3,$G154,0)+IF($H154=BO$3,$J154,0)</f>
        <v/>
      </c>
      <c r="BP154" s="47">
        <f>-IF($E154=BP$3,$G154,0)+IF($H154=BP$3,$J154,0)</f>
        <v/>
      </c>
      <c r="BQ154" s="47">
        <f>-IF($E154=BQ$3,$G154,0)+IF($H154=BQ$3,$J154,0)</f>
        <v/>
      </c>
      <c r="BR154" s="47">
        <f>-IF($E154=BR$3,$G154,0)+IF($H154=BR$3,$J154,0)</f>
        <v/>
      </c>
      <c r="BS154" s="47">
        <f>-IF($E154=BS$3,$G154,0)+IF($H154=BS$3,$J154,0)</f>
        <v/>
      </c>
      <c r="BT154" s="47">
        <f>-IF($E154=BT$3,$G154,0)+IF($H154=BT$3,$J154,0)</f>
        <v/>
      </c>
      <c r="BU154" s="46">
        <f>+G154-J154</f>
        <v/>
      </c>
      <c r="BV154" s="48">
        <f>-IF($E154=BV$3,$G154,0)+IF($H154=BV$3,$J154,0)</f>
        <v/>
      </c>
      <c r="BW154" s="3" t="n"/>
    </row>
    <row r="155" ht="15.75" customHeight="1" s="214">
      <c r="A155" s="7" t="n"/>
      <c r="B155" s="8" t="n"/>
      <c r="C155" s="9" t="n"/>
      <c r="D155" s="10" t="n"/>
      <c r="E155" s="247" t="n"/>
      <c r="F155" s="11">
        <f>IF(E155="","",IF(ISNA(VLOOKUP(E155,科目コード表!$C$4:$D$67,2,FALSE)),"該当科目なし",VLOOKUP(E155,科目コード表!$C$4:$D$67,2,FALSE)))</f>
        <v/>
      </c>
      <c r="G155" s="38" t="n"/>
      <c r="H155" s="248" t="n"/>
      <c r="I155" s="11">
        <f>IF(H155="","",IF(ISNA(VLOOKUP(H155,科目コード表!$C$4:$D$67,2,FALSE)),"該当科目なし",VLOOKUP(H155,科目コード表!$C$4:$D$67,2,FALSE)))</f>
        <v/>
      </c>
      <c r="J155" s="40" t="n"/>
      <c r="L155" s="46">
        <f>IF($E155=L$3,$G155,0)-IF($H155=L$3,$J155,0)</f>
        <v/>
      </c>
      <c r="M155" s="47">
        <f>IF($E155=M$3,$G155,0)-IF($H155=M$3,$J155,0)</f>
        <v/>
      </c>
      <c r="N155" s="47">
        <f>IF($E155=N$3,$G155,0)-IF($H155=N$3,$J155,0)</f>
        <v/>
      </c>
      <c r="O155" s="47">
        <f>IF($E155=O$3,$G155,0)-IF($H155=O$3,$J155,0)</f>
        <v/>
      </c>
      <c r="P155" s="47">
        <f>IF($E155=P$3,$G155,0)-IF($H155=P$3,$J155,0)</f>
        <v/>
      </c>
      <c r="Q155" s="47">
        <f>IF($E155=Q$3,$G155,0)-IF($H155=Q$3,$J155,0)</f>
        <v/>
      </c>
      <c r="R155" s="47">
        <f>IF($E155=R$3,$G155,0)-IF($H155=R$3,$J155,0)</f>
        <v/>
      </c>
      <c r="S155" s="47">
        <f>IF($E155=S$3,$G155,0)-IF($H155=S$3,$J155,0)</f>
        <v/>
      </c>
      <c r="T155" s="47">
        <f>IF($E155=T$3,$G155,0)-IF($H155=T$3,$J155,0)</f>
        <v/>
      </c>
      <c r="U155" s="47">
        <f>IF($E155=U$3,$G155,0)-IF($H155=U$3,$J155,0)</f>
        <v/>
      </c>
      <c r="V155" s="47">
        <f>IF($E155=V$3,$G155,0)-IF($H155=V$3,$J155,0)</f>
        <v/>
      </c>
      <c r="W155" s="47">
        <f>IF($E155=W$3,$G155,0)-IF($H155=W$3,$J155,0)</f>
        <v/>
      </c>
      <c r="X155" s="47">
        <f>IF($E155=X$3,$G155,0)-IF($H155=X$3,$J155,0)</f>
        <v/>
      </c>
      <c r="Y155" s="47">
        <f>IF($E155=Y$3,$G155,0)-IF($H155=Y$3,$J155,0)</f>
        <v/>
      </c>
      <c r="Z155" s="47">
        <f>IF($E155=Z$3,$G155,0)-IF($H155=Z$3,$J155,0)</f>
        <v/>
      </c>
      <c r="AA155" s="47">
        <f>IF($E155=AA$3,$G155,0)-IF($H155=AA$3,$J155,0)</f>
        <v/>
      </c>
      <c r="AB155" s="47">
        <f>IF($E155=AB$3,$G155,0)-IF($H155=AB$3,$J155,0)</f>
        <v/>
      </c>
      <c r="AC155" s="47">
        <f>IF($E155=AC$3,$G155,0)-IF($H155=AC$3,$J155,0)</f>
        <v/>
      </c>
      <c r="AD155" s="47">
        <f>IF($E155=AD$3,$G155,0)-IF($H155=AD$3,$J155,0)</f>
        <v/>
      </c>
      <c r="AE155" s="47">
        <f>IF($E155=AE$3,$G155,0)-IF($H155=AE$3,$J155,0)</f>
        <v/>
      </c>
      <c r="AF155" s="47">
        <f>IF($E155=AF$3,$G155,0)-IF($H155=AF$3,$J155,0)</f>
        <v/>
      </c>
      <c r="AG155" s="47">
        <f>IF($E155=AG$3,$G155,0)-IF($H155=AG$3,$J155,0)</f>
        <v/>
      </c>
      <c r="AH155" s="47">
        <f>IF($E155=AH$3,$G155,0)-IF($H155=AH$3,$J155,0)</f>
        <v/>
      </c>
      <c r="AI155" s="47">
        <f>IF($E155=AI$3,$G155,0)-IF($H155=AI$3,$J155,0)</f>
        <v/>
      </c>
      <c r="AJ155" s="47">
        <f>IF($E155=AJ$3,$G155,0)-IF($H155=AJ$3,$J155,0)</f>
        <v/>
      </c>
      <c r="AK155" s="47">
        <f>IF($E155=AK$3,$G155,0)-IF($H155=AK$3,$J155,0)</f>
        <v/>
      </c>
      <c r="AL155" s="48">
        <f>IF($E155=AL$3,$G155,0)-IF($H155=AL$3,$J155,0)</f>
        <v/>
      </c>
      <c r="AM155" s="46">
        <f>-IF($E155=AM$3,$G155,0)+IF($H155=AM$3,$J155,0)</f>
        <v/>
      </c>
      <c r="AN155" s="47">
        <f>-IF($E155=AN$3,$G155,0)+IF($H155=AN$3,$J155,0)</f>
        <v/>
      </c>
      <c r="AO155" s="48">
        <f>-IF($E155=AO$3,$G155,0)+IF($H155=AO$3,$J155,0)</f>
        <v/>
      </c>
      <c r="AP155" s="46">
        <f>IF($E155=AP$3,$G155,0)-IF($H155=AP$3,$J155,0)</f>
        <v/>
      </c>
      <c r="AQ155" s="47">
        <f>IF($E155=AQ$3,$G155,0)-IF($H155=AQ$3,$J155,0)</f>
        <v/>
      </c>
      <c r="AR155" s="47">
        <f>IF($E155=AR$3,$G155,0)-IF($H155=AR$3,$J155,0)</f>
        <v/>
      </c>
      <c r="AS155" s="47">
        <f>IF($E155=AS$3,$G155,0)-IF($H155=AS$3,$J155,0)</f>
        <v/>
      </c>
      <c r="AT155" s="47">
        <f>IF($E155=AT$3,$G155,0)-IF($H155=AT$3,$J155,0)</f>
        <v/>
      </c>
      <c r="AU155" s="47">
        <f>IF($E155=AU$3,$G155,0)-IF($H155=AU$3,$J155,0)</f>
        <v/>
      </c>
      <c r="AV155" s="47">
        <f>IF($E155=AV$3,$G155,0)-IF($H155=AV$3,$J155,0)</f>
        <v/>
      </c>
      <c r="AW155" s="47">
        <f>IF($E155=AW$3,$G155,0)-IF($H155=AW$3,$J155,0)</f>
        <v/>
      </c>
      <c r="AX155" s="47">
        <f>IF($E155=AX$3,$G155,0)-IF($H155=AX$3,$J155,0)</f>
        <v/>
      </c>
      <c r="AY155" s="47">
        <f>IF($E155=AY$3,$G155,0)-IF($H155=AY$3,$J155,0)</f>
        <v/>
      </c>
      <c r="AZ155" s="47">
        <f>IF($E155=AZ$3,$G155,0)-IF($H155=AZ$3,$J155,0)</f>
        <v/>
      </c>
      <c r="BA155" s="47">
        <f>IF($E155=BA$3,$G155,0)-IF($H155=BA$3,$J155,0)</f>
        <v/>
      </c>
      <c r="BB155" s="47">
        <f>IF($E155=BB$3,$G155,0)-IF($H155=BB$3,$J155,0)</f>
        <v/>
      </c>
      <c r="BC155" s="47">
        <f>IF($E155=BC$3,$G155,0)-IF($H155=BC$3,$J155,0)</f>
        <v/>
      </c>
      <c r="BD155" s="47">
        <f>IF($E155=BD$3,$G155,0)-IF($H155=BD$3,$J155,0)</f>
        <v/>
      </c>
      <c r="BE155" s="47">
        <f>IF($E155=BE$3,$G155,0)-IF($H155=BE$3,$J155,0)</f>
        <v/>
      </c>
      <c r="BF155" s="47">
        <f>IF($E155=BF$3,$G155,0)-IF($H155=BF$3,$J155,0)</f>
        <v/>
      </c>
      <c r="BG155" s="47">
        <f>IF($E155=BG$3,$G155,0)-IF($H155=BG$3,$J155,0)</f>
        <v/>
      </c>
      <c r="BH155" s="47">
        <f>IF($E155=BH$3,$G155,0)-IF($H155=BH$3,$J155,0)</f>
        <v/>
      </c>
      <c r="BI155" s="47">
        <f>IF($E155=BI$3,$G155,0)-IF($H155=BI$3,$J155,0)</f>
        <v/>
      </c>
      <c r="BJ155" s="47">
        <f>IF($E155=BJ$3,$G155,0)-IF($H155=BJ$3,$J155,0)</f>
        <v/>
      </c>
      <c r="BK155" s="47">
        <f>IF($E155=BK$3,$G155,0)-IF($H155=BK$3,$J155,0)</f>
        <v/>
      </c>
      <c r="BL155" s="46">
        <f>-IF($E155=BL$3,$G155,0)+IF($H155=BL$3,$J155,0)</f>
        <v/>
      </c>
      <c r="BM155" s="47">
        <f>-IF($E155=BM$3,$G155,0)+IF($H155=BM$3,$J155,0)</f>
        <v/>
      </c>
      <c r="BN155" s="47">
        <f>-IF($E155=BN$3,$G155,0)+IF($H155=BN$3,$J155,0)</f>
        <v/>
      </c>
      <c r="BO155" s="47">
        <f>-IF($E155=BO$3,$G155,0)+IF($H155=BO$3,$J155,0)</f>
        <v/>
      </c>
      <c r="BP155" s="47">
        <f>-IF($E155=BP$3,$G155,0)+IF($H155=BP$3,$J155,0)</f>
        <v/>
      </c>
      <c r="BQ155" s="47">
        <f>-IF($E155=BQ$3,$G155,0)+IF($H155=BQ$3,$J155,0)</f>
        <v/>
      </c>
      <c r="BR155" s="47">
        <f>-IF($E155=BR$3,$G155,0)+IF($H155=BR$3,$J155,0)</f>
        <v/>
      </c>
      <c r="BS155" s="47">
        <f>-IF($E155=BS$3,$G155,0)+IF($H155=BS$3,$J155,0)</f>
        <v/>
      </c>
      <c r="BT155" s="47">
        <f>-IF($E155=BT$3,$G155,0)+IF($H155=BT$3,$J155,0)</f>
        <v/>
      </c>
      <c r="BU155" s="46">
        <f>+G155-J155</f>
        <v/>
      </c>
      <c r="BV155" s="48">
        <f>-IF($E155=BV$3,$G155,0)+IF($H155=BV$3,$J155,0)</f>
        <v/>
      </c>
      <c r="BW155" s="3" t="n"/>
    </row>
    <row r="156" ht="15.75" customHeight="1" s="214">
      <c r="A156" s="7" t="n"/>
      <c r="B156" s="8" t="n"/>
      <c r="C156" s="9" t="n"/>
      <c r="D156" s="10" t="n"/>
      <c r="E156" s="247" t="n"/>
      <c r="F156" s="11">
        <f>IF(E156="","",IF(ISNA(VLOOKUP(E156,科目コード表!$C$4:$D$67,2,FALSE)),"該当科目なし",VLOOKUP(E156,科目コード表!$C$4:$D$67,2,FALSE)))</f>
        <v/>
      </c>
      <c r="G156" s="38" t="n"/>
      <c r="H156" s="248" t="n"/>
      <c r="I156" s="11">
        <f>IF(H156="","",IF(ISNA(VLOOKUP(H156,科目コード表!$C$4:$D$67,2,FALSE)),"該当科目なし",VLOOKUP(H156,科目コード表!$C$4:$D$67,2,FALSE)))</f>
        <v/>
      </c>
      <c r="J156" s="40" t="n"/>
      <c r="L156" s="46">
        <f>IF($E156=L$3,$G156,0)-IF($H156=L$3,$J156,0)</f>
        <v/>
      </c>
      <c r="M156" s="47">
        <f>IF($E156=M$3,$G156,0)-IF($H156=M$3,$J156,0)</f>
        <v/>
      </c>
      <c r="N156" s="47">
        <f>IF($E156=N$3,$G156,0)-IF($H156=N$3,$J156,0)</f>
        <v/>
      </c>
      <c r="O156" s="47">
        <f>IF($E156=O$3,$G156,0)-IF($H156=O$3,$J156,0)</f>
        <v/>
      </c>
      <c r="P156" s="47">
        <f>IF($E156=P$3,$G156,0)-IF($H156=P$3,$J156,0)</f>
        <v/>
      </c>
      <c r="Q156" s="47">
        <f>IF($E156=Q$3,$G156,0)-IF($H156=Q$3,$J156,0)</f>
        <v/>
      </c>
      <c r="R156" s="47">
        <f>IF($E156=R$3,$G156,0)-IF($H156=R$3,$J156,0)</f>
        <v/>
      </c>
      <c r="S156" s="47">
        <f>IF($E156=S$3,$G156,0)-IF($H156=S$3,$J156,0)</f>
        <v/>
      </c>
      <c r="T156" s="47">
        <f>IF($E156=T$3,$G156,0)-IF($H156=T$3,$J156,0)</f>
        <v/>
      </c>
      <c r="U156" s="47">
        <f>IF($E156=U$3,$G156,0)-IF($H156=U$3,$J156,0)</f>
        <v/>
      </c>
      <c r="V156" s="47">
        <f>IF($E156=V$3,$G156,0)-IF($H156=V$3,$J156,0)</f>
        <v/>
      </c>
      <c r="W156" s="47">
        <f>IF($E156=W$3,$G156,0)-IF($H156=W$3,$J156,0)</f>
        <v/>
      </c>
      <c r="X156" s="47">
        <f>IF($E156=X$3,$G156,0)-IF($H156=X$3,$J156,0)</f>
        <v/>
      </c>
      <c r="Y156" s="47">
        <f>IF($E156=Y$3,$G156,0)-IF($H156=Y$3,$J156,0)</f>
        <v/>
      </c>
      <c r="Z156" s="47">
        <f>IF($E156=Z$3,$G156,0)-IF($H156=Z$3,$J156,0)</f>
        <v/>
      </c>
      <c r="AA156" s="47">
        <f>IF($E156=AA$3,$G156,0)-IF($H156=AA$3,$J156,0)</f>
        <v/>
      </c>
      <c r="AB156" s="47">
        <f>IF($E156=AB$3,$G156,0)-IF($H156=AB$3,$J156,0)</f>
        <v/>
      </c>
      <c r="AC156" s="47">
        <f>IF($E156=AC$3,$G156,0)-IF($H156=AC$3,$J156,0)</f>
        <v/>
      </c>
      <c r="AD156" s="47">
        <f>IF($E156=AD$3,$G156,0)-IF($H156=AD$3,$J156,0)</f>
        <v/>
      </c>
      <c r="AE156" s="47">
        <f>IF($E156=AE$3,$G156,0)-IF($H156=AE$3,$J156,0)</f>
        <v/>
      </c>
      <c r="AF156" s="47">
        <f>IF($E156=AF$3,$G156,0)-IF($H156=AF$3,$J156,0)</f>
        <v/>
      </c>
      <c r="AG156" s="47">
        <f>IF($E156=AG$3,$G156,0)-IF($H156=AG$3,$J156,0)</f>
        <v/>
      </c>
      <c r="AH156" s="47">
        <f>IF($E156=AH$3,$G156,0)-IF($H156=AH$3,$J156,0)</f>
        <v/>
      </c>
      <c r="AI156" s="47">
        <f>IF($E156=AI$3,$G156,0)-IF($H156=AI$3,$J156,0)</f>
        <v/>
      </c>
      <c r="AJ156" s="47">
        <f>IF($E156=AJ$3,$G156,0)-IF($H156=AJ$3,$J156,0)</f>
        <v/>
      </c>
      <c r="AK156" s="47">
        <f>IF($E156=AK$3,$G156,0)-IF($H156=AK$3,$J156,0)</f>
        <v/>
      </c>
      <c r="AL156" s="48">
        <f>IF($E156=AL$3,$G156,0)-IF($H156=AL$3,$J156,0)</f>
        <v/>
      </c>
      <c r="AM156" s="46">
        <f>-IF($E156=AM$3,$G156,0)+IF($H156=AM$3,$J156,0)</f>
        <v/>
      </c>
      <c r="AN156" s="47">
        <f>-IF($E156=AN$3,$G156,0)+IF($H156=AN$3,$J156,0)</f>
        <v/>
      </c>
      <c r="AO156" s="48">
        <f>-IF($E156=AO$3,$G156,0)+IF($H156=AO$3,$J156,0)</f>
        <v/>
      </c>
      <c r="AP156" s="46">
        <f>IF($E156=AP$3,$G156,0)-IF($H156=AP$3,$J156,0)</f>
        <v/>
      </c>
      <c r="AQ156" s="47">
        <f>IF($E156=AQ$3,$G156,0)-IF($H156=AQ$3,$J156,0)</f>
        <v/>
      </c>
      <c r="AR156" s="47">
        <f>IF($E156=AR$3,$G156,0)-IF($H156=AR$3,$J156,0)</f>
        <v/>
      </c>
      <c r="AS156" s="47">
        <f>IF($E156=AS$3,$G156,0)-IF($H156=AS$3,$J156,0)</f>
        <v/>
      </c>
      <c r="AT156" s="47">
        <f>IF($E156=AT$3,$G156,0)-IF($H156=AT$3,$J156,0)</f>
        <v/>
      </c>
      <c r="AU156" s="47">
        <f>IF($E156=AU$3,$G156,0)-IF($H156=AU$3,$J156,0)</f>
        <v/>
      </c>
      <c r="AV156" s="47">
        <f>IF($E156=AV$3,$G156,0)-IF($H156=AV$3,$J156,0)</f>
        <v/>
      </c>
      <c r="AW156" s="47">
        <f>IF($E156=AW$3,$G156,0)-IF($H156=AW$3,$J156,0)</f>
        <v/>
      </c>
      <c r="AX156" s="47">
        <f>IF($E156=AX$3,$G156,0)-IF($H156=AX$3,$J156,0)</f>
        <v/>
      </c>
      <c r="AY156" s="47">
        <f>IF($E156=AY$3,$G156,0)-IF($H156=AY$3,$J156,0)</f>
        <v/>
      </c>
      <c r="AZ156" s="47">
        <f>IF($E156=AZ$3,$G156,0)-IF($H156=AZ$3,$J156,0)</f>
        <v/>
      </c>
      <c r="BA156" s="47">
        <f>IF($E156=BA$3,$G156,0)-IF($H156=BA$3,$J156,0)</f>
        <v/>
      </c>
      <c r="BB156" s="47">
        <f>IF($E156=BB$3,$G156,0)-IF($H156=BB$3,$J156,0)</f>
        <v/>
      </c>
      <c r="BC156" s="47">
        <f>IF($E156=BC$3,$G156,0)-IF($H156=BC$3,$J156,0)</f>
        <v/>
      </c>
      <c r="BD156" s="47">
        <f>IF($E156=BD$3,$G156,0)-IF($H156=BD$3,$J156,0)</f>
        <v/>
      </c>
      <c r="BE156" s="47">
        <f>IF($E156=BE$3,$G156,0)-IF($H156=BE$3,$J156,0)</f>
        <v/>
      </c>
      <c r="BF156" s="47">
        <f>IF($E156=BF$3,$G156,0)-IF($H156=BF$3,$J156,0)</f>
        <v/>
      </c>
      <c r="BG156" s="47">
        <f>IF($E156=BG$3,$G156,0)-IF($H156=BG$3,$J156,0)</f>
        <v/>
      </c>
      <c r="BH156" s="47">
        <f>IF($E156=BH$3,$G156,0)-IF($H156=BH$3,$J156,0)</f>
        <v/>
      </c>
      <c r="BI156" s="47">
        <f>IF($E156=BI$3,$G156,0)-IF($H156=BI$3,$J156,0)</f>
        <v/>
      </c>
      <c r="BJ156" s="47">
        <f>IF($E156=BJ$3,$G156,0)-IF($H156=BJ$3,$J156,0)</f>
        <v/>
      </c>
      <c r="BK156" s="47">
        <f>IF($E156=BK$3,$G156,0)-IF($H156=BK$3,$J156,0)</f>
        <v/>
      </c>
      <c r="BL156" s="46">
        <f>-IF($E156=BL$3,$G156,0)+IF($H156=BL$3,$J156,0)</f>
        <v/>
      </c>
      <c r="BM156" s="47">
        <f>-IF($E156=BM$3,$G156,0)+IF($H156=BM$3,$J156,0)</f>
        <v/>
      </c>
      <c r="BN156" s="47">
        <f>-IF($E156=BN$3,$G156,0)+IF($H156=BN$3,$J156,0)</f>
        <v/>
      </c>
      <c r="BO156" s="47">
        <f>-IF($E156=BO$3,$G156,0)+IF($H156=BO$3,$J156,0)</f>
        <v/>
      </c>
      <c r="BP156" s="47">
        <f>-IF($E156=BP$3,$G156,0)+IF($H156=BP$3,$J156,0)</f>
        <v/>
      </c>
      <c r="BQ156" s="47">
        <f>-IF($E156=BQ$3,$G156,0)+IF($H156=BQ$3,$J156,0)</f>
        <v/>
      </c>
      <c r="BR156" s="47">
        <f>-IF($E156=BR$3,$G156,0)+IF($H156=BR$3,$J156,0)</f>
        <v/>
      </c>
      <c r="BS156" s="47">
        <f>-IF($E156=BS$3,$G156,0)+IF($H156=BS$3,$J156,0)</f>
        <v/>
      </c>
      <c r="BT156" s="47">
        <f>-IF($E156=BT$3,$G156,0)+IF($H156=BT$3,$J156,0)</f>
        <v/>
      </c>
      <c r="BU156" s="46">
        <f>+G156-J156</f>
        <v/>
      </c>
      <c r="BV156" s="48">
        <f>-IF($E156=BV$3,$G156,0)+IF($H156=BV$3,$J156,0)</f>
        <v/>
      </c>
      <c r="BW156" s="3" t="n"/>
    </row>
    <row r="157" ht="15.75" customHeight="1" s="214">
      <c r="A157" s="7" t="n"/>
      <c r="B157" s="8" t="n"/>
      <c r="C157" s="9" t="n"/>
      <c r="D157" s="10" t="n"/>
      <c r="E157" s="247" t="n"/>
      <c r="F157" s="11">
        <f>IF(E157="","",IF(ISNA(VLOOKUP(E157,科目コード表!$C$4:$D$67,2,FALSE)),"該当科目なし",VLOOKUP(E157,科目コード表!$C$4:$D$67,2,FALSE)))</f>
        <v/>
      </c>
      <c r="G157" s="38" t="n"/>
      <c r="H157" s="248" t="n"/>
      <c r="I157" s="11">
        <f>IF(H157="","",IF(ISNA(VLOOKUP(H157,科目コード表!$C$4:$D$67,2,FALSE)),"該当科目なし",VLOOKUP(H157,科目コード表!$C$4:$D$67,2,FALSE)))</f>
        <v/>
      </c>
      <c r="J157" s="40" t="n"/>
      <c r="L157" s="46">
        <f>IF($E157=L$3,$G157,0)-IF($H157=L$3,$J157,0)</f>
        <v/>
      </c>
      <c r="M157" s="47">
        <f>IF($E157=M$3,$G157,0)-IF($H157=M$3,$J157,0)</f>
        <v/>
      </c>
      <c r="N157" s="47">
        <f>IF($E157=N$3,$G157,0)-IF($H157=N$3,$J157,0)</f>
        <v/>
      </c>
      <c r="O157" s="47">
        <f>IF($E157=O$3,$G157,0)-IF($H157=O$3,$J157,0)</f>
        <v/>
      </c>
      <c r="P157" s="47">
        <f>IF($E157=P$3,$G157,0)-IF($H157=P$3,$J157,0)</f>
        <v/>
      </c>
      <c r="Q157" s="47">
        <f>IF($E157=Q$3,$G157,0)-IF($H157=Q$3,$J157,0)</f>
        <v/>
      </c>
      <c r="R157" s="47">
        <f>IF($E157=R$3,$G157,0)-IF($H157=R$3,$J157,0)</f>
        <v/>
      </c>
      <c r="S157" s="47">
        <f>IF($E157=S$3,$G157,0)-IF($H157=S$3,$J157,0)</f>
        <v/>
      </c>
      <c r="T157" s="47">
        <f>IF($E157=T$3,$G157,0)-IF($H157=T$3,$J157,0)</f>
        <v/>
      </c>
      <c r="U157" s="47">
        <f>IF($E157=U$3,$G157,0)-IF($H157=U$3,$J157,0)</f>
        <v/>
      </c>
      <c r="V157" s="47">
        <f>IF($E157=V$3,$G157,0)-IF($H157=V$3,$J157,0)</f>
        <v/>
      </c>
      <c r="W157" s="47">
        <f>IF($E157=W$3,$G157,0)-IF($H157=W$3,$J157,0)</f>
        <v/>
      </c>
      <c r="X157" s="47">
        <f>IF($E157=X$3,$G157,0)-IF($H157=X$3,$J157,0)</f>
        <v/>
      </c>
      <c r="Y157" s="47">
        <f>IF($E157=Y$3,$G157,0)-IF($H157=Y$3,$J157,0)</f>
        <v/>
      </c>
      <c r="Z157" s="47">
        <f>IF($E157=Z$3,$G157,0)-IF($H157=Z$3,$J157,0)</f>
        <v/>
      </c>
      <c r="AA157" s="47">
        <f>IF($E157=AA$3,$G157,0)-IF($H157=AA$3,$J157,0)</f>
        <v/>
      </c>
      <c r="AB157" s="47">
        <f>IF($E157=AB$3,$G157,0)-IF($H157=AB$3,$J157,0)</f>
        <v/>
      </c>
      <c r="AC157" s="47">
        <f>IF($E157=AC$3,$G157,0)-IF($H157=AC$3,$J157,0)</f>
        <v/>
      </c>
      <c r="AD157" s="47">
        <f>IF($E157=AD$3,$G157,0)-IF($H157=AD$3,$J157,0)</f>
        <v/>
      </c>
      <c r="AE157" s="47">
        <f>IF($E157=AE$3,$G157,0)-IF($H157=AE$3,$J157,0)</f>
        <v/>
      </c>
      <c r="AF157" s="47">
        <f>IF($E157=AF$3,$G157,0)-IF($H157=AF$3,$J157,0)</f>
        <v/>
      </c>
      <c r="AG157" s="47">
        <f>IF($E157=AG$3,$G157,0)-IF($H157=AG$3,$J157,0)</f>
        <v/>
      </c>
      <c r="AH157" s="47">
        <f>IF($E157=AH$3,$G157,0)-IF($H157=AH$3,$J157,0)</f>
        <v/>
      </c>
      <c r="AI157" s="47">
        <f>IF($E157=AI$3,$G157,0)-IF($H157=AI$3,$J157,0)</f>
        <v/>
      </c>
      <c r="AJ157" s="47">
        <f>IF($E157=AJ$3,$G157,0)-IF($H157=AJ$3,$J157,0)</f>
        <v/>
      </c>
      <c r="AK157" s="47">
        <f>IF($E157=AK$3,$G157,0)-IF($H157=AK$3,$J157,0)</f>
        <v/>
      </c>
      <c r="AL157" s="48">
        <f>IF($E157=AL$3,$G157,0)-IF($H157=AL$3,$J157,0)</f>
        <v/>
      </c>
      <c r="AM157" s="46">
        <f>-IF($E157=AM$3,$G157,0)+IF($H157=AM$3,$J157,0)</f>
        <v/>
      </c>
      <c r="AN157" s="47">
        <f>-IF($E157=AN$3,$G157,0)+IF($H157=AN$3,$J157,0)</f>
        <v/>
      </c>
      <c r="AO157" s="48">
        <f>-IF($E157=AO$3,$G157,0)+IF($H157=AO$3,$J157,0)</f>
        <v/>
      </c>
      <c r="AP157" s="46">
        <f>IF($E157=AP$3,$G157,0)-IF($H157=AP$3,$J157,0)</f>
        <v/>
      </c>
      <c r="AQ157" s="47">
        <f>IF($E157=AQ$3,$G157,0)-IF($H157=AQ$3,$J157,0)</f>
        <v/>
      </c>
      <c r="AR157" s="47">
        <f>IF($E157=AR$3,$G157,0)-IF($H157=AR$3,$J157,0)</f>
        <v/>
      </c>
      <c r="AS157" s="47">
        <f>IF($E157=AS$3,$G157,0)-IF($H157=AS$3,$J157,0)</f>
        <v/>
      </c>
      <c r="AT157" s="47">
        <f>IF($E157=AT$3,$G157,0)-IF($H157=AT$3,$J157,0)</f>
        <v/>
      </c>
      <c r="AU157" s="47">
        <f>IF($E157=AU$3,$G157,0)-IF($H157=AU$3,$J157,0)</f>
        <v/>
      </c>
      <c r="AV157" s="47">
        <f>IF($E157=AV$3,$G157,0)-IF($H157=AV$3,$J157,0)</f>
        <v/>
      </c>
      <c r="AW157" s="47">
        <f>IF($E157=AW$3,$G157,0)-IF($H157=AW$3,$J157,0)</f>
        <v/>
      </c>
      <c r="AX157" s="47">
        <f>IF($E157=AX$3,$G157,0)-IF($H157=AX$3,$J157,0)</f>
        <v/>
      </c>
      <c r="AY157" s="47">
        <f>IF($E157=AY$3,$G157,0)-IF($H157=AY$3,$J157,0)</f>
        <v/>
      </c>
      <c r="AZ157" s="47">
        <f>IF($E157=AZ$3,$G157,0)-IF($H157=AZ$3,$J157,0)</f>
        <v/>
      </c>
      <c r="BA157" s="47">
        <f>IF($E157=BA$3,$G157,0)-IF($H157=BA$3,$J157,0)</f>
        <v/>
      </c>
      <c r="BB157" s="47">
        <f>IF($E157=BB$3,$G157,0)-IF($H157=BB$3,$J157,0)</f>
        <v/>
      </c>
      <c r="BC157" s="47">
        <f>IF($E157=BC$3,$G157,0)-IF($H157=BC$3,$J157,0)</f>
        <v/>
      </c>
      <c r="BD157" s="47">
        <f>IF($E157=BD$3,$G157,0)-IF($H157=BD$3,$J157,0)</f>
        <v/>
      </c>
      <c r="BE157" s="47">
        <f>IF($E157=BE$3,$G157,0)-IF($H157=BE$3,$J157,0)</f>
        <v/>
      </c>
      <c r="BF157" s="47">
        <f>IF($E157=BF$3,$G157,0)-IF($H157=BF$3,$J157,0)</f>
        <v/>
      </c>
      <c r="BG157" s="47">
        <f>IF($E157=BG$3,$G157,0)-IF($H157=BG$3,$J157,0)</f>
        <v/>
      </c>
      <c r="BH157" s="47">
        <f>IF($E157=BH$3,$G157,0)-IF($H157=BH$3,$J157,0)</f>
        <v/>
      </c>
      <c r="BI157" s="47">
        <f>IF($E157=BI$3,$G157,0)-IF($H157=BI$3,$J157,0)</f>
        <v/>
      </c>
      <c r="BJ157" s="47">
        <f>IF($E157=BJ$3,$G157,0)-IF($H157=BJ$3,$J157,0)</f>
        <v/>
      </c>
      <c r="BK157" s="47">
        <f>IF($E157=BK$3,$G157,0)-IF($H157=BK$3,$J157,0)</f>
        <v/>
      </c>
      <c r="BL157" s="46">
        <f>-IF($E157=BL$3,$G157,0)+IF($H157=BL$3,$J157,0)</f>
        <v/>
      </c>
      <c r="BM157" s="47">
        <f>-IF($E157=BM$3,$G157,0)+IF($H157=BM$3,$J157,0)</f>
        <v/>
      </c>
      <c r="BN157" s="47">
        <f>-IF($E157=BN$3,$G157,0)+IF($H157=BN$3,$J157,0)</f>
        <v/>
      </c>
      <c r="BO157" s="47">
        <f>-IF($E157=BO$3,$G157,0)+IF($H157=BO$3,$J157,0)</f>
        <v/>
      </c>
      <c r="BP157" s="47">
        <f>-IF($E157=BP$3,$G157,0)+IF($H157=BP$3,$J157,0)</f>
        <v/>
      </c>
      <c r="BQ157" s="47">
        <f>-IF($E157=BQ$3,$G157,0)+IF($H157=BQ$3,$J157,0)</f>
        <v/>
      </c>
      <c r="BR157" s="47">
        <f>-IF($E157=BR$3,$G157,0)+IF($H157=BR$3,$J157,0)</f>
        <v/>
      </c>
      <c r="BS157" s="47">
        <f>-IF($E157=BS$3,$G157,0)+IF($H157=BS$3,$J157,0)</f>
        <v/>
      </c>
      <c r="BT157" s="47">
        <f>-IF($E157=BT$3,$G157,0)+IF($H157=BT$3,$J157,0)</f>
        <v/>
      </c>
      <c r="BU157" s="46">
        <f>+G157-J157</f>
        <v/>
      </c>
      <c r="BV157" s="48">
        <f>-IF($E157=BV$3,$G157,0)+IF($H157=BV$3,$J157,0)</f>
        <v/>
      </c>
      <c r="BW157" s="3" t="n"/>
    </row>
    <row r="158" ht="15.75" customHeight="1" s="214">
      <c r="A158" s="7" t="n"/>
      <c r="B158" s="8" t="n"/>
      <c r="C158" s="9" t="n"/>
      <c r="D158" s="10" t="n"/>
      <c r="E158" s="247" t="n"/>
      <c r="F158" s="11">
        <f>IF(E158="","",IF(ISNA(VLOOKUP(E158,科目コード表!$C$4:$D$67,2,FALSE)),"該当科目なし",VLOOKUP(E158,科目コード表!$C$4:$D$67,2,FALSE)))</f>
        <v/>
      </c>
      <c r="G158" s="38" t="n"/>
      <c r="H158" s="248" t="n"/>
      <c r="I158" s="11">
        <f>IF(H158="","",IF(ISNA(VLOOKUP(H158,科目コード表!$C$4:$D$67,2,FALSE)),"該当科目なし",VLOOKUP(H158,科目コード表!$C$4:$D$67,2,FALSE)))</f>
        <v/>
      </c>
      <c r="J158" s="40" t="n"/>
      <c r="L158" s="46">
        <f>IF($E158=L$3,$G158,0)-IF($H158=L$3,$J158,0)</f>
        <v/>
      </c>
      <c r="M158" s="47">
        <f>IF($E158=M$3,$G158,0)-IF($H158=M$3,$J158,0)</f>
        <v/>
      </c>
      <c r="N158" s="47">
        <f>IF($E158=N$3,$G158,0)-IF($H158=N$3,$J158,0)</f>
        <v/>
      </c>
      <c r="O158" s="47">
        <f>IF($E158=O$3,$G158,0)-IF($H158=O$3,$J158,0)</f>
        <v/>
      </c>
      <c r="P158" s="47">
        <f>IF($E158=P$3,$G158,0)-IF($H158=P$3,$J158,0)</f>
        <v/>
      </c>
      <c r="Q158" s="47">
        <f>IF($E158=Q$3,$G158,0)-IF($H158=Q$3,$J158,0)</f>
        <v/>
      </c>
      <c r="R158" s="47">
        <f>IF($E158=R$3,$G158,0)-IF($H158=R$3,$J158,0)</f>
        <v/>
      </c>
      <c r="S158" s="47">
        <f>IF($E158=S$3,$G158,0)-IF($H158=S$3,$J158,0)</f>
        <v/>
      </c>
      <c r="T158" s="47">
        <f>IF($E158=T$3,$G158,0)-IF($H158=T$3,$J158,0)</f>
        <v/>
      </c>
      <c r="U158" s="47">
        <f>IF($E158=U$3,$G158,0)-IF($H158=U$3,$J158,0)</f>
        <v/>
      </c>
      <c r="V158" s="47">
        <f>IF($E158=V$3,$G158,0)-IF($H158=V$3,$J158,0)</f>
        <v/>
      </c>
      <c r="W158" s="47">
        <f>IF($E158=W$3,$G158,0)-IF($H158=W$3,$J158,0)</f>
        <v/>
      </c>
      <c r="X158" s="47">
        <f>IF($E158=X$3,$G158,0)-IF($H158=X$3,$J158,0)</f>
        <v/>
      </c>
      <c r="Y158" s="47">
        <f>IF($E158=Y$3,$G158,0)-IF($H158=Y$3,$J158,0)</f>
        <v/>
      </c>
      <c r="Z158" s="47">
        <f>IF($E158=Z$3,$G158,0)-IF($H158=Z$3,$J158,0)</f>
        <v/>
      </c>
      <c r="AA158" s="47">
        <f>IF($E158=AA$3,$G158,0)-IF($H158=AA$3,$J158,0)</f>
        <v/>
      </c>
      <c r="AB158" s="47">
        <f>IF($E158=AB$3,$G158,0)-IF($H158=AB$3,$J158,0)</f>
        <v/>
      </c>
      <c r="AC158" s="47">
        <f>IF($E158=AC$3,$G158,0)-IF($H158=AC$3,$J158,0)</f>
        <v/>
      </c>
      <c r="AD158" s="47">
        <f>IF($E158=AD$3,$G158,0)-IF($H158=AD$3,$J158,0)</f>
        <v/>
      </c>
      <c r="AE158" s="47">
        <f>IF($E158=AE$3,$G158,0)-IF($H158=AE$3,$J158,0)</f>
        <v/>
      </c>
      <c r="AF158" s="47">
        <f>IF($E158=AF$3,$G158,0)-IF($H158=AF$3,$J158,0)</f>
        <v/>
      </c>
      <c r="AG158" s="47">
        <f>IF($E158=AG$3,$G158,0)-IF($H158=AG$3,$J158,0)</f>
        <v/>
      </c>
      <c r="AH158" s="47">
        <f>IF($E158=AH$3,$G158,0)-IF($H158=AH$3,$J158,0)</f>
        <v/>
      </c>
      <c r="AI158" s="47">
        <f>IF($E158=AI$3,$G158,0)-IF($H158=AI$3,$J158,0)</f>
        <v/>
      </c>
      <c r="AJ158" s="47">
        <f>IF($E158=AJ$3,$G158,0)-IF($H158=AJ$3,$J158,0)</f>
        <v/>
      </c>
      <c r="AK158" s="47">
        <f>IF($E158=AK$3,$G158,0)-IF($H158=AK$3,$J158,0)</f>
        <v/>
      </c>
      <c r="AL158" s="48">
        <f>IF($E158=AL$3,$G158,0)-IF($H158=AL$3,$J158,0)</f>
        <v/>
      </c>
      <c r="AM158" s="46">
        <f>-IF($E158=AM$3,$G158,0)+IF($H158=AM$3,$J158,0)</f>
        <v/>
      </c>
      <c r="AN158" s="47">
        <f>-IF($E158=AN$3,$G158,0)+IF($H158=AN$3,$J158,0)</f>
        <v/>
      </c>
      <c r="AO158" s="48">
        <f>-IF($E158=AO$3,$G158,0)+IF($H158=AO$3,$J158,0)</f>
        <v/>
      </c>
      <c r="AP158" s="46">
        <f>IF($E158=AP$3,$G158,0)-IF($H158=AP$3,$J158,0)</f>
        <v/>
      </c>
      <c r="AQ158" s="47">
        <f>IF($E158=AQ$3,$G158,0)-IF($H158=AQ$3,$J158,0)</f>
        <v/>
      </c>
      <c r="AR158" s="47">
        <f>IF($E158=AR$3,$G158,0)-IF($H158=AR$3,$J158,0)</f>
        <v/>
      </c>
      <c r="AS158" s="47">
        <f>IF($E158=AS$3,$G158,0)-IF($H158=AS$3,$J158,0)</f>
        <v/>
      </c>
      <c r="AT158" s="47">
        <f>IF($E158=AT$3,$G158,0)-IF($H158=AT$3,$J158,0)</f>
        <v/>
      </c>
      <c r="AU158" s="47">
        <f>IF($E158=AU$3,$G158,0)-IF($H158=AU$3,$J158,0)</f>
        <v/>
      </c>
      <c r="AV158" s="47">
        <f>IF($E158=AV$3,$G158,0)-IF($H158=AV$3,$J158,0)</f>
        <v/>
      </c>
      <c r="AW158" s="47">
        <f>IF($E158=AW$3,$G158,0)-IF($H158=AW$3,$J158,0)</f>
        <v/>
      </c>
      <c r="AX158" s="47">
        <f>IF($E158=AX$3,$G158,0)-IF($H158=AX$3,$J158,0)</f>
        <v/>
      </c>
      <c r="AY158" s="47">
        <f>IF($E158=AY$3,$G158,0)-IF($H158=AY$3,$J158,0)</f>
        <v/>
      </c>
      <c r="AZ158" s="47">
        <f>IF($E158=AZ$3,$G158,0)-IF($H158=AZ$3,$J158,0)</f>
        <v/>
      </c>
      <c r="BA158" s="47">
        <f>IF($E158=BA$3,$G158,0)-IF($H158=BA$3,$J158,0)</f>
        <v/>
      </c>
      <c r="BB158" s="47">
        <f>IF($E158=BB$3,$G158,0)-IF($H158=BB$3,$J158,0)</f>
        <v/>
      </c>
      <c r="BC158" s="47">
        <f>IF($E158=BC$3,$G158,0)-IF($H158=BC$3,$J158,0)</f>
        <v/>
      </c>
      <c r="BD158" s="47">
        <f>IF($E158=BD$3,$G158,0)-IF($H158=BD$3,$J158,0)</f>
        <v/>
      </c>
      <c r="BE158" s="47">
        <f>IF($E158=BE$3,$G158,0)-IF($H158=BE$3,$J158,0)</f>
        <v/>
      </c>
      <c r="BF158" s="47">
        <f>IF($E158=BF$3,$G158,0)-IF($H158=BF$3,$J158,0)</f>
        <v/>
      </c>
      <c r="BG158" s="47">
        <f>IF($E158=BG$3,$G158,0)-IF($H158=BG$3,$J158,0)</f>
        <v/>
      </c>
      <c r="BH158" s="47">
        <f>IF($E158=BH$3,$G158,0)-IF($H158=BH$3,$J158,0)</f>
        <v/>
      </c>
      <c r="BI158" s="47">
        <f>IF($E158=BI$3,$G158,0)-IF($H158=BI$3,$J158,0)</f>
        <v/>
      </c>
      <c r="BJ158" s="47">
        <f>IF($E158=BJ$3,$G158,0)-IF($H158=BJ$3,$J158,0)</f>
        <v/>
      </c>
      <c r="BK158" s="47">
        <f>IF($E158=BK$3,$G158,0)-IF($H158=BK$3,$J158,0)</f>
        <v/>
      </c>
      <c r="BL158" s="46">
        <f>-IF($E158=BL$3,$G158,0)+IF($H158=BL$3,$J158,0)</f>
        <v/>
      </c>
      <c r="BM158" s="47">
        <f>-IF($E158=BM$3,$G158,0)+IF($H158=BM$3,$J158,0)</f>
        <v/>
      </c>
      <c r="BN158" s="47">
        <f>-IF($E158=BN$3,$G158,0)+IF($H158=BN$3,$J158,0)</f>
        <v/>
      </c>
      <c r="BO158" s="47">
        <f>-IF($E158=BO$3,$G158,0)+IF($H158=BO$3,$J158,0)</f>
        <v/>
      </c>
      <c r="BP158" s="47">
        <f>-IF($E158=BP$3,$G158,0)+IF($H158=BP$3,$J158,0)</f>
        <v/>
      </c>
      <c r="BQ158" s="47">
        <f>-IF($E158=BQ$3,$G158,0)+IF($H158=BQ$3,$J158,0)</f>
        <v/>
      </c>
      <c r="BR158" s="47">
        <f>-IF($E158=BR$3,$G158,0)+IF($H158=BR$3,$J158,0)</f>
        <v/>
      </c>
      <c r="BS158" s="47">
        <f>-IF($E158=BS$3,$G158,0)+IF($H158=BS$3,$J158,0)</f>
        <v/>
      </c>
      <c r="BT158" s="47">
        <f>-IF($E158=BT$3,$G158,0)+IF($H158=BT$3,$J158,0)</f>
        <v/>
      </c>
      <c r="BU158" s="46">
        <f>+G158-J158</f>
        <v/>
      </c>
      <c r="BV158" s="48">
        <f>-IF($E158=BV$3,$G158,0)+IF($H158=BV$3,$J158,0)</f>
        <v/>
      </c>
      <c r="BW158" s="3" t="n"/>
    </row>
    <row r="159" ht="15.75" customHeight="1" s="214">
      <c r="A159" s="7" t="n"/>
      <c r="B159" s="8" t="n"/>
      <c r="C159" s="9" t="n"/>
      <c r="D159" s="10" t="n"/>
      <c r="E159" s="247" t="n"/>
      <c r="F159" s="11">
        <f>IF(E159="","",IF(ISNA(VLOOKUP(E159,科目コード表!$C$4:$D$67,2,FALSE)),"該当科目なし",VLOOKUP(E159,科目コード表!$C$4:$D$67,2,FALSE)))</f>
        <v/>
      </c>
      <c r="G159" s="38" t="n"/>
      <c r="H159" s="248" t="n"/>
      <c r="I159" s="11">
        <f>IF(H159="","",IF(ISNA(VLOOKUP(H159,科目コード表!$C$4:$D$67,2,FALSE)),"該当科目なし",VLOOKUP(H159,科目コード表!$C$4:$D$67,2,FALSE)))</f>
        <v/>
      </c>
      <c r="J159" s="40" t="n"/>
      <c r="L159" s="46">
        <f>IF($E159=L$3,$G159,0)-IF($H159=L$3,$J159,0)</f>
        <v/>
      </c>
      <c r="M159" s="47">
        <f>IF($E159=M$3,$G159,0)-IF($H159=M$3,$J159,0)</f>
        <v/>
      </c>
      <c r="N159" s="47">
        <f>IF($E159=N$3,$G159,0)-IF($H159=N$3,$J159,0)</f>
        <v/>
      </c>
      <c r="O159" s="47">
        <f>IF($E159=O$3,$G159,0)-IF($H159=O$3,$J159,0)</f>
        <v/>
      </c>
      <c r="P159" s="47">
        <f>IF($E159=P$3,$G159,0)-IF($H159=P$3,$J159,0)</f>
        <v/>
      </c>
      <c r="Q159" s="47">
        <f>IF($E159=Q$3,$G159,0)-IF($H159=Q$3,$J159,0)</f>
        <v/>
      </c>
      <c r="R159" s="47">
        <f>IF($E159=R$3,$G159,0)-IF($H159=R$3,$J159,0)</f>
        <v/>
      </c>
      <c r="S159" s="47">
        <f>IF($E159=S$3,$G159,0)-IF($H159=S$3,$J159,0)</f>
        <v/>
      </c>
      <c r="T159" s="47">
        <f>IF($E159=T$3,$G159,0)-IF($H159=T$3,$J159,0)</f>
        <v/>
      </c>
      <c r="U159" s="47">
        <f>IF($E159=U$3,$G159,0)-IF($H159=U$3,$J159,0)</f>
        <v/>
      </c>
      <c r="V159" s="47">
        <f>IF($E159=V$3,$G159,0)-IF($H159=V$3,$J159,0)</f>
        <v/>
      </c>
      <c r="W159" s="47">
        <f>IF($E159=W$3,$G159,0)-IF($H159=W$3,$J159,0)</f>
        <v/>
      </c>
      <c r="X159" s="47">
        <f>IF($E159=X$3,$G159,0)-IF($H159=X$3,$J159,0)</f>
        <v/>
      </c>
      <c r="Y159" s="47">
        <f>IF($E159=Y$3,$G159,0)-IF($H159=Y$3,$J159,0)</f>
        <v/>
      </c>
      <c r="Z159" s="47">
        <f>IF($E159=Z$3,$G159,0)-IF($H159=Z$3,$J159,0)</f>
        <v/>
      </c>
      <c r="AA159" s="47">
        <f>IF($E159=AA$3,$G159,0)-IF($H159=AA$3,$J159,0)</f>
        <v/>
      </c>
      <c r="AB159" s="47">
        <f>IF($E159=AB$3,$G159,0)-IF($H159=AB$3,$J159,0)</f>
        <v/>
      </c>
      <c r="AC159" s="47">
        <f>IF($E159=AC$3,$G159,0)-IF($H159=AC$3,$J159,0)</f>
        <v/>
      </c>
      <c r="AD159" s="47">
        <f>IF($E159=AD$3,$G159,0)-IF($H159=AD$3,$J159,0)</f>
        <v/>
      </c>
      <c r="AE159" s="47">
        <f>IF($E159=AE$3,$G159,0)-IF($H159=AE$3,$J159,0)</f>
        <v/>
      </c>
      <c r="AF159" s="47">
        <f>IF($E159=AF$3,$G159,0)-IF($H159=AF$3,$J159,0)</f>
        <v/>
      </c>
      <c r="AG159" s="47">
        <f>IF($E159=AG$3,$G159,0)-IF($H159=AG$3,$J159,0)</f>
        <v/>
      </c>
      <c r="AH159" s="47">
        <f>IF($E159=AH$3,$G159,0)-IF($H159=AH$3,$J159,0)</f>
        <v/>
      </c>
      <c r="AI159" s="47">
        <f>IF($E159=AI$3,$G159,0)-IF($H159=AI$3,$J159,0)</f>
        <v/>
      </c>
      <c r="AJ159" s="47">
        <f>IF($E159=AJ$3,$G159,0)-IF($H159=AJ$3,$J159,0)</f>
        <v/>
      </c>
      <c r="AK159" s="47">
        <f>IF($E159=AK$3,$G159,0)-IF($H159=AK$3,$J159,0)</f>
        <v/>
      </c>
      <c r="AL159" s="48">
        <f>IF($E159=AL$3,$G159,0)-IF($H159=AL$3,$J159,0)</f>
        <v/>
      </c>
      <c r="AM159" s="46">
        <f>-IF($E159=AM$3,$G159,0)+IF($H159=AM$3,$J159,0)</f>
        <v/>
      </c>
      <c r="AN159" s="47">
        <f>-IF($E159=AN$3,$G159,0)+IF($H159=AN$3,$J159,0)</f>
        <v/>
      </c>
      <c r="AO159" s="48">
        <f>-IF($E159=AO$3,$G159,0)+IF($H159=AO$3,$J159,0)</f>
        <v/>
      </c>
      <c r="AP159" s="46">
        <f>IF($E159=AP$3,$G159,0)-IF($H159=AP$3,$J159,0)</f>
        <v/>
      </c>
      <c r="AQ159" s="47">
        <f>IF($E159=AQ$3,$G159,0)-IF($H159=AQ$3,$J159,0)</f>
        <v/>
      </c>
      <c r="AR159" s="47">
        <f>IF($E159=AR$3,$G159,0)-IF($H159=AR$3,$J159,0)</f>
        <v/>
      </c>
      <c r="AS159" s="47">
        <f>IF($E159=AS$3,$G159,0)-IF($H159=AS$3,$J159,0)</f>
        <v/>
      </c>
      <c r="AT159" s="47">
        <f>IF($E159=AT$3,$G159,0)-IF($H159=AT$3,$J159,0)</f>
        <v/>
      </c>
      <c r="AU159" s="47">
        <f>IF($E159=AU$3,$G159,0)-IF($H159=AU$3,$J159,0)</f>
        <v/>
      </c>
      <c r="AV159" s="47">
        <f>IF($E159=AV$3,$G159,0)-IF($H159=AV$3,$J159,0)</f>
        <v/>
      </c>
      <c r="AW159" s="47">
        <f>IF($E159=AW$3,$G159,0)-IF($H159=AW$3,$J159,0)</f>
        <v/>
      </c>
      <c r="AX159" s="47">
        <f>IF($E159=AX$3,$G159,0)-IF($H159=AX$3,$J159,0)</f>
        <v/>
      </c>
      <c r="AY159" s="47">
        <f>IF($E159=AY$3,$G159,0)-IF($H159=AY$3,$J159,0)</f>
        <v/>
      </c>
      <c r="AZ159" s="47">
        <f>IF($E159=AZ$3,$G159,0)-IF($H159=AZ$3,$J159,0)</f>
        <v/>
      </c>
      <c r="BA159" s="47">
        <f>IF($E159=BA$3,$G159,0)-IF($H159=BA$3,$J159,0)</f>
        <v/>
      </c>
      <c r="BB159" s="47">
        <f>IF($E159=BB$3,$G159,0)-IF($H159=BB$3,$J159,0)</f>
        <v/>
      </c>
      <c r="BC159" s="47">
        <f>IF($E159=BC$3,$G159,0)-IF($H159=BC$3,$J159,0)</f>
        <v/>
      </c>
      <c r="BD159" s="47">
        <f>IF($E159=BD$3,$G159,0)-IF($H159=BD$3,$J159,0)</f>
        <v/>
      </c>
      <c r="BE159" s="47">
        <f>IF($E159=BE$3,$G159,0)-IF($H159=BE$3,$J159,0)</f>
        <v/>
      </c>
      <c r="BF159" s="47">
        <f>IF($E159=BF$3,$G159,0)-IF($H159=BF$3,$J159,0)</f>
        <v/>
      </c>
      <c r="BG159" s="47">
        <f>IF($E159=BG$3,$G159,0)-IF($H159=BG$3,$J159,0)</f>
        <v/>
      </c>
      <c r="BH159" s="47">
        <f>IF($E159=BH$3,$G159,0)-IF($H159=BH$3,$J159,0)</f>
        <v/>
      </c>
      <c r="BI159" s="47">
        <f>IF($E159=BI$3,$G159,0)-IF($H159=BI$3,$J159,0)</f>
        <v/>
      </c>
      <c r="BJ159" s="47">
        <f>IF($E159=BJ$3,$G159,0)-IF($H159=BJ$3,$J159,0)</f>
        <v/>
      </c>
      <c r="BK159" s="47">
        <f>IF($E159=BK$3,$G159,0)-IF($H159=BK$3,$J159,0)</f>
        <v/>
      </c>
      <c r="BL159" s="46">
        <f>-IF($E159=BL$3,$G159,0)+IF($H159=BL$3,$J159,0)</f>
        <v/>
      </c>
      <c r="BM159" s="47">
        <f>-IF($E159=BM$3,$G159,0)+IF($H159=BM$3,$J159,0)</f>
        <v/>
      </c>
      <c r="BN159" s="47">
        <f>-IF($E159=BN$3,$G159,0)+IF($H159=BN$3,$J159,0)</f>
        <v/>
      </c>
      <c r="BO159" s="47">
        <f>-IF($E159=BO$3,$G159,0)+IF($H159=BO$3,$J159,0)</f>
        <v/>
      </c>
      <c r="BP159" s="47">
        <f>-IF($E159=BP$3,$G159,0)+IF($H159=BP$3,$J159,0)</f>
        <v/>
      </c>
      <c r="BQ159" s="47">
        <f>-IF($E159=BQ$3,$G159,0)+IF($H159=BQ$3,$J159,0)</f>
        <v/>
      </c>
      <c r="BR159" s="47">
        <f>-IF($E159=BR$3,$G159,0)+IF($H159=BR$3,$J159,0)</f>
        <v/>
      </c>
      <c r="BS159" s="47">
        <f>-IF($E159=BS$3,$G159,0)+IF($H159=BS$3,$J159,0)</f>
        <v/>
      </c>
      <c r="BT159" s="47">
        <f>-IF($E159=BT$3,$G159,0)+IF($H159=BT$3,$J159,0)</f>
        <v/>
      </c>
      <c r="BU159" s="46">
        <f>+G159-J159</f>
        <v/>
      </c>
      <c r="BV159" s="48">
        <f>-IF($E159=BV$3,$G159,0)+IF($H159=BV$3,$J159,0)</f>
        <v/>
      </c>
      <c r="BW159" s="3" t="n"/>
    </row>
    <row r="160" ht="15.75" customHeight="1" s="214">
      <c r="A160" s="7" t="n"/>
      <c r="B160" s="8" t="n"/>
      <c r="C160" s="9" t="n"/>
      <c r="D160" s="10" t="n"/>
      <c r="E160" s="247" t="n"/>
      <c r="F160" s="11">
        <f>IF(E160="","",IF(ISNA(VLOOKUP(E160,科目コード表!$C$4:$D$67,2,FALSE)),"該当科目なし",VLOOKUP(E160,科目コード表!$C$4:$D$67,2,FALSE)))</f>
        <v/>
      </c>
      <c r="G160" s="38" t="n"/>
      <c r="H160" s="248" t="n"/>
      <c r="I160" s="11">
        <f>IF(H160="","",IF(ISNA(VLOOKUP(H160,科目コード表!$C$4:$D$67,2,FALSE)),"該当科目なし",VLOOKUP(H160,科目コード表!$C$4:$D$67,2,FALSE)))</f>
        <v/>
      </c>
      <c r="J160" s="40" t="n"/>
      <c r="L160" s="46">
        <f>IF($E160=L$3,$G160,0)-IF($H160=L$3,$J160,0)</f>
        <v/>
      </c>
      <c r="M160" s="47">
        <f>IF($E160=M$3,$G160,0)-IF($H160=M$3,$J160,0)</f>
        <v/>
      </c>
      <c r="N160" s="47">
        <f>IF($E160=N$3,$G160,0)-IF($H160=N$3,$J160,0)</f>
        <v/>
      </c>
      <c r="O160" s="47">
        <f>IF($E160=O$3,$G160,0)-IF($H160=O$3,$J160,0)</f>
        <v/>
      </c>
      <c r="P160" s="47">
        <f>IF($E160=P$3,$G160,0)-IF($H160=P$3,$J160,0)</f>
        <v/>
      </c>
      <c r="Q160" s="47">
        <f>IF($E160=Q$3,$G160,0)-IF($H160=Q$3,$J160,0)</f>
        <v/>
      </c>
      <c r="R160" s="47">
        <f>IF($E160=R$3,$G160,0)-IF($H160=R$3,$J160,0)</f>
        <v/>
      </c>
      <c r="S160" s="47">
        <f>IF($E160=S$3,$G160,0)-IF($H160=S$3,$J160,0)</f>
        <v/>
      </c>
      <c r="T160" s="47">
        <f>IF($E160=T$3,$G160,0)-IF($H160=T$3,$J160,0)</f>
        <v/>
      </c>
      <c r="U160" s="47">
        <f>IF($E160=U$3,$G160,0)-IF($H160=U$3,$J160,0)</f>
        <v/>
      </c>
      <c r="V160" s="47">
        <f>IF($E160=V$3,$G160,0)-IF($H160=V$3,$J160,0)</f>
        <v/>
      </c>
      <c r="W160" s="47">
        <f>IF($E160=W$3,$G160,0)-IF($H160=W$3,$J160,0)</f>
        <v/>
      </c>
      <c r="X160" s="47">
        <f>IF($E160=X$3,$G160,0)-IF($H160=X$3,$J160,0)</f>
        <v/>
      </c>
      <c r="Y160" s="47">
        <f>IF($E160=Y$3,$G160,0)-IF($H160=Y$3,$J160,0)</f>
        <v/>
      </c>
      <c r="Z160" s="47">
        <f>IF($E160=Z$3,$G160,0)-IF($H160=Z$3,$J160,0)</f>
        <v/>
      </c>
      <c r="AA160" s="47">
        <f>IF($E160=AA$3,$G160,0)-IF($H160=AA$3,$J160,0)</f>
        <v/>
      </c>
      <c r="AB160" s="47">
        <f>IF($E160=AB$3,$G160,0)-IF($H160=AB$3,$J160,0)</f>
        <v/>
      </c>
      <c r="AC160" s="47">
        <f>IF($E160=AC$3,$G160,0)-IF($H160=AC$3,$J160,0)</f>
        <v/>
      </c>
      <c r="AD160" s="47">
        <f>IF($E160=AD$3,$G160,0)-IF($H160=AD$3,$J160,0)</f>
        <v/>
      </c>
      <c r="AE160" s="47">
        <f>IF($E160=AE$3,$G160,0)-IF($H160=AE$3,$J160,0)</f>
        <v/>
      </c>
      <c r="AF160" s="47">
        <f>IF($E160=AF$3,$G160,0)-IF($H160=AF$3,$J160,0)</f>
        <v/>
      </c>
      <c r="AG160" s="47">
        <f>IF($E160=AG$3,$G160,0)-IF($H160=AG$3,$J160,0)</f>
        <v/>
      </c>
      <c r="AH160" s="47">
        <f>IF($E160=AH$3,$G160,0)-IF($H160=AH$3,$J160,0)</f>
        <v/>
      </c>
      <c r="AI160" s="47">
        <f>IF($E160=AI$3,$G160,0)-IF($H160=AI$3,$J160,0)</f>
        <v/>
      </c>
      <c r="AJ160" s="47">
        <f>IF($E160=AJ$3,$G160,0)-IF($H160=AJ$3,$J160,0)</f>
        <v/>
      </c>
      <c r="AK160" s="47">
        <f>IF($E160=AK$3,$G160,0)-IF($H160=AK$3,$J160,0)</f>
        <v/>
      </c>
      <c r="AL160" s="48">
        <f>IF($E160=AL$3,$G160,0)-IF($H160=AL$3,$J160,0)</f>
        <v/>
      </c>
      <c r="AM160" s="46">
        <f>-IF($E160=AM$3,$G160,0)+IF($H160=AM$3,$J160,0)</f>
        <v/>
      </c>
      <c r="AN160" s="47">
        <f>-IF($E160=AN$3,$G160,0)+IF($H160=AN$3,$J160,0)</f>
        <v/>
      </c>
      <c r="AO160" s="48">
        <f>-IF($E160=AO$3,$G160,0)+IF($H160=AO$3,$J160,0)</f>
        <v/>
      </c>
      <c r="AP160" s="46">
        <f>IF($E160=AP$3,$G160,0)-IF($H160=AP$3,$J160,0)</f>
        <v/>
      </c>
      <c r="AQ160" s="47">
        <f>IF($E160=AQ$3,$G160,0)-IF($H160=AQ$3,$J160,0)</f>
        <v/>
      </c>
      <c r="AR160" s="47">
        <f>IF($E160=AR$3,$G160,0)-IF($H160=AR$3,$J160,0)</f>
        <v/>
      </c>
      <c r="AS160" s="47">
        <f>IF($E160=AS$3,$G160,0)-IF($H160=AS$3,$J160,0)</f>
        <v/>
      </c>
      <c r="AT160" s="47">
        <f>IF($E160=AT$3,$G160,0)-IF($H160=AT$3,$J160,0)</f>
        <v/>
      </c>
      <c r="AU160" s="47">
        <f>IF($E160=AU$3,$G160,0)-IF($H160=AU$3,$J160,0)</f>
        <v/>
      </c>
      <c r="AV160" s="47">
        <f>IF($E160=AV$3,$G160,0)-IF($H160=AV$3,$J160,0)</f>
        <v/>
      </c>
      <c r="AW160" s="47">
        <f>IF($E160=AW$3,$G160,0)-IF($H160=AW$3,$J160,0)</f>
        <v/>
      </c>
      <c r="AX160" s="47">
        <f>IF($E160=AX$3,$G160,0)-IF($H160=AX$3,$J160,0)</f>
        <v/>
      </c>
      <c r="AY160" s="47">
        <f>IF($E160=AY$3,$G160,0)-IF($H160=AY$3,$J160,0)</f>
        <v/>
      </c>
      <c r="AZ160" s="47">
        <f>IF($E160=AZ$3,$G160,0)-IF($H160=AZ$3,$J160,0)</f>
        <v/>
      </c>
      <c r="BA160" s="47">
        <f>IF($E160=BA$3,$G160,0)-IF($H160=BA$3,$J160,0)</f>
        <v/>
      </c>
      <c r="BB160" s="47">
        <f>IF($E160=BB$3,$G160,0)-IF($H160=BB$3,$J160,0)</f>
        <v/>
      </c>
      <c r="BC160" s="47">
        <f>IF($E160=BC$3,$G160,0)-IF($H160=BC$3,$J160,0)</f>
        <v/>
      </c>
      <c r="BD160" s="47">
        <f>IF($E160=BD$3,$G160,0)-IF($H160=BD$3,$J160,0)</f>
        <v/>
      </c>
      <c r="BE160" s="47">
        <f>IF($E160=BE$3,$G160,0)-IF($H160=BE$3,$J160,0)</f>
        <v/>
      </c>
      <c r="BF160" s="47">
        <f>IF($E160=BF$3,$G160,0)-IF($H160=BF$3,$J160,0)</f>
        <v/>
      </c>
      <c r="BG160" s="47">
        <f>IF($E160=BG$3,$G160,0)-IF($H160=BG$3,$J160,0)</f>
        <v/>
      </c>
      <c r="BH160" s="47">
        <f>IF($E160=BH$3,$G160,0)-IF($H160=BH$3,$J160,0)</f>
        <v/>
      </c>
      <c r="BI160" s="47">
        <f>IF($E160=BI$3,$G160,0)-IF($H160=BI$3,$J160,0)</f>
        <v/>
      </c>
      <c r="BJ160" s="47">
        <f>IF($E160=BJ$3,$G160,0)-IF($H160=BJ$3,$J160,0)</f>
        <v/>
      </c>
      <c r="BK160" s="47">
        <f>IF($E160=BK$3,$G160,0)-IF($H160=BK$3,$J160,0)</f>
        <v/>
      </c>
      <c r="BL160" s="46">
        <f>-IF($E160=BL$3,$G160,0)+IF($H160=BL$3,$J160,0)</f>
        <v/>
      </c>
      <c r="BM160" s="47">
        <f>-IF($E160=BM$3,$G160,0)+IF($H160=BM$3,$J160,0)</f>
        <v/>
      </c>
      <c r="BN160" s="47">
        <f>-IF($E160=BN$3,$G160,0)+IF($H160=BN$3,$J160,0)</f>
        <v/>
      </c>
      <c r="BO160" s="47">
        <f>-IF($E160=BO$3,$G160,0)+IF($H160=BO$3,$J160,0)</f>
        <v/>
      </c>
      <c r="BP160" s="47">
        <f>-IF($E160=BP$3,$G160,0)+IF($H160=BP$3,$J160,0)</f>
        <v/>
      </c>
      <c r="BQ160" s="47">
        <f>-IF($E160=BQ$3,$G160,0)+IF($H160=BQ$3,$J160,0)</f>
        <v/>
      </c>
      <c r="BR160" s="47">
        <f>-IF($E160=BR$3,$G160,0)+IF($H160=BR$3,$J160,0)</f>
        <v/>
      </c>
      <c r="BS160" s="47">
        <f>-IF($E160=BS$3,$G160,0)+IF($H160=BS$3,$J160,0)</f>
        <v/>
      </c>
      <c r="BT160" s="47">
        <f>-IF($E160=BT$3,$G160,0)+IF($H160=BT$3,$J160,0)</f>
        <v/>
      </c>
      <c r="BU160" s="46">
        <f>+G160-J160</f>
        <v/>
      </c>
      <c r="BV160" s="48">
        <f>-IF($E160=BV$3,$G160,0)+IF($H160=BV$3,$J160,0)</f>
        <v/>
      </c>
      <c r="BW160" s="3" t="n"/>
    </row>
    <row r="161" ht="15.75" customHeight="1" s="214">
      <c r="A161" s="7" t="n"/>
      <c r="B161" s="8" t="n"/>
      <c r="C161" s="9" t="n"/>
      <c r="D161" s="10" t="n"/>
      <c r="E161" s="247" t="n"/>
      <c r="F161" s="11">
        <f>IF(E161="","",IF(ISNA(VLOOKUP(E161,科目コード表!$C$4:$D$67,2,FALSE)),"該当科目なし",VLOOKUP(E161,科目コード表!$C$4:$D$67,2,FALSE)))</f>
        <v/>
      </c>
      <c r="G161" s="38" t="n"/>
      <c r="H161" s="248" t="n"/>
      <c r="I161" s="11">
        <f>IF(H161="","",IF(ISNA(VLOOKUP(H161,科目コード表!$C$4:$D$67,2,FALSE)),"該当科目なし",VLOOKUP(H161,科目コード表!$C$4:$D$67,2,FALSE)))</f>
        <v/>
      </c>
      <c r="J161" s="40" t="n"/>
      <c r="L161" s="46">
        <f>IF($E161=L$3,$G161,0)-IF($H161=L$3,$J161,0)</f>
        <v/>
      </c>
      <c r="M161" s="47">
        <f>IF($E161=M$3,$G161,0)-IF($H161=M$3,$J161,0)</f>
        <v/>
      </c>
      <c r="N161" s="47">
        <f>IF($E161=N$3,$G161,0)-IF($H161=N$3,$J161,0)</f>
        <v/>
      </c>
      <c r="O161" s="47">
        <f>IF($E161=O$3,$G161,0)-IF($H161=O$3,$J161,0)</f>
        <v/>
      </c>
      <c r="P161" s="47">
        <f>IF($E161=P$3,$G161,0)-IF($H161=P$3,$J161,0)</f>
        <v/>
      </c>
      <c r="Q161" s="47">
        <f>IF($E161=Q$3,$G161,0)-IF($H161=Q$3,$J161,0)</f>
        <v/>
      </c>
      <c r="R161" s="47">
        <f>IF($E161=R$3,$G161,0)-IF($H161=R$3,$J161,0)</f>
        <v/>
      </c>
      <c r="S161" s="47">
        <f>IF($E161=S$3,$G161,0)-IF($H161=S$3,$J161,0)</f>
        <v/>
      </c>
      <c r="T161" s="47">
        <f>IF($E161=T$3,$G161,0)-IF($H161=T$3,$J161,0)</f>
        <v/>
      </c>
      <c r="U161" s="47">
        <f>IF($E161=U$3,$G161,0)-IF($H161=U$3,$J161,0)</f>
        <v/>
      </c>
      <c r="V161" s="47">
        <f>IF($E161=V$3,$G161,0)-IF($H161=V$3,$J161,0)</f>
        <v/>
      </c>
      <c r="W161" s="47">
        <f>IF($E161=W$3,$G161,0)-IF($H161=W$3,$J161,0)</f>
        <v/>
      </c>
      <c r="X161" s="47">
        <f>IF($E161=X$3,$G161,0)-IF($H161=X$3,$J161,0)</f>
        <v/>
      </c>
      <c r="Y161" s="47">
        <f>IF($E161=Y$3,$G161,0)-IF($H161=Y$3,$J161,0)</f>
        <v/>
      </c>
      <c r="Z161" s="47">
        <f>IF($E161=Z$3,$G161,0)-IF($H161=Z$3,$J161,0)</f>
        <v/>
      </c>
      <c r="AA161" s="47">
        <f>IF($E161=AA$3,$G161,0)-IF($H161=AA$3,$J161,0)</f>
        <v/>
      </c>
      <c r="AB161" s="47">
        <f>IF($E161=AB$3,$G161,0)-IF($H161=AB$3,$J161,0)</f>
        <v/>
      </c>
      <c r="AC161" s="47">
        <f>IF($E161=AC$3,$G161,0)-IF($H161=AC$3,$J161,0)</f>
        <v/>
      </c>
      <c r="AD161" s="47">
        <f>IF($E161=AD$3,$G161,0)-IF($H161=AD$3,$J161,0)</f>
        <v/>
      </c>
      <c r="AE161" s="47">
        <f>IF($E161=AE$3,$G161,0)-IF($H161=AE$3,$J161,0)</f>
        <v/>
      </c>
      <c r="AF161" s="47">
        <f>IF($E161=AF$3,$G161,0)-IF($H161=AF$3,$J161,0)</f>
        <v/>
      </c>
      <c r="AG161" s="47">
        <f>IF($E161=AG$3,$G161,0)-IF($H161=AG$3,$J161,0)</f>
        <v/>
      </c>
      <c r="AH161" s="47">
        <f>IF($E161=AH$3,$G161,0)-IF($H161=AH$3,$J161,0)</f>
        <v/>
      </c>
      <c r="AI161" s="47">
        <f>IF($E161=AI$3,$G161,0)-IF($H161=AI$3,$J161,0)</f>
        <v/>
      </c>
      <c r="AJ161" s="47">
        <f>IF($E161=AJ$3,$G161,0)-IF($H161=AJ$3,$J161,0)</f>
        <v/>
      </c>
      <c r="AK161" s="47">
        <f>IF($E161=AK$3,$G161,0)-IF($H161=AK$3,$J161,0)</f>
        <v/>
      </c>
      <c r="AL161" s="48">
        <f>IF($E161=AL$3,$G161,0)-IF($H161=AL$3,$J161,0)</f>
        <v/>
      </c>
      <c r="AM161" s="46">
        <f>-IF($E161=AM$3,$G161,0)+IF($H161=AM$3,$J161,0)</f>
        <v/>
      </c>
      <c r="AN161" s="47">
        <f>-IF($E161=AN$3,$G161,0)+IF($H161=AN$3,$J161,0)</f>
        <v/>
      </c>
      <c r="AO161" s="48">
        <f>-IF($E161=AO$3,$G161,0)+IF($H161=AO$3,$J161,0)</f>
        <v/>
      </c>
      <c r="AP161" s="46">
        <f>IF($E161=AP$3,$G161,0)-IF($H161=AP$3,$J161,0)</f>
        <v/>
      </c>
      <c r="AQ161" s="47">
        <f>IF($E161=AQ$3,$G161,0)-IF($H161=AQ$3,$J161,0)</f>
        <v/>
      </c>
      <c r="AR161" s="47">
        <f>IF($E161=AR$3,$G161,0)-IF($H161=AR$3,$J161,0)</f>
        <v/>
      </c>
      <c r="AS161" s="47">
        <f>IF($E161=AS$3,$G161,0)-IF($H161=AS$3,$J161,0)</f>
        <v/>
      </c>
      <c r="AT161" s="47">
        <f>IF($E161=AT$3,$G161,0)-IF($H161=AT$3,$J161,0)</f>
        <v/>
      </c>
      <c r="AU161" s="47">
        <f>IF($E161=AU$3,$G161,0)-IF($H161=AU$3,$J161,0)</f>
        <v/>
      </c>
      <c r="AV161" s="47">
        <f>IF($E161=AV$3,$G161,0)-IF($H161=AV$3,$J161,0)</f>
        <v/>
      </c>
      <c r="AW161" s="47">
        <f>IF($E161=AW$3,$G161,0)-IF($H161=AW$3,$J161,0)</f>
        <v/>
      </c>
      <c r="AX161" s="47">
        <f>IF($E161=AX$3,$G161,0)-IF($H161=AX$3,$J161,0)</f>
        <v/>
      </c>
      <c r="AY161" s="47">
        <f>IF($E161=AY$3,$G161,0)-IF($H161=AY$3,$J161,0)</f>
        <v/>
      </c>
      <c r="AZ161" s="47">
        <f>IF($E161=AZ$3,$G161,0)-IF($H161=AZ$3,$J161,0)</f>
        <v/>
      </c>
      <c r="BA161" s="47">
        <f>IF($E161=BA$3,$G161,0)-IF($H161=BA$3,$J161,0)</f>
        <v/>
      </c>
      <c r="BB161" s="47">
        <f>IF($E161=BB$3,$G161,0)-IF($H161=BB$3,$J161,0)</f>
        <v/>
      </c>
      <c r="BC161" s="47">
        <f>IF($E161=BC$3,$G161,0)-IF($H161=BC$3,$J161,0)</f>
        <v/>
      </c>
      <c r="BD161" s="47">
        <f>IF($E161=BD$3,$G161,0)-IF($H161=BD$3,$J161,0)</f>
        <v/>
      </c>
      <c r="BE161" s="47">
        <f>IF($E161=BE$3,$G161,0)-IF($H161=BE$3,$J161,0)</f>
        <v/>
      </c>
      <c r="BF161" s="47">
        <f>IF($E161=BF$3,$G161,0)-IF($H161=BF$3,$J161,0)</f>
        <v/>
      </c>
      <c r="BG161" s="47">
        <f>IF($E161=BG$3,$G161,0)-IF($H161=BG$3,$J161,0)</f>
        <v/>
      </c>
      <c r="BH161" s="47">
        <f>IF($E161=BH$3,$G161,0)-IF($H161=BH$3,$J161,0)</f>
        <v/>
      </c>
      <c r="BI161" s="47">
        <f>IF($E161=BI$3,$G161,0)-IF($H161=BI$3,$J161,0)</f>
        <v/>
      </c>
      <c r="BJ161" s="47">
        <f>IF($E161=BJ$3,$G161,0)-IF($H161=BJ$3,$J161,0)</f>
        <v/>
      </c>
      <c r="BK161" s="47">
        <f>IF($E161=BK$3,$G161,0)-IF($H161=BK$3,$J161,0)</f>
        <v/>
      </c>
      <c r="BL161" s="46">
        <f>-IF($E161=BL$3,$G161,0)+IF($H161=BL$3,$J161,0)</f>
        <v/>
      </c>
      <c r="BM161" s="47">
        <f>-IF($E161=BM$3,$G161,0)+IF($H161=BM$3,$J161,0)</f>
        <v/>
      </c>
      <c r="BN161" s="47">
        <f>-IF($E161=BN$3,$G161,0)+IF($H161=BN$3,$J161,0)</f>
        <v/>
      </c>
      <c r="BO161" s="47">
        <f>-IF($E161=BO$3,$G161,0)+IF($H161=BO$3,$J161,0)</f>
        <v/>
      </c>
      <c r="BP161" s="47">
        <f>-IF($E161=BP$3,$G161,0)+IF($H161=BP$3,$J161,0)</f>
        <v/>
      </c>
      <c r="BQ161" s="47">
        <f>-IF($E161=BQ$3,$G161,0)+IF($H161=BQ$3,$J161,0)</f>
        <v/>
      </c>
      <c r="BR161" s="47">
        <f>-IF($E161=BR$3,$G161,0)+IF($H161=BR$3,$J161,0)</f>
        <v/>
      </c>
      <c r="BS161" s="47">
        <f>-IF($E161=BS$3,$G161,0)+IF($H161=BS$3,$J161,0)</f>
        <v/>
      </c>
      <c r="BT161" s="47">
        <f>-IF($E161=BT$3,$G161,0)+IF($H161=BT$3,$J161,0)</f>
        <v/>
      </c>
      <c r="BU161" s="46">
        <f>+G161-J161</f>
        <v/>
      </c>
      <c r="BV161" s="48">
        <f>-IF($E161=BV$3,$G161,0)+IF($H161=BV$3,$J161,0)</f>
        <v/>
      </c>
      <c r="BW161" s="3" t="n"/>
    </row>
    <row r="162" ht="15.75" customHeight="1" s="214">
      <c r="A162" s="7" t="n"/>
      <c r="B162" s="8" t="n"/>
      <c r="C162" s="9" t="n"/>
      <c r="D162" s="10" t="n"/>
      <c r="E162" s="247" t="n"/>
      <c r="F162" s="11">
        <f>IF(E162="","",IF(ISNA(VLOOKUP(E162,科目コード表!$C$4:$D$67,2,FALSE)),"該当科目なし",VLOOKUP(E162,科目コード表!$C$4:$D$67,2,FALSE)))</f>
        <v/>
      </c>
      <c r="G162" s="38" t="n"/>
      <c r="H162" s="248" t="n"/>
      <c r="I162" s="11">
        <f>IF(H162="","",IF(ISNA(VLOOKUP(H162,科目コード表!$C$4:$D$67,2,FALSE)),"該当科目なし",VLOOKUP(H162,科目コード表!$C$4:$D$67,2,FALSE)))</f>
        <v/>
      </c>
      <c r="J162" s="40" t="n"/>
      <c r="L162" s="46">
        <f>IF($E162=L$3,$G162,0)-IF($H162=L$3,$J162,0)</f>
        <v/>
      </c>
      <c r="M162" s="47">
        <f>IF($E162=M$3,$G162,0)-IF($H162=M$3,$J162,0)</f>
        <v/>
      </c>
      <c r="N162" s="47">
        <f>IF($E162=N$3,$G162,0)-IF($H162=N$3,$J162,0)</f>
        <v/>
      </c>
      <c r="O162" s="47">
        <f>IF($E162=O$3,$G162,0)-IF($H162=O$3,$J162,0)</f>
        <v/>
      </c>
      <c r="P162" s="47">
        <f>IF($E162=P$3,$G162,0)-IF($H162=P$3,$J162,0)</f>
        <v/>
      </c>
      <c r="Q162" s="47">
        <f>IF($E162=Q$3,$G162,0)-IF($H162=Q$3,$J162,0)</f>
        <v/>
      </c>
      <c r="R162" s="47">
        <f>IF($E162=R$3,$G162,0)-IF($H162=R$3,$J162,0)</f>
        <v/>
      </c>
      <c r="S162" s="47">
        <f>IF($E162=S$3,$G162,0)-IF($H162=S$3,$J162,0)</f>
        <v/>
      </c>
      <c r="T162" s="47">
        <f>IF($E162=T$3,$G162,0)-IF($H162=T$3,$J162,0)</f>
        <v/>
      </c>
      <c r="U162" s="47">
        <f>IF($E162=U$3,$G162,0)-IF($H162=U$3,$J162,0)</f>
        <v/>
      </c>
      <c r="V162" s="47">
        <f>IF($E162=V$3,$G162,0)-IF($H162=V$3,$J162,0)</f>
        <v/>
      </c>
      <c r="W162" s="47">
        <f>IF($E162=W$3,$G162,0)-IF($H162=W$3,$J162,0)</f>
        <v/>
      </c>
      <c r="X162" s="47">
        <f>IF($E162=X$3,$G162,0)-IF($H162=X$3,$J162,0)</f>
        <v/>
      </c>
      <c r="Y162" s="47">
        <f>IF($E162=Y$3,$G162,0)-IF($H162=Y$3,$J162,0)</f>
        <v/>
      </c>
      <c r="Z162" s="47">
        <f>IF($E162=Z$3,$G162,0)-IF($H162=Z$3,$J162,0)</f>
        <v/>
      </c>
      <c r="AA162" s="47">
        <f>IF($E162=AA$3,$G162,0)-IF($H162=AA$3,$J162,0)</f>
        <v/>
      </c>
      <c r="AB162" s="47">
        <f>IF($E162=AB$3,$G162,0)-IF($H162=AB$3,$J162,0)</f>
        <v/>
      </c>
      <c r="AC162" s="47">
        <f>IF($E162=AC$3,$G162,0)-IF($H162=AC$3,$J162,0)</f>
        <v/>
      </c>
      <c r="AD162" s="47">
        <f>IF($E162=AD$3,$G162,0)-IF($H162=AD$3,$J162,0)</f>
        <v/>
      </c>
      <c r="AE162" s="47">
        <f>IF($E162=AE$3,$G162,0)-IF($H162=AE$3,$J162,0)</f>
        <v/>
      </c>
      <c r="AF162" s="47">
        <f>IF($E162=AF$3,$G162,0)-IF($H162=AF$3,$J162,0)</f>
        <v/>
      </c>
      <c r="AG162" s="47">
        <f>IF($E162=AG$3,$G162,0)-IF($H162=AG$3,$J162,0)</f>
        <v/>
      </c>
      <c r="AH162" s="47">
        <f>IF($E162=AH$3,$G162,0)-IF($H162=AH$3,$J162,0)</f>
        <v/>
      </c>
      <c r="AI162" s="47">
        <f>IF($E162=AI$3,$G162,0)-IF($H162=AI$3,$J162,0)</f>
        <v/>
      </c>
      <c r="AJ162" s="47">
        <f>IF($E162=AJ$3,$G162,0)-IF($H162=AJ$3,$J162,0)</f>
        <v/>
      </c>
      <c r="AK162" s="47">
        <f>IF($E162=AK$3,$G162,0)-IF($H162=AK$3,$J162,0)</f>
        <v/>
      </c>
      <c r="AL162" s="48">
        <f>IF($E162=AL$3,$G162,0)-IF($H162=AL$3,$J162,0)</f>
        <v/>
      </c>
      <c r="AM162" s="46">
        <f>-IF($E162=AM$3,$G162,0)+IF($H162=AM$3,$J162,0)</f>
        <v/>
      </c>
      <c r="AN162" s="47">
        <f>-IF($E162=AN$3,$G162,0)+IF($H162=AN$3,$J162,0)</f>
        <v/>
      </c>
      <c r="AO162" s="48">
        <f>-IF($E162=AO$3,$G162,0)+IF($H162=AO$3,$J162,0)</f>
        <v/>
      </c>
      <c r="AP162" s="46">
        <f>IF($E162=AP$3,$G162,0)-IF($H162=AP$3,$J162,0)</f>
        <v/>
      </c>
      <c r="AQ162" s="47">
        <f>IF($E162=AQ$3,$G162,0)-IF($H162=AQ$3,$J162,0)</f>
        <v/>
      </c>
      <c r="AR162" s="47">
        <f>IF($E162=AR$3,$G162,0)-IF($H162=AR$3,$J162,0)</f>
        <v/>
      </c>
      <c r="AS162" s="47">
        <f>IF($E162=AS$3,$G162,0)-IF($H162=AS$3,$J162,0)</f>
        <v/>
      </c>
      <c r="AT162" s="47">
        <f>IF($E162=AT$3,$G162,0)-IF($H162=AT$3,$J162,0)</f>
        <v/>
      </c>
      <c r="AU162" s="47">
        <f>IF($E162=AU$3,$G162,0)-IF($H162=AU$3,$J162,0)</f>
        <v/>
      </c>
      <c r="AV162" s="47">
        <f>IF($E162=AV$3,$G162,0)-IF($H162=AV$3,$J162,0)</f>
        <v/>
      </c>
      <c r="AW162" s="47">
        <f>IF($E162=AW$3,$G162,0)-IF($H162=AW$3,$J162,0)</f>
        <v/>
      </c>
      <c r="AX162" s="47">
        <f>IF($E162=AX$3,$G162,0)-IF($H162=AX$3,$J162,0)</f>
        <v/>
      </c>
      <c r="AY162" s="47">
        <f>IF($E162=AY$3,$G162,0)-IF($H162=AY$3,$J162,0)</f>
        <v/>
      </c>
      <c r="AZ162" s="47">
        <f>IF($E162=AZ$3,$G162,0)-IF($H162=AZ$3,$J162,0)</f>
        <v/>
      </c>
      <c r="BA162" s="47">
        <f>IF($E162=BA$3,$G162,0)-IF($H162=BA$3,$J162,0)</f>
        <v/>
      </c>
      <c r="BB162" s="47">
        <f>IF($E162=BB$3,$G162,0)-IF($H162=BB$3,$J162,0)</f>
        <v/>
      </c>
      <c r="BC162" s="47">
        <f>IF($E162=BC$3,$G162,0)-IF($H162=BC$3,$J162,0)</f>
        <v/>
      </c>
      <c r="BD162" s="47">
        <f>IF($E162=BD$3,$G162,0)-IF($H162=BD$3,$J162,0)</f>
        <v/>
      </c>
      <c r="BE162" s="47">
        <f>IF($E162=BE$3,$G162,0)-IF($H162=BE$3,$J162,0)</f>
        <v/>
      </c>
      <c r="BF162" s="47">
        <f>IF($E162=BF$3,$G162,0)-IF($H162=BF$3,$J162,0)</f>
        <v/>
      </c>
      <c r="BG162" s="47">
        <f>IF($E162=BG$3,$G162,0)-IF($H162=BG$3,$J162,0)</f>
        <v/>
      </c>
      <c r="BH162" s="47">
        <f>IF($E162=BH$3,$G162,0)-IF($H162=BH$3,$J162,0)</f>
        <v/>
      </c>
      <c r="BI162" s="47">
        <f>IF($E162=BI$3,$G162,0)-IF($H162=BI$3,$J162,0)</f>
        <v/>
      </c>
      <c r="BJ162" s="47">
        <f>IF($E162=BJ$3,$G162,0)-IF($H162=BJ$3,$J162,0)</f>
        <v/>
      </c>
      <c r="BK162" s="47">
        <f>IF($E162=BK$3,$G162,0)-IF($H162=BK$3,$J162,0)</f>
        <v/>
      </c>
      <c r="BL162" s="46">
        <f>-IF($E162=BL$3,$G162,0)+IF($H162=BL$3,$J162,0)</f>
        <v/>
      </c>
      <c r="BM162" s="47">
        <f>-IF($E162=BM$3,$G162,0)+IF($H162=BM$3,$J162,0)</f>
        <v/>
      </c>
      <c r="BN162" s="47">
        <f>-IF($E162=BN$3,$G162,0)+IF($H162=BN$3,$J162,0)</f>
        <v/>
      </c>
      <c r="BO162" s="47">
        <f>-IF($E162=BO$3,$G162,0)+IF($H162=BO$3,$J162,0)</f>
        <v/>
      </c>
      <c r="BP162" s="47">
        <f>-IF($E162=BP$3,$G162,0)+IF($H162=BP$3,$J162,0)</f>
        <v/>
      </c>
      <c r="BQ162" s="47">
        <f>-IF($E162=BQ$3,$G162,0)+IF($H162=BQ$3,$J162,0)</f>
        <v/>
      </c>
      <c r="BR162" s="47">
        <f>-IF($E162=BR$3,$G162,0)+IF($H162=BR$3,$J162,0)</f>
        <v/>
      </c>
      <c r="BS162" s="47">
        <f>-IF($E162=BS$3,$G162,0)+IF($H162=BS$3,$J162,0)</f>
        <v/>
      </c>
      <c r="BT162" s="47">
        <f>-IF($E162=BT$3,$G162,0)+IF($H162=BT$3,$J162,0)</f>
        <v/>
      </c>
      <c r="BU162" s="46">
        <f>+G162-J162</f>
        <v/>
      </c>
      <c r="BV162" s="48">
        <f>-IF($E162=BV$3,$G162,0)+IF($H162=BV$3,$J162,0)</f>
        <v/>
      </c>
      <c r="BW162" s="3" t="n"/>
    </row>
    <row r="163" ht="15.75" customHeight="1" s="214">
      <c r="A163" s="7" t="n"/>
      <c r="B163" s="8" t="n"/>
      <c r="C163" s="9" t="n"/>
      <c r="D163" s="10" t="n"/>
      <c r="E163" s="247" t="n"/>
      <c r="F163" s="11">
        <f>IF(E163="","",IF(ISNA(VLOOKUP(E163,科目コード表!$C$4:$D$67,2,FALSE)),"該当科目なし",VLOOKUP(E163,科目コード表!$C$4:$D$67,2,FALSE)))</f>
        <v/>
      </c>
      <c r="G163" s="38" t="n"/>
      <c r="H163" s="248" t="n"/>
      <c r="I163" s="11">
        <f>IF(H163="","",IF(ISNA(VLOOKUP(H163,科目コード表!$C$4:$D$67,2,FALSE)),"該当科目なし",VLOOKUP(H163,科目コード表!$C$4:$D$67,2,FALSE)))</f>
        <v/>
      </c>
      <c r="J163" s="40" t="n"/>
      <c r="L163" s="46">
        <f>IF($E163=L$3,$G163,0)-IF($H163=L$3,$J163,0)</f>
        <v/>
      </c>
      <c r="M163" s="47">
        <f>IF($E163=M$3,$G163,0)-IF($H163=M$3,$J163,0)</f>
        <v/>
      </c>
      <c r="N163" s="47">
        <f>IF($E163=N$3,$G163,0)-IF($H163=N$3,$J163,0)</f>
        <v/>
      </c>
      <c r="O163" s="47">
        <f>IF($E163=O$3,$G163,0)-IF($H163=O$3,$J163,0)</f>
        <v/>
      </c>
      <c r="P163" s="47">
        <f>IF($E163=P$3,$G163,0)-IF($H163=P$3,$J163,0)</f>
        <v/>
      </c>
      <c r="Q163" s="47">
        <f>IF($E163=Q$3,$G163,0)-IF($H163=Q$3,$J163,0)</f>
        <v/>
      </c>
      <c r="R163" s="47">
        <f>IF($E163=R$3,$G163,0)-IF($H163=R$3,$J163,0)</f>
        <v/>
      </c>
      <c r="S163" s="47">
        <f>IF($E163=S$3,$G163,0)-IF($H163=S$3,$J163,0)</f>
        <v/>
      </c>
      <c r="T163" s="47">
        <f>IF($E163=T$3,$G163,0)-IF($H163=T$3,$J163,0)</f>
        <v/>
      </c>
      <c r="U163" s="47">
        <f>IF($E163=U$3,$G163,0)-IF($H163=U$3,$J163,0)</f>
        <v/>
      </c>
      <c r="V163" s="47">
        <f>IF($E163=V$3,$G163,0)-IF($H163=V$3,$J163,0)</f>
        <v/>
      </c>
      <c r="W163" s="47">
        <f>IF($E163=W$3,$G163,0)-IF($H163=W$3,$J163,0)</f>
        <v/>
      </c>
      <c r="X163" s="47">
        <f>IF($E163=X$3,$G163,0)-IF($H163=X$3,$J163,0)</f>
        <v/>
      </c>
      <c r="Y163" s="47">
        <f>IF($E163=Y$3,$G163,0)-IF($H163=Y$3,$J163,0)</f>
        <v/>
      </c>
      <c r="Z163" s="47">
        <f>IF($E163=Z$3,$G163,0)-IF($H163=Z$3,$J163,0)</f>
        <v/>
      </c>
      <c r="AA163" s="47">
        <f>IF($E163=AA$3,$G163,0)-IF($H163=AA$3,$J163,0)</f>
        <v/>
      </c>
      <c r="AB163" s="47">
        <f>IF($E163=AB$3,$G163,0)-IF($H163=AB$3,$J163,0)</f>
        <v/>
      </c>
      <c r="AC163" s="47">
        <f>IF($E163=AC$3,$G163,0)-IF($H163=AC$3,$J163,0)</f>
        <v/>
      </c>
      <c r="AD163" s="47">
        <f>IF($E163=AD$3,$G163,0)-IF($H163=AD$3,$J163,0)</f>
        <v/>
      </c>
      <c r="AE163" s="47">
        <f>IF($E163=AE$3,$G163,0)-IF($H163=AE$3,$J163,0)</f>
        <v/>
      </c>
      <c r="AF163" s="47">
        <f>IF($E163=AF$3,$G163,0)-IF($H163=AF$3,$J163,0)</f>
        <v/>
      </c>
      <c r="AG163" s="47">
        <f>IF($E163=AG$3,$G163,0)-IF($H163=AG$3,$J163,0)</f>
        <v/>
      </c>
      <c r="AH163" s="47">
        <f>IF($E163=AH$3,$G163,0)-IF($H163=AH$3,$J163,0)</f>
        <v/>
      </c>
      <c r="AI163" s="47">
        <f>IF($E163=AI$3,$G163,0)-IF($H163=AI$3,$J163,0)</f>
        <v/>
      </c>
      <c r="AJ163" s="47">
        <f>IF($E163=AJ$3,$G163,0)-IF($H163=AJ$3,$J163,0)</f>
        <v/>
      </c>
      <c r="AK163" s="47">
        <f>IF($E163=AK$3,$G163,0)-IF($H163=AK$3,$J163,0)</f>
        <v/>
      </c>
      <c r="AL163" s="48">
        <f>IF($E163=AL$3,$G163,0)-IF($H163=AL$3,$J163,0)</f>
        <v/>
      </c>
      <c r="AM163" s="46">
        <f>-IF($E163=AM$3,$G163,0)+IF($H163=AM$3,$J163,0)</f>
        <v/>
      </c>
      <c r="AN163" s="47">
        <f>-IF($E163=AN$3,$G163,0)+IF($H163=AN$3,$J163,0)</f>
        <v/>
      </c>
      <c r="AO163" s="48">
        <f>-IF($E163=AO$3,$G163,0)+IF($H163=AO$3,$J163,0)</f>
        <v/>
      </c>
      <c r="AP163" s="46">
        <f>IF($E163=AP$3,$G163,0)-IF($H163=AP$3,$J163,0)</f>
        <v/>
      </c>
      <c r="AQ163" s="47">
        <f>IF($E163=AQ$3,$G163,0)-IF($H163=AQ$3,$J163,0)</f>
        <v/>
      </c>
      <c r="AR163" s="47">
        <f>IF($E163=AR$3,$G163,0)-IF($H163=AR$3,$J163,0)</f>
        <v/>
      </c>
      <c r="AS163" s="47">
        <f>IF($E163=AS$3,$G163,0)-IF($H163=AS$3,$J163,0)</f>
        <v/>
      </c>
      <c r="AT163" s="47">
        <f>IF($E163=AT$3,$G163,0)-IF($H163=AT$3,$J163,0)</f>
        <v/>
      </c>
      <c r="AU163" s="47">
        <f>IF($E163=AU$3,$G163,0)-IF($H163=AU$3,$J163,0)</f>
        <v/>
      </c>
      <c r="AV163" s="47">
        <f>IF($E163=AV$3,$G163,0)-IF($H163=AV$3,$J163,0)</f>
        <v/>
      </c>
      <c r="AW163" s="47">
        <f>IF($E163=AW$3,$G163,0)-IF($H163=AW$3,$J163,0)</f>
        <v/>
      </c>
      <c r="AX163" s="47">
        <f>IF($E163=AX$3,$G163,0)-IF($H163=AX$3,$J163,0)</f>
        <v/>
      </c>
      <c r="AY163" s="47">
        <f>IF($E163=AY$3,$G163,0)-IF($H163=AY$3,$J163,0)</f>
        <v/>
      </c>
      <c r="AZ163" s="47">
        <f>IF($E163=AZ$3,$G163,0)-IF($H163=AZ$3,$J163,0)</f>
        <v/>
      </c>
      <c r="BA163" s="47">
        <f>IF($E163=BA$3,$G163,0)-IF($H163=BA$3,$J163,0)</f>
        <v/>
      </c>
      <c r="BB163" s="47">
        <f>IF($E163=BB$3,$G163,0)-IF($H163=BB$3,$J163,0)</f>
        <v/>
      </c>
      <c r="BC163" s="47">
        <f>IF($E163=BC$3,$G163,0)-IF($H163=BC$3,$J163,0)</f>
        <v/>
      </c>
      <c r="BD163" s="47">
        <f>IF($E163=BD$3,$G163,0)-IF($H163=BD$3,$J163,0)</f>
        <v/>
      </c>
      <c r="BE163" s="47">
        <f>IF($E163=BE$3,$G163,0)-IF($H163=BE$3,$J163,0)</f>
        <v/>
      </c>
      <c r="BF163" s="47">
        <f>IF($E163=BF$3,$G163,0)-IF($H163=BF$3,$J163,0)</f>
        <v/>
      </c>
      <c r="BG163" s="47">
        <f>IF($E163=BG$3,$G163,0)-IF($H163=BG$3,$J163,0)</f>
        <v/>
      </c>
      <c r="BH163" s="47">
        <f>IF($E163=BH$3,$G163,0)-IF($H163=BH$3,$J163,0)</f>
        <v/>
      </c>
      <c r="BI163" s="47">
        <f>IF($E163=BI$3,$G163,0)-IF($H163=BI$3,$J163,0)</f>
        <v/>
      </c>
      <c r="BJ163" s="47">
        <f>IF($E163=BJ$3,$G163,0)-IF($H163=BJ$3,$J163,0)</f>
        <v/>
      </c>
      <c r="BK163" s="47">
        <f>IF($E163=BK$3,$G163,0)-IF($H163=BK$3,$J163,0)</f>
        <v/>
      </c>
      <c r="BL163" s="46">
        <f>-IF($E163=BL$3,$G163,0)+IF($H163=BL$3,$J163,0)</f>
        <v/>
      </c>
      <c r="BM163" s="47">
        <f>-IF($E163=BM$3,$G163,0)+IF($H163=BM$3,$J163,0)</f>
        <v/>
      </c>
      <c r="BN163" s="47">
        <f>-IF($E163=BN$3,$G163,0)+IF($H163=BN$3,$J163,0)</f>
        <v/>
      </c>
      <c r="BO163" s="47">
        <f>-IF($E163=BO$3,$G163,0)+IF($H163=BO$3,$J163,0)</f>
        <v/>
      </c>
      <c r="BP163" s="47">
        <f>-IF($E163=BP$3,$G163,0)+IF($H163=BP$3,$J163,0)</f>
        <v/>
      </c>
      <c r="BQ163" s="47">
        <f>-IF($E163=BQ$3,$G163,0)+IF($H163=BQ$3,$J163,0)</f>
        <v/>
      </c>
      <c r="BR163" s="47">
        <f>-IF($E163=BR$3,$G163,0)+IF($H163=BR$3,$J163,0)</f>
        <v/>
      </c>
      <c r="BS163" s="47">
        <f>-IF($E163=BS$3,$G163,0)+IF($H163=BS$3,$J163,0)</f>
        <v/>
      </c>
      <c r="BT163" s="47">
        <f>-IF($E163=BT$3,$G163,0)+IF($H163=BT$3,$J163,0)</f>
        <v/>
      </c>
      <c r="BU163" s="46">
        <f>+G163-J163</f>
        <v/>
      </c>
      <c r="BV163" s="48">
        <f>-IF($E163=BV$3,$G163,0)+IF($H163=BV$3,$J163,0)</f>
        <v/>
      </c>
      <c r="BW163" s="3" t="n"/>
    </row>
    <row r="164" ht="15.75" customHeight="1" s="214">
      <c r="A164" s="7" t="n"/>
      <c r="B164" s="8" t="n"/>
      <c r="C164" s="9" t="n"/>
      <c r="D164" s="10" t="n"/>
      <c r="E164" s="247" t="n"/>
      <c r="F164" s="11">
        <f>IF(E164="","",IF(ISNA(VLOOKUP(E164,科目コード表!$C$4:$D$67,2,FALSE)),"該当科目なし",VLOOKUP(E164,科目コード表!$C$4:$D$67,2,FALSE)))</f>
        <v/>
      </c>
      <c r="G164" s="38" t="n"/>
      <c r="H164" s="248" t="n"/>
      <c r="I164" s="11">
        <f>IF(H164="","",IF(ISNA(VLOOKUP(H164,科目コード表!$C$4:$D$67,2,FALSE)),"該当科目なし",VLOOKUP(H164,科目コード表!$C$4:$D$67,2,FALSE)))</f>
        <v/>
      </c>
      <c r="J164" s="40" t="n"/>
      <c r="L164" s="46">
        <f>IF($E164=L$3,$G164,0)-IF($H164=L$3,$J164,0)</f>
        <v/>
      </c>
      <c r="M164" s="47">
        <f>IF($E164=M$3,$G164,0)-IF($H164=M$3,$J164,0)</f>
        <v/>
      </c>
      <c r="N164" s="47">
        <f>IF($E164=N$3,$G164,0)-IF($H164=N$3,$J164,0)</f>
        <v/>
      </c>
      <c r="O164" s="47">
        <f>IF($E164=O$3,$G164,0)-IF($H164=O$3,$J164,0)</f>
        <v/>
      </c>
      <c r="P164" s="47">
        <f>IF($E164=P$3,$G164,0)-IF($H164=P$3,$J164,0)</f>
        <v/>
      </c>
      <c r="Q164" s="47">
        <f>IF($E164=Q$3,$G164,0)-IF($H164=Q$3,$J164,0)</f>
        <v/>
      </c>
      <c r="R164" s="47">
        <f>IF($E164=R$3,$G164,0)-IF($H164=R$3,$J164,0)</f>
        <v/>
      </c>
      <c r="S164" s="47">
        <f>IF($E164=S$3,$G164,0)-IF($H164=S$3,$J164,0)</f>
        <v/>
      </c>
      <c r="T164" s="47">
        <f>IF($E164=T$3,$G164,0)-IF($H164=T$3,$J164,0)</f>
        <v/>
      </c>
      <c r="U164" s="47">
        <f>IF($E164=U$3,$G164,0)-IF($H164=U$3,$J164,0)</f>
        <v/>
      </c>
      <c r="V164" s="47">
        <f>IF($E164=V$3,$G164,0)-IF($H164=V$3,$J164,0)</f>
        <v/>
      </c>
      <c r="W164" s="47">
        <f>IF($E164=W$3,$G164,0)-IF($H164=W$3,$J164,0)</f>
        <v/>
      </c>
      <c r="X164" s="47">
        <f>IF($E164=X$3,$G164,0)-IF($H164=X$3,$J164,0)</f>
        <v/>
      </c>
      <c r="Y164" s="47">
        <f>IF($E164=Y$3,$G164,0)-IF($H164=Y$3,$J164,0)</f>
        <v/>
      </c>
      <c r="Z164" s="47">
        <f>IF($E164=Z$3,$G164,0)-IF($H164=Z$3,$J164,0)</f>
        <v/>
      </c>
      <c r="AA164" s="47">
        <f>IF($E164=AA$3,$G164,0)-IF($H164=AA$3,$J164,0)</f>
        <v/>
      </c>
      <c r="AB164" s="47">
        <f>IF($E164=AB$3,$G164,0)-IF($H164=AB$3,$J164,0)</f>
        <v/>
      </c>
      <c r="AC164" s="47">
        <f>IF($E164=AC$3,$G164,0)-IF($H164=AC$3,$J164,0)</f>
        <v/>
      </c>
      <c r="AD164" s="47">
        <f>IF($E164=AD$3,$G164,0)-IF($H164=AD$3,$J164,0)</f>
        <v/>
      </c>
      <c r="AE164" s="47">
        <f>IF($E164=AE$3,$G164,0)-IF($H164=AE$3,$J164,0)</f>
        <v/>
      </c>
      <c r="AF164" s="47">
        <f>IF($E164=AF$3,$G164,0)-IF($H164=AF$3,$J164,0)</f>
        <v/>
      </c>
      <c r="AG164" s="47">
        <f>IF($E164=AG$3,$G164,0)-IF($H164=AG$3,$J164,0)</f>
        <v/>
      </c>
      <c r="AH164" s="47">
        <f>IF($E164=AH$3,$G164,0)-IF($H164=AH$3,$J164,0)</f>
        <v/>
      </c>
      <c r="AI164" s="47">
        <f>IF($E164=AI$3,$G164,0)-IF($H164=AI$3,$J164,0)</f>
        <v/>
      </c>
      <c r="AJ164" s="47">
        <f>IF($E164=AJ$3,$G164,0)-IF($H164=AJ$3,$J164,0)</f>
        <v/>
      </c>
      <c r="AK164" s="47">
        <f>IF($E164=AK$3,$G164,0)-IF($H164=AK$3,$J164,0)</f>
        <v/>
      </c>
      <c r="AL164" s="48">
        <f>IF($E164=AL$3,$G164,0)-IF($H164=AL$3,$J164,0)</f>
        <v/>
      </c>
      <c r="AM164" s="46">
        <f>-IF($E164=AM$3,$G164,0)+IF($H164=AM$3,$J164,0)</f>
        <v/>
      </c>
      <c r="AN164" s="47">
        <f>-IF($E164=AN$3,$G164,0)+IF($H164=AN$3,$J164,0)</f>
        <v/>
      </c>
      <c r="AO164" s="48">
        <f>-IF($E164=AO$3,$G164,0)+IF($H164=AO$3,$J164,0)</f>
        <v/>
      </c>
      <c r="AP164" s="46">
        <f>IF($E164=AP$3,$G164,0)-IF($H164=AP$3,$J164,0)</f>
        <v/>
      </c>
      <c r="AQ164" s="47">
        <f>IF($E164=AQ$3,$G164,0)-IF($H164=AQ$3,$J164,0)</f>
        <v/>
      </c>
      <c r="AR164" s="47">
        <f>IF($E164=AR$3,$G164,0)-IF($H164=AR$3,$J164,0)</f>
        <v/>
      </c>
      <c r="AS164" s="47">
        <f>IF($E164=AS$3,$G164,0)-IF($H164=AS$3,$J164,0)</f>
        <v/>
      </c>
      <c r="AT164" s="47">
        <f>IF($E164=AT$3,$G164,0)-IF($H164=AT$3,$J164,0)</f>
        <v/>
      </c>
      <c r="AU164" s="47">
        <f>IF($E164=AU$3,$G164,0)-IF($H164=AU$3,$J164,0)</f>
        <v/>
      </c>
      <c r="AV164" s="47">
        <f>IF($E164=AV$3,$G164,0)-IF($H164=AV$3,$J164,0)</f>
        <v/>
      </c>
      <c r="AW164" s="47">
        <f>IF($E164=AW$3,$G164,0)-IF($H164=AW$3,$J164,0)</f>
        <v/>
      </c>
      <c r="AX164" s="47">
        <f>IF($E164=AX$3,$G164,0)-IF($H164=AX$3,$J164,0)</f>
        <v/>
      </c>
      <c r="AY164" s="47">
        <f>IF($E164=AY$3,$G164,0)-IF($H164=AY$3,$J164,0)</f>
        <v/>
      </c>
      <c r="AZ164" s="47">
        <f>IF($E164=AZ$3,$G164,0)-IF($H164=AZ$3,$J164,0)</f>
        <v/>
      </c>
      <c r="BA164" s="47">
        <f>IF($E164=BA$3,$G164,0)-IF($H164=BA$3,$J164,0)</f>
        <v/>
      </c>
      <c r="BB164" s="47">
        <f>IF($E164=BB$3,$G164,0)-IF($H164=BB$3,$J164,0)</f>
        <v/>
      </c>
      <c r="BC164" s="47">
        <f>IF($E164=BC$3,$G164,0)-IF($H164=BC$3,$J164,0)</f>
        <v/>
      </c>
      <c r="BD164" s="47">
        <f>IF($E164=BD$3,$G164,0)-IF($H164=BD$3,$J164,0)</f>
        <v/>
      </c>
      <c r="BE164" s="47">
        <f>IF($E164=BE$3,$G164,0)-IF($H164=BE$3,$J164,0)</f>
        <v/>
      </c>
      <c r="BF164" s="47">
        <f>IF($E164=BF$3,$G164,0)-IF($H164=BF$3,$J164,0)</f>
        <v/>
      </c>
      <c r="BG164" s="47">
        <f>IF($E164=BG$3,$G164,0)-IF($H164=BG$3,$J164,0)</f>
        <v/>
      </c>
      <c r="BH164" s="47">
        <f>IF($E164=BH$3,$G164,0)-IF($H164=BH$3,$J164,0)</f>
        <v/>
      </c>
      <c r="BI164" s="47">
        <f>IF($E164=BI$3,$G164,0)-IF($H164=BI$3,$J164,0)</f>
        <v/>
      </c>
      <c r="BJ164" s="47">
        <f>IF($E164=BJ$3,$G164,0)-IF($H164=BJ$3,$J164,0)</f>
        <v/>
      </c>
      <c r="BK164" s="47">
        <f>IF($E164=BK$3,$G164,0)-IF($H164=BK$3,$J164,0)</f>
        <v/>
      </c>
      <c r="BL164" s="46">
        <f>-IF($E164=BL$3,$G164,0)+IF($H164=BL$3,$J164,0)</f>
        <v/>
      </c>
      <c r="BM164" s="47">
        <f>-IF($E164=BM$3,$G164,0)+IF($H164=BM$3,$J164,0)</f>
        <v/>
      </c>
      <c r="BN164" s="47">
        <f>-IF($E164=BN$3,$G164,0)+IF($H164=BN$3,$J164,0)</f>
        <v/>
      </c>
      <c r="BO164" s="47">
        <f>-IF($E164=BO$3,$G164,0)+IF($H164=BO$3,$J164,0)</f>
        <v/>
      </c>
      <c r="BP164" s="47">
        <f>-IF($E164=BP$3,$G164,0)+IF($H164=BP$3,$J164,0)</f>
        <v/>
      </c>
      <c r="BQ164" s="47">
        <f>-IF($E164=BQ$3,$G164,0)+IF($H164=BQ$3,$J164,0)</f>
        <v/>
      </c>
      <c r="BR164" s="47">
        <f>-IF($E164=BR$3,$G164,0)+IF($H164=BR$3,$J164,0)</f>
        <v/>
      </c>
      <c r="BS164" s="47">
        <f>-IF($E164=BS$3,$G164,0)+IF($H164=BS$3,$J164,0)</f>
        <v/>
      </c>
      <c r="BT164" s="47">
        <f>-IF($E164=BT$3,$G164,0)+IF($H164=BT$3,$J164,0)</f>
        <v/>
      </c>
      <c r="BU164" s="46">
        <f>+G164-J164</f>
        <v/>
      </c>
      <c r="BV164" s="48">
        <f>-IF($E164=BV$3,$G164,0)+IF($H164=BV$3,$J164,0)</f>
        <v/>
      </c>
      <c r="BW164" s="3" t="n"/>
    </row>
    <row r="165" ht="15.75" customHeight="1" s="214">
      <c r="A165" s="7" t="n"/>
      <c r="B165" s="8" t="n"/>
      <c r="C165" s="9" t="n"/>
      <c r="D165" s="10" t="n"/>
      <c r="E165" s="247" t="n"/>
      <c r="F165" s="11">
        <f>IF(E165="","",IF(ISNA(VLOOKUP(E165,科目コード表!$C$4:$D$67,2,FALSE)),"該当科目なし",VLOOKUP(E165,科目コード表!$C$4:$D$67,2,FALSE)))</f>
        <v/>
      </c>
      <c r="G165" s="38" t="n"/>
      <c r="H165" s="248" t="n"/>
      <c r="I165" s="11">
        <f>IF(H165="","",IF(ISNA(VLOOKUP(H165,科目コード表!$C$4:$D$67,2,FALSE)),"該当科目なし",VLOOKUP(H165,科目コード表!$C$4:$D$67,2,FALSE)))</f>
        <v/>
      </c>
      <c r="J165" s="40" t="n"/>
      <c r="L165" s="46">
        <f>IF($E165=L$3,$G165,0)-IF($H165=L$3,$J165,0)</f>
        <v/>
      </c>
      <c r="M165" s="47">
        <f>IF($E165=M$3,$G165,0)-IF($H165=M$3,$J165,0)</f>
        <v/>
      </c>
      <c r="N165" s="47">
        <f>IF($E165=N$3,$G165,0)-IF($H165=N$3,$J165,0)</f>
        <v/>
      </c>
      <c r="O165" s="47">
        <f>IF($E165=O$3,$G165,0)-IF($H165=O$3,$J165,0)</f>
        <v/>
      </c>
      <c r="P165" s="47">
        <f>IF($E165=P$3,$G165,0)-IF($H165=P$3,$J165,0)</f>
        <v/>
      </c>
      <c r="Q165" s="47">
        <f>IF($E165=Q$3,$G165,0)-IF($H165=Q$3,$J165,0)</f>
        <v/>
      </c>
      <c r="R165" s="47">
        <f>IF($E165=R$3,$G165,0)-IF($H165=R$3,$J165,0)</f>
        <v/>
      </c>
      <c r="S165" s="47">
        <f>IF($E165=S$3,$G165,0)-IF($H165=S$3,$J165,0)</f>
        <v/>
      </c>
      <c r="T165" s="47">
        <f>IF($E165=T$3,$G165,0)-IF($H165=T$3,$J165,0)</f>
        <v/>
      </c>
      <c r="U165" s="47">
        <f>IF($E165=U$3,$G165,0)-IF($H165=U$3,$J165,0)</f>
        <v/>
      </c>
      <c r="V165" s="47">
        <f>IF($E165=V$3,$G165,0)-IF($H165=V$3,$J165,0)</f>
        <v/>
      </c>
      <c r="W165" s="47">
        <f>IF($E165=W$3,$G165,0)-IF($H165=W$3,$J165,0)</f>
        <v/>
      </c>
      <c r="X165" s="47">
        <f>IF($E165=X$3,$G165,0)-IF($H165=X$3,$J165,0)</f>
        <v/>
      </c>
      <c r="Y165" s="47">
        <f>IF($E165=Y$3,$G165,0)-IF($H165=Y$3,$J165,0)</f>
        <v/>
      </c>
      <c r="Z165" s="47">
        <f>IF($E165=Z$3,$G165,0)-IF($H165=Z$3,$J165,0)</f>
        <v/>
      </c>
      <c r="AA165" s="47">
        <f>IF($E165=AA$3,$G165,0)-IF($H165=AA$3,$J165,0)</f>
        <v/>
      </c>
      <c r="AB165" s="47">
        <f>IF($E165=AB$3,$G165,0)-IF($H165=AB$3,$J165,0)</f>
        <v/>
      </c>
      <c r="AC165" s="47">
        <f>IF($E165=AC$3,$G165,0)-IF($H165=AC$3,$J165,0)</f>
        <v/>
      </c>
      <c r="AD165" s="47">
        <f>IF($E165=AD$3,$G165,0)-IF($H165=AD$3,$J165,0)</f>
        <v/>
      </c>
      <c r="AE165" s="47">
        <f>IF($E165=AE$3,$G165,0)-IF($H165=AE$3,$J165,0)</f>
        <v/>
      </c>
      <c r="AF165" s="47">
        <f>IF($E165=AF$3,$G165,0)-IF($H165=AF$3,$J165,0)</f>
        <v/>
      </c>
      <c r="AG165" s="47">
        <f>IF($E165=AG$3,$G165,0)-IF($H165=AG$3,$J165,0)</f>
        <v/>
      </c>
      <c r="AH165" s="47">
        <f>IF($E165=AH$3,$G165,0)-IF($H165=AH$3,$J165,0)</f>
        <v/>
      </c>
      <c r="AI165" s="47">
        <f>IF($E165=AI$3,$G165,0)-IF($H165=AI$3,$J165,0)</f>
        <v/>
      </c>
      <c r="AJ165" s="47">
        <f>IF($E165=AJ$3,$G165,0)-IF($H165=AJ$3,$J165,0)</f>
        <v/>
      </c>
      <c r="AK165" s="47">
        <f>IF($E165=AK$3,$G165,0)-IF($H165=AK$3,$J165,0)</f>
        <v/>
      </c>
      <c r="AL165" s="48">
        <f>IF($E165=AL$3,$G165,0)-IF($H165=AL$3,$J165,0)</f>
        <v/>
      </c>
      <c r="AM165" s="46">
        <f>-IF($E165=AM$3,$G165,0)+IF($H165=AM$3,$J165,0)</f>
        <v/>
      </c>
      <c r="AN165" s="47">
        <f>-IF($E165=AN$3,$G165,0)+IF($H165=AN$3,$J165,0)</f>
        <v/>
      </c>
      <c r="AO165" s="48">
        <f>-IF($E165=AO$3,$G165,0)+IF($H165=AO$3,$J165,0)</f>
        <v/>
      </c>
      <c r="AP165" s="46">
        <f>IF($E165=AP$3,$G165,0)-IF($H165=AP$3,$J165,0)</f>
        <v/>
      </c>
      <c r="AQ165" s="47">
        <f>IF($E165=AQ$3,$G165,0)-IF($H165=AQ$3,$J165,0)</f>
        <v/>
      </c>
      <c r="AR165" s="47">
        <f>IF($E165=AR$3,$G165,0)-IF($H165=AR$3,$J165,0)</f>
        <v/>
      </c>
      <c r="AS165" s="47">
        <f>IF($E165=AS$3,$G165,0)-IF($H165=AS$3,$J165,0)</f>
        <v/>
      </c>
      <c r="AT165" s="47">
        <f>IF($E165=AT$3,$G165,0)-IF($H165=AT$3,$J165,0)</f>
        <v/>
      </c>
      <c r="AU165" s="47">
        <f>IF($E165=AU$3,$G165,0)-IF($H165=AU$3,$J165,0)</f>
        <v/>
      </c>
      <c r="AV165" s="47">
        <f>IF($E165=AV$3,$G165,0)-IF($H165=AV$3,$J165,0)</f>
        <v/>
      </c>
      <c r="AW165" s="47">
        <f>IF($E165=AW$3,$G165,0)-IF($H165=AW$3,$J165,0)</f>
        <v/>
      </c>
      <c r="AX165" s="47">
        <f>IF($E165=AX$3,$G165,0)-IF($H165=AX$3,$J165,0)</f>
        <v/>
      </c>
      <c r="AY165" s="47">
        <f>IF($E165=AY$3,$G165,0)-IF($H165=AY$3,$J165,0)</f>
        <v/>
      </c>
      <c r="AZ165" s="47">
        <f>IF($E165=AZ$3,$G165,0)-IF($H165=AZ$3,$J165,0)</f>
        <v/>
      </c>
      <c r="BA165" s="47">
        <f>IF($E165=BA$3,$G165,0)-IF($H165=BA$3,$J165,0)</f>
        <v/>
      </c>
      <c r="BB165" s="47">
        <f>IF($E165=BB$3,$G165,0)-IF($H165=BB$3,$J165,0)</f>
        <v/>
      </c>
      <c r="BC165" s="47">
        <f>IF($E165=BC$3,$G165,0)-IF($H165=BC$3,$J165,0)</f>
        <v/>
      </c>
      <c r="BD165" s="47">
        <f>IF($E165=BD$3,$G165,0)-IF($H165=BD$3,$J165,0)</f>
        <v/>
      </c>
      <c r="BE165" s="47">
        <f>IF($E165=BE$3,$G165,0)-IF($H165=BE$3,$J165,0)</f>
        <v/>
      </c>
      <c r="BF165" s="47">
        <f>IF($E165=BF$3,$G165,0)-IF($H165=BF$3,$J165,0)</f>
        <v/>
      </c>
      <c r="BG165" s="47">
        <f>IF($E165=BG$3,$G165,0)-IF($H165=BG$3,$J165,0)</f>
        <v/>
      </c>
      <c r="BH165" s="47">
        <f>IF($E165=BH$3,$G165,0)-IF($H165=BH$3,$J165,0)</f>
        <v/>
      </c>
      <c r="BI165" s="47">
        <f>IF($E165=BI$3,$G165,0)-IF($H165=BI$3,$J165,0)</f>
        <v/>
      </c>
      <c r="BJ165" s="47">
        <f>IF($E165=BJ$3,$G165,0)-IF($H165=BJ$3,$J165,0)</f>
        <v/>
      </c>
      <c r="BK165" s="47">
        <f>IF($E165=BK$3,$G165,0)-IF($H165=BK$3,$J165,0)</f>
        <v/>
      </c>
      <c r="BL165" s="46">
        <f>-IF($E165=BL$3,$G165,0)+IF($H165=BL$3,$J165,0)</f>
        <v/>
      </c>
      <c r="BM165" s="47">
        <f>-IF($E165=BM$3,$G165,0)+IF($H165=BM$3,$J165,0)</f>
        <v/>
      </c>
      <c r="BN165" s="47">
        <f>-IF($E165=BN$3,$G165,0)+IF($H165=BN$3,$J165,0)</f>
        <v/>
      </c>
      <c r="BO165" s="47">
        <f>-IF($E165=BO$3,$G165,0)+IF($H165=BO$3,$J165,0)</f>
        <v/>
      </c>
      <c r="BP165" s="47">
        <f>-IF($E165=BP$3,$G165,0)+IF($H165=BP$3,$J165,0)</f>
        <v/>
      </c>
      <c r="BQ165" s="47">
        <f>-IF($E165=BQ$3,$G165,0)+IF($H165=BQ$3,$J165,0)</f>
        <v/>
      </c>
      <c r="BR165" s="47">
        <f>-IF($E165=BR$3,$G165,0)+IF($H165=BR$3,$J165,0)</f>
        <v/>
      </c>
      <c r="BS165" s="47">
        <f>-IF($E165=BS$3,$G165,0)+IF($H165=BS$3,$J165,0)</f>
        <v/>
      </c>
      <c r="BT165" s="47">
        <f>-IF($E165=BT$3,$G165,0)+IF($H165=BT$3,$J165,0)</f>
        <v/>
      </c>
      <c r="BU165" s="46">
        <f>+G165-J165</f>
        <v/>
      </c>
      <c r="BV165" s="48">
        <f>-IF($E165=BV$3,$G165,0)+IF($H165=BV$3,$J165,0)</f>
        <v/>
      </c>
      <c r="BW165" s="3" t="n"/>
    </row>
    <row r="166" ht="15.75" customHeight="1" s="214">
      <c r="A166" s="7" t="n"/>
      <c r="B166" s="8" t="n"/>
      <c r="C166" s="9" t="n"/>
      <c r="D166" s="10" t="n"/>
      <c r="E166" s="247" t="n"/>
      <c r="F166" s="11">
        <f>IF(E166="","",IF(ISNA(VLOOKUP(E166,科目コード表!$C$4:$D$67,2,FALSE)),"該当科目なし",VLOOKUP(E166,科目コード表!$C$4:$D$67,2,FALSE)))</f>
        <v/>
      </c>
      <c r="G166" s="38" t="n"/>
      <c r="H166" s="248" t="n"/>
      <c r="I166" s="11">
        <f>IF(H166="","",IF(ISNA(VLOOKUP(H166,科目コード表!$C$4:$D$67,2,FALSE)),"該当科目なし",VLOOKUP(H166,科目コード表!$C$4:$D$67,2,FALSE)))</f>
        <v/>
      </c>
      <c r="J166" s="40" t="n"/>
      <c r="L166" s="46">
        <f>IF($E166=L$3,$G166,0)-IF($H166=L$3,$J166,0)</f>
        <v/>
      </c>
      <c r="M166" s="47">
        <f>IF($E166=M$3,$G166,0)-IF($H166=M$3,$J166,0)</f>
        <v/>
      </c>
      <c r="N166" s="47">
        <f>IF($E166=N$3,$G166,0)-IF($H166=N$3,$J166,0)</f>
        <v/>
      </c>
      <c r="O166" s="47">
        <f>IF($E166=O$3,$G166,0)-IF($H166=O$3,$J166,0)</f>
        <v/>
      </c>
      <c r="P166" s="47">
        <f>IF($E166=P$3,$G166,0)-IF($H166=P$3,$J166,0)</f>
        <v/>
      </c>
      <c r="Q166" s="47">
        <f>IF($E166=Q$3,$G166,0)-IF($H166=Q$3,$J166,0)</f>
        <v/>
      </c>
      <c r="R166" s="47">
        <f>IF($E166=R$3,$G166,0)-IF($H166=R$3,$J166,0)</f>
        <v/>
      </c>
      <c r="S166" s="47">
        <f>IF($E166=S$3,$G166,0)-IF($H166=S$3,$J166,0)</f>
        <v/>
      </c>
      <c r="T166" s="47">
        <f>IF($E166=T$3,$G166,0)-IF($H166=T$3,$J166,0)</f>
        <v/>
      </c>
      <c r="U166" s="47">
        <f>IF($E166=U$3,$G166,0)-IF($H166=U$3,$J166,0)</f>
        <v/>
      </c>
      <c r="V166" s="47">
        <f>IF($E166=V$3,$G166,0)-IF($H166=V$3,$J166,0)</f>
        <v/>
      </c>
      <c r="W166" s="47">
        <f>IF($E166=W$3,$G166,0)-IF($H166=W$3,$J166,0)</f>
        <v/>
      </c>
      <c r="X166" s="47">
        <f>IF($E166=X$3,$G166,0)-IF($H166=X$3,$J166,0)</f>
        <v/>
      </c>
      <c r="Y166" s="47">
        <f>IF($E166=Y$3,$G166,0)-IF($H166=Y$3,$J166,0)</f>
        <v/>
      </c>
      <c r="Z166" s="47">
        <f>IF($E166=Z$3,$G166,0)-IF($H166=Z$3,$J166,0)</f>
        <v/>
      </c>
      <c r="AA166" s="47">
        <f>IF($E166=AA$3,$G166,0)-IF($H166=AA$3,$J166,0)</f>
        <v/>
      </c>
      <c r="AB166" s="47">
        <f>IF($E166=AB$3,$G166,0)-IF($H166=AB$3,$J166,0)</f>
        <v/>
      </c>
      <c r="AC166" s="47">
        <f>IF($E166=AC$3,$G166,0)-IF($H166=AC$3,$J166,0)</f>
        <v/>
      </c>
      <c r="AD166" s="47">
        <f>IF($E166=AD$3,$G166,0)-IF($H166=AD$3,$J166,0)</f>
        <v/>
      </c>
      <c r="AE166" s="47">
        <f>IF($E166=AE$3,$G166,0)-IF($H166=AE$3,$J166,0)</f>
        <v/>
      </c>
      <c r="AF166" s="47">
        <f>IF($E166=AF$3,$G166,0)-IF($H166=AF$3,$J166,0)</f>
        <v/>
      </c>
      <c r="AG166" s="47">
        <f>IF($E166=AG$3,$G166,0)-IF($H166=AG$3,$J166,0)</f>
        <v/>
      </c>
      <c r="AH166" s="47">
        <f>IF($E166=AH$3,$G166,0)-IF($H166=AH$3,$J166,0)</f>
        <v/>
      </c>
      <c r="AI166" s="47">
        <f>IF($E166=AI$3,$G166,0)-IF($H166=AI$3,$J166,0)</f>
        <v/>
      </c>
      <c r="AJ166" s="47">
        <f>IF($E166=AJ$3,$G166,0)-IF($H166=AJ$3,$J166,0)</f>
        <v/>
      </c>
      <c r="AK166" s="47">
        <f>IF($E166=AK$3,$G166,0)-IF($H166=AK$3,$J166,0)</f>
        <v/>
      </c>
      <c r="AL166" s="48">
        <f>IF($E166=AL$3,$G166,0)-IF($H166=AL$3,$J166,0)</f>
        <v/>
      </c>
      <c r="AM166" s="46">
        <f>-IF($E166=AM$3,$G166,0)+IF($H166=AM$3,$J166,0)</f>
        <v/>
      </c>
      <c r="AN166" s="47">
        <f>-IF($E166=AN$3,$G166,0)+IF($H166=AN$3,$J166,0)</f>
        <v/>
      </c>
      <c r="AO166" s="48">
        <f>-IF($E166=AO$3,$G166,0)+IF($H166=AO$3,$J166,0)</f>
        <v/>
      </c>
      <c r="AP166" s="46">
        <f>IF($E166=AP$3,$G166,0)-IF($H166=AP$3,$J166,0)</f>
        <v/>
      </c>
      <c r="AQ166" s="47">
        <f>IF($E166=AQ$3,$G166,0)-IF($H166=AQ$3,$J166,0)</f>
        <v/>
      </c>
      <c r="AR166" s="47">
        <f>IF($E166=AR$3,$G166,0)-IF($H166=AR$3,$J166,0)</f>
        <v/>
      </c>
      <c r="AS166" s="47">
        <f>IF($E166=AS$3,$G166,0)-IF($H166=AS$3,$J166,0)</f>
        <v/>
      </c>
      <c r="AT166" s="47">
        <f>IF($E166=AT$3,$G166,0)-IF($H166=AT$3,$J166,0)</f>
        <v/>
      </c>
      <c r="AU166" s="47">
        <f>IF($E166=AU$3,$G166,0)-IF($H166=AU$3,$J166,0)</f>
        <v/>
      </c>
      <c r="AV166" s="47">
        <f>IF($E166=AV$3,$G166,0)-IF($H166=AV$3,$J166,0)</f>
        <v/>
      </c>
      <c r="AW166" s="47">
        <f>IF($E166=AW$3,$G166,0)-IF($H166=AW$3,$J166,0)</f>
        <v/>
      </c>
      <c r="AX166" s="47">
        <f>IF($E166=AX$3,$G166,0)-IF($H166=AX$3,$J166,0)</f>
        <v/>
      </c>
      <c r="AY166" s="47">
        <f>IF($E166=AY$3,$G166,0)-IF($H166=AY$3,$J166,0)</f>
        <v/>
      </c>
      <c r="AZ166" s="47">
        <f>IF($E166=AZ$3,$G166,0)-IF($H166=AZ$3,$J166,0)</f>
        <v/>
      </c>
      <c r="BA166" s="47">
        <f>IF($E166=BA$3,$G166,0)-IF($H166=BA$3,$J166,0)</f>
        <v/>
      </c>
      <c r="BB166" s="47">
        <f>IF($E166=BB$3,$G166,0)-IF($H166=BB$3,$J166,0)</f>
        <v/>
      </c>
      <c r="BC166" s="47">
        <f>IF($E166=BC$3,$G166,0)-IF($H166=BC$3,$J166,0)</f>
        <v/>
      </c>
      <c r="BD166" s="47">
        <f>IF($E166=BD$3,$G166,0)-IF($H166=BD$3,$J166,0)</f>
        <v/>
      </c>
      <c r="BE166" s="47">
        <f>IF($E166=BE$3,$G166,0)-IF($H166=BE$3,$J166,0)</f>
        <v/>
      </c>
      <c r="BF166" s="47">
        <f>IF($E166=BF$3,$G166,0)-IF($H166=BF$3,$J166,0)</f>
        <v/>
      </c>
      <c r="BG166" s="47">
        <f>IF($E166=BG$3,$G166,0)-IF($H166=BG$3,$J166,0)</f>
        <v/>
      </c>
      <c r="BH166" s="47">
        <f>IF($E166=BH$3,$G166,0)-IF($H166=BH$3,$J166,0)</f>
        <v/>
      </c>
      <c r="BI166" s="47">
        <f>IF($E166=BI$3,$G166,0)-IF($H166=BI$3,$J166,0)</f>
        <v/>
      </c>
      <c r="BJ166" s="47">
        <f>IF($E166=BJ$3,$G166,0)-IF($H166=BJ$3,$J166,0)</f>
        <v/>
      </c>
      <c r="BK166" s="47">
        <f>IF($E166=BK$3,$G166,0)-IF($H166=BK$3,$J166,0)</f>
        <v/>
      </c>
      <c r="BL166" s="46">
        <f>-IF($E166=BL$3,$G166,0)+IF($H166=BL$3,$J166,0)</f>
        <v/>
      </c>
      <c r="BM166" s="47">
        <f>-IF($E166=BM$3,$G166,0)+IF($H166=BM$3,$J166,0)</f>
        <v/>
      </c>
      <c r="BN166" s="47">
        <f>-IF($E166=BN$3,$G166,0)+IF($H166=BN$3,$J166,0)</f>
        <v/>
      </c>
      <c r="BO166" s="47">
        <f>-IF($E166=BO$3,$G166,0)+IF($H166=BO$3,$J166,0)</f>
        <v/>
      </c>
      <c r="BP166" s="47">
        <f>-IF($E166=BP$3,$G166,0)+IF($H166=BP$3,$J166,0)</f>
        <v/>
      </c>
      <c r="BQ166" s="47">
        <f>-IF($E166=BQ$3,$G166,0)+IF($H166=BQ$3,$J166,0)</f>
        <v/>
      </c>
      <c r="BR166" s="47">
        <f>-IF($E166=BR$3,$G166,0)+IF($H166=BR$3,$J166,0)</f>
        <v/>
      </c>
      <c r="BS166" s="47">
        <f>-IF($E166=BS$3,$G166,0)+IF($H166=BS$3,$J166,0)</f>
        <v/>
      </c>
      <c r="BT166" s="47">
        <f>-IF($E166=BT$3,$G166,0)+IF($H166=BT$3,$J166,0)</f>
        <v/>
      </c>
      <c r="BU166" s="46">
        <f>+G166-J166</f>
        <v/>
      </c>
      <c r="BV166" s="48">
        <f>-IF($E166=BV$3,$G166,0)+IF($H166=BV$3,$J166,0)</f>
        <v/>
      </c>
      <c r="BW166" s="3" t="n"/>
    </row>
    <row r="167" ht="15.75" customHeight="1" s="214">
      <c r="A167" s="7" t="n"/>
      <c r="B167" s="8" t="n"/>
      <c r="C167" s="9" t="n"/>
      <c r="D167" s="10" t="n"/>
      <c r="E167" s="247" t="n"/>
      <c r="F167" s="11">
        <f>IF(E167="","",IF(ISNA(VLOOKUP(E167,科目コード表!$C$4:$D$67,2,FALSE)),"該当科目なし",VLOOKUP(E167,科目コード表!$C$4:$D$67,2,FALSE)))</f>
        <v/>
      </c>
      <c r="G167" s="38" t="n"/>
      <c r="H167" s="248" t="n"/>
      <c r="I167" s="11">
        <f>IF(H167="","",IF(ISNA(VLOOKUP(H167,科目コード表!$C$4:$D$67,2,FALSE)),"該当科目なし",VLOOKUP(H167,科目コード表!$C$4:$D$67,2,FALSE)))</f>
        <v/>
      </c>
      <c r="J167" s="40" t="n"/>
      <c r="L167" s="46">
        <f>IF($E167=L$3,$G167,0)-IF($H167=L$3,$J167,0)</f>
        <v/>
      </c>
      <c r="M167" s="47">
        <f>IF($E167=M$3,$G167,0)-IF($H167=M$3,$J167,0)</f>
        <v/>
      </c>
      <c r="N167" s="47">
        <f>IF($E167=N$3,$G167,0)-IF($H167=N$3,$J167,0)</f>
        <v/>
      </c>
      <c r="O167" s="47">
        <f>IF($E167=O$3,$G167,0)-IF($H167=O$3,$J167,0)</f>
        <v/>
      </c>
      <c r="P167" s="47">
        <f>IF($E167=P$3,$G167,0)-IF($H167=P$3,$J167,0)</f>
        <v/>
      </c>
      <c r="Q167" s="47">
        <f>IF($E167=Q$3,$G167,0)-IF($H167=Q$3,$J167,0)</f>
        <v/>
      </c>
      <c r="R167" s="47">
        <f>IF($E167=R$3,$G167,0)-IF($H167=R$3,$J167,0)</f>
        <v/>
      </c>
      <c r="S167" s="47">
        <f>IF($E167=S$3,$G167,0)-IF($H167=S$3,$J167,0)</f>
        <v/>
      </c>
      <c r="T167" s="47">
        <f>IF($E167=T$3,$G167,0)-IF($H167=T$3,$J167,0)</f>
        <v/>
      </c>
      <c r="U167" s="47">
        <f>IF($E167=U$3,$G167,0)-IF($H167=U$3,$J167,0)</f>
        <v/>
      </c>
      <c r="V167" s="47">
        <f>IF($E167=V$3,$G167,0)-IF($H167=V$3,$J167,0)</f>
        <v/>
      </c>
      <c r="W167" s="47">
        <f>IF($E167=W$3,$G167,0)-IF($H167=W$3,$J167,0)</f>
        <v/>
      </c>
      <c r="X167" s="47">
        <f>IF($E167=X$3,$G167,0)-IF($H167=X$3,$J167,0)</f>
        <v/>
      </c>
      <c r="Y167" s="47">
        <f>IF($E167=Y$3,$G167,0)-IF($H167=Y$3,$J167,0)</f>
        <v/>
      </c>
      <c r="Z167" s="47">
        <f>IF($E167=Z$3,$G167,0)-IF($H167=Z$3,$J167,0)</f>
        <v/>
      </c>
      <c r="AA167" s="47">
        <f>IF($E167=AA$3,$G167,0)-IF($H167=AA$3,$J167,0)</f>
        <v/>
      </c>
      <c r="AB167" s="47">
        <f>IF($E167=AB$3,$G167,0)-IF($H167=AB$3,$J167,0)</f>
        <v/>
      </c>
      <c r="AC167" s="47">
        <f>IF($E167=AC$3,$G167,0)-IF($H167=AC$3,$J167,0)</f>
        <v/>
      </c>
      <c r="AD167" s="47">
        <f>IF($E167=AD$3,$G167,0)-IF($H167=AD$3,$J167,0)</f>
        <v/>
      </c>
      <c r="AE167" s="47">
        <f>IF($E167=AE$3,$G167,0)-IF($H167=AE$3,$J167,0)</f>
        <v/>
      </c>
      <c r="AF167" s="47">
        <f>IF($E167=AF$3,$G167,0)-IF($H167=AF$3,$J167,0)</f>
        <v/>
      </c>
      <c r="AG167" s="47">
        <f>IF($E167=AG$3,$G167,0)-IF($H167=AG$3,$J167,0)</f>
        <v/>
      </c>
      <c r="AH167" s="47">
        <f>IF($E167=AH$3,$G167,0)-IF($H167=AH$3,$J167,0)</f>
        <v/>
      </c>
      <c r="AI167" s="47">
        <f>IF($E167=AI$3,$G167,0)-IF($H167=AI$3,$J167,0)</f>
        <v/>
      </c>
      <c r="AJ167" s="47">
        <f>IF($E167=AJ$3,$G167,0)-IF($H167=AJ$3,$J167,0)</f>
        <v/>
      </c>
      <c r="AK167" s="47">
        <f>IF($E167=AK$3,$G167,0)-IF($H167=AK$3,$J167,0)</f>
        <v/>
      </c>
      <c r="AL167" s="48">
        <f>IF($E167=AL$3,$G167,0)-IF($H167=AL$3,$J167,0)</f>
        <v/>
      </c>
      <c r="AM167" s="46">
        <f>-IF($E167=AM$3,$G167,0)+IF($H167=AM$3,$J167,0)</f>
        <v/>
      </c>
      <c r="AN167" s="47">
        <f>-IF($E167=AN$3,$G167,0)+IF($H167=AN$3,$J167,0)</f>
        <v/>
      </c>
      <c r="AO167" s="48">
        <f>-IF($E167=AO$3,$G167,0)+IF($H167=AO$3,$J167,0)</f>
        <v/>
      </c>
      <c r="AP167" s="46">
        <f>IF($E167=AP$3,$G167,0)-IF($H167=AP$3,$J167,0)</f>
        <v/>
      </c>
      <c r="AQ167" s="47">
        <f>IF($E167=AQ$3,$G167,0)-IF($H167=AQ$3,$J167,0)</f>
        <v/>
      </c>
      <c r="AR167" s="47">
        <f>IF($E167=AR$3,$G167,0)-IF($H167=AR$3,$J167,0)</f>
        <v/>
      </c>
      <c r="AS167" s="47">
        <f>IF($E167=AS$3,$G167,0)-IF($H167=AS$3,$J167,0)</f>
        <v/>
      </c>
      <c r="AT167" s="47">
        <f>IF($E167=AT$3,$G167,0)-IF($H167=AT$3,$J167,0)</f>
        <v/>
      </c>
      <c r="AU167" s="47">
        <f>IF($E167=AU$3,$G167,0)-IF($H167=AU$3,$J167,0)</f>
        <v/>
      </c>
      <c r="AV167" s="47">
        <f>IF($E167=AV$3,$G167,0)-IF($H167=AV$3,$J167,0)</f>
        <v/>
      </c>
      <c r="AW167" s="47">
        <f>IF($E167=AW$3,$G167,0)-IF($H167=AW$3,$J167,0)</f>
        <v/>
      </c>
      <c r="AX167" s="47">
        <f>IF($E167=AX$3,$G167,0)-IF($H167=AX$3,$J167,0)</f>
        <v/>
      </c>
      <c r="AY167" s="47">
        <f>IF($E167=AY$3,$G167,0)-IF($H167=AY$3,$J167,0)</f>
        <v/>
      </c>
      <c r="AZ167" s="47">
        <f>IF($E167=AZ$3,$G167,0)-IF($H167=AZ$3,$J167,0)</f>
        <v/>
      </c>
      <c r="BA167" s="47">
        <f>IF($E167=BA$3,$G167,0)-IF($H167=BA$3,$J167,0)</f>
        <v/>
      </c>
      <c r="BB167" s="47">
        <f>IF($E167=BB$3,$G167,0)-IF($H167=BB$3,$J167,0)</f>
        <v/>
      </c>
      <c r="BC167" s="47">
        <f>IF($E167=BC$3,$G167,0)-IF($H167=BC$3,$J167,0)</f>
        <v/>
      </c>
      <c r="BD167" s="47">
        <f>IF($E167=BD$3,$G167,0)-IF($H167=BD$3,$J167,0)</f>
        <v/>
      </c>
      <c r="BE167" s="47">
        <f>IF($E167=BE$3,$G167,0)-IF($H167=BE$3,$J167,0)</f>
        <v/>
      </c>
      <c r="BF167" s="47">
        <f>IF($E167=BF$3,$G167,0)-IF($H167=BF$3,$J167,0)</f>
        <v/>
      </c>
      <c r="BG167" s="47">
        <f>IF($E167=BG$3,$G167,0)-IF($H167=BG$3,$J167,0)</f>
        <v/>
      </c>
      <c r="BH167" s="47">
        <f>IF($E167=BH$3,$G167,0)-IF($H167=BH$3,$J167,0)</f>
        <v/>
      </c>
      <c r="BI167" s="47">
        <f>IF($E167=BI$3,$G167,0)-IF($H167=BI$3,$J167,0)</f>
        <v/>
      </c>
      <c r="BJ167" s="47">
        <f>IF($E167=BJ$3,$G167,0)-IF($H167=BJ$3,$J167,0)</f>
        <v/>
      </c>
      <c r="BK167" s="47">
        <f>IF($E167=BK$3,$G167,0)-IF($H167=BK$3,$J167,0)</f>
        <v/>
      </c>
      <c r="BL167" s="46">
        <f>-IF($E167=BL$3,$G167,0)+IF($H167=BL$3,$J167,0)</f>
        <v/>
      </c>
      <c r="BM167" s="47">
        <f>-IF($E167=BM$3,$G167,0)+IF($H167=BM$3,$J167,0)</f>
        <v/>
      </c>
      <c r="BN167" s="47">
        <f>-IF($E167=BN$3,$G167,0)+IF($H167=BN$3,$J167,0)</f>
        <v/>
      </c>
      <c r="BO167" s="47">
        <f>-IF($E167=BO$3,$G167,0)+IF($H167=BO$3,$J167,0)</f>
        <v/>
      </c>
      <c r="BP167" s="47">
        <f>-IF($E167=BP$3,$G167,0)+IF($H167=BP$3,$J167,0)</f>
        <v/>
      </c>
      <c r="BQ167" s="47">
        <f>-IF($E167=BQ$3,$G167,0)+IF($H167=BQ$3,$J167,0)</f>
        <v/>
      </c>
      <c r="BR167" s="47">
        <f>-IF($E167=BR$3,$G167,0)+IF($H167=BR$3,$J167,0)</f>
        <v/>
      </c>
      <c r="BS167" s="47">
        <f>-IF($E167=BS$3,$G167,0)+IF($H167=BS$3,$J167,0)</f>
        <v/>
      </c>
      <c r="BT167" s="47">
        <f>-IF($E167=BT$3,$G167,0)+IF($H167=BT$3,$J167,0)</f>
        <v/>
      </c>
      <c r="BU167" s="46">
        <f>+G167-J167</f>
        <v/>
      </c>
      <c r="BV167" s="48">
        <f>-IF($E167=BV$3,$G167,0)+IF($H167=BV$3,$J167,0)</f>
        <v/>
      </c>
      <c r="BW167" s="3" t="n"/>
    </row>
    <row r="168" ht="15.75" customHeight="1" s="214">
      <c r="A168" s="7" t="n"/>
      <c r="B168" s="8" t="n"/>
      <c r="C168" s="9" t="n"/>
      <c r="D168" s="10" t="n"/>
      <c r="E168" s="247" t="n"/>
      <c r="F168" s="11">
        <f>IF(E168="","",IF(ISNA(VLOOKUP(E168,科目コード表!$C$4:$D$67,2,FALSE)),"該当科目なし",VLOOKUP(E168,科目コード表!$C$4:$D$67,2,FALSE)))</f>
        <v/>
      </c>
      <c r="G168" s="38" t="n"/>
      <c r="H168" s="248" t="n"/>
      <c r="I168" s="11">
        <f>IF(H168="","",IF(ISNA(VLOOKUP(H168,科目コード表!$C$4:$D$67,2,FALSE)),"該当科目なし",VLOOKUP(H168,科目コード表!$C$4:$D$67,2,FALSE)))</f>
        <v/>
      </c>
      <c r="J168" s="40" t="n"/>
      <c r="L168" s="46">
        <f>IF($E168=L$3,$G168,0)-IF($H168=L$3,$J168,0)</f>
        <v/>
      </c>
      <c r="M168" s="47">
        <f>IF($E168=M$3,$G168,0)-IF($H168=M$3,$J168,0)</f>
        <v/>
      </c>
      <c r="N168" s="47">
        <f>IF($E168=N$3,$G168,0)-IF($H168=N$3,$J168,0)</f>
        <v/>
      </c>
      <c r="O168" s="47">
        <f>IF($E168=O$3,$G168,0)-IF($H168=O$3,$J168,0)</f>
        <v/>
      </c>
      <c r="P168" s="47">
        <f>IF($E168=P$3,$G168,0)-IF($H168=P$3,$J168,0)</f>
        <v/>
      </c>
      <c r="Q168" s="47">
        <f>IF($E168=Q$3,$G168,0)-IF($H168=Q$3,$J168,0)</f>
        <v/>
      </c>
      <c r="R168" s="47">
        <f>IF($E168=R$3,$G168,0)-IF($H168=R$3,$J168,0)</f>
        <v/>
      </c>
      <c r="S168" s="47">
        <f>IF($E168=S$3,$G168,0)-IF($H168=S$3,$J168,0)</f>
        <v/>
      </c>
      <c r="T168" s="47">
        <f>IF($E168=T$3,$G168,0)-IF($H168=T$3,$J168,0)</f>
        <v/>
      </c>
      <c r="U168" s="47">
        <f>IF($E168=U$3,$G168,0)-IF($H168=U$3,$J168,0)</f>
        <v/>
      </c>
      <c r="V168" s="47">
        <f>IF($E168=V$3,$G168,0)-IF($H168=V$3,$J168,0)</f>
        <v/>
      </c>
      <c r="W168" s="47">
        <f>IF($E168=W$3,$G168,0)-IF($H168=W$3,$J168,0)</f>
        <v/>
      </c>
      <c r="X168" s="47">
        <f>IF($E168=X$3,$G168,0)-IF($H168=X$3,$J168,0)</f>
        <v/>
      </c>
      <c r="Y168" s="47">
        <f>IF($E168=Y$3,$G168,0)-IF($H168=Y$3,$J168,0)</f>
        <v/>
      </c>
      <c r="Z168" s="47">
        <f>IF($E168=Z$3,$G168,0)-IF($H168=Z$3,$J168,0)</f>
        <v/>
      </c>
      <c r="AA168" s="47">
        <f>IF($E168=AA$3,$G168,0)-IF($H168=AA$3,$J168,0)</f>
        <v/>
      </c>
      <c r="AB168" s="47">
        <f>IF($E168=AB$3,$G168,0)-IF($H168=AB$3,$J168,0)</f>
        <v/>
      </c>
      <c r="AC168" s="47">
        <f>IF($E168=AC$3,$G168,0)-IF($H168=AC$3,$J168,0)</f>
        <v/>
      </c>
      <c r="AD168" s="47">
        <f>IF($E168=AD$3,$G168,0)-IF($H168=AD$3,$J168,0)</f>
        <v/>
      </c>
      <c r="AE168" s="47">
        <f>IF($E168=AE$3,$G168,0)-IF($H168=AE$3,$J168,0)</f>
        <v/>
      </c>
      <c r="AF168" s="47">
        <f>IF($E168=AF$3,$G168,0)-IF($H168=AF$3,$J168,0)</f>
        <v/>
      </c>
      <c r="AG168" s="47">
        <f>IF($E168=AG$3,$G168,0)-IF($H168=AG$3,$J168,0)</f>
        <v/>
      </c>
      <c r="AH168" s="47">
        <f>IF($E168=AH$3,$G168,0)-IF($H168=AH$3,$J168,0)</f>
        <v/>
      </c>
      <c r="AI168" s="47">
        <f>IF($E168=AI$3,$G168,0)-IF($H168=AI$3,$J168,0)</f>
        <v/>
      </c>
      <c r="AJ168" s="47">
        <f>IF($E168=AJ$3,$G168,0)-IF($H168=AJ$3,$J168,0)</f>
        <v/>
      </c>
      <c r="AK168" s="47">
        <f>IF($E168=AK$3,$G168,0)-IF($H168=AK$3,$J168,0)</f>
        <v/>
      </c>
      <c r="AL168" s="48">
        <f>IF($E168=AL$3,$G168,0)-IF($H168=AL$3,$J168,0)</f>
        <v/>
      </c>
      <c r="AM168" s="46">
        <f>-IF($E168=AM$3,$G168,0)+IF($H168=AM$3,$J168,0)</f>
        <v/>
      </c>
      <c r="AN168" s="47">
        <f>-IF($E168=AN$3,$G168,0)+IF($H168=AN$3,$J168,0)</f>
        <v/>
      </c>
      <c r="AO168" s="48">
        <f>-IF($E168=AO$3,$G168,0)+IF($H168=AO$3,$J168,0)</f>
        <v/>
      </c>
      <c r="AP168" s="46">
        <f>IF($E168=AP$3,$G168,0)-IF($H168=AP$3,$J168,0)</f>
        <v/>
      </c>
      <c r="AQ168" s="47">
        <f>IF($E168=AQ$3,$G168,0)-IF($H168=AQ$3,$J168,0)</f>
        <v/>
      </c>
      <c r="AR168" s="47">
        <f>IF($E168=AR$3,$G168,0)-IF($H168=AR$3,$J168,0)</f>
        <v/>
      </c>
      <c r="AS168" s="47">
        <f>IF($E168=AS$3,$G168,0)-IF($H168=AS$3,$J168,0)</f>
        <v/>
      </c>
      <c r="AT168" s="47">
        <f>IF($E168=AT$3,$G168,0)-IF($H168=AT$3,$J168,0)</f>
        <v/>
      </c>
      <c r="AU168" s="47">
        <f>IF($E168=AU$3,$G168,0)-IF($H168=AU$3,$J168,0)</f>
        <v/>
      </c>
      <c r="AV168" s="47">
        <f>IF($E168=AV$3,$G168,0)-IF($H168=AV$3,$J168,0)</f>
        <v/>
      </c>
      <c r="AW168" s="47">
        <f>IF($E168=AW$3,$G168,0)-IF($H168=AW$3,$J168,0)</f>
        <v/>
      </c>
      <c r="AX168" s="47">
        <f>IF($E168=AX$3,$G168,0)-IF($H168=AX$3,$J168,0)</f>
        <v/>
      </c>
      <c r="AY168" s="47">
        <f>IF($E168=AY$3,$G168,0)-IF($H168=AY$3,$J168,0)</f>
        <v/>
      </c>
      <c r="AZ168" s="47">
        <f>IF($E168=AZ$3,$G168,0)-IF($H168=AZ$3,$J168,0)</f>
        <v/>
      </c>
      <c r="BA168" s="47">
        <f>IF($E168=BA$3,$G168,0)-IF($H168=BA$3,$J168,0)</f>
        <v/>
      </c>
      <c r="BB168" s="47">
        <f>IF($E168=BB$3,$G168,0)-IF($H168=BB$3,$J168,0)</f>
        <v/>
      </c>
      <c r="BC168" s="47">
        <f>IF($E168=BC$3,$G168,0)-IF($H168=BC$3,$J168,0)</f>
        <v/>
      </c>
      <c r="BD168" s="47">
        <f>IF($E168=BD$3,$G168,0)-IF($H168=BD$3,$J168,0)</f>
        <v/>
      </c>
      <c r="BE168" s="47">
        <f>IF($E168=BE$3,$G168,0)-IF($H168=BE$3,$J168,0)</f>
        <v/>
      </c>
      <c r="BF168" s="47">
        <f>IF($E168=BF$3,$G168,0)-IF($H168=BF$3,$J168,0)</f>
        <v/>
      </c>
      <c r="BG168" s="47">
        <f>IF($E168=BG$3,$G168,0)-IF($H168=BG$3,$J168,0)</f>
        <v/>
      </c>
      <c r="BH168" s="47">
        <f>IF($E168=BH$3,$G168,0)-IF($H168=BH$3,$J168,0)</f>
        <v/>
      </c>
      <c r="BI168" s="47">
        <f>IF($E168=BI$3,$G168,0)-IF($H168=BI$3,$J168,0)</f>
        <v/>
      </c>
      <c r="BJ168" s="47">
        <f>IF($E168=BJ$3,$G168,0)-IF($H168=BJ$3,$J168,0)</f>
        <v/>
      </c>
      <c r="BK168" s="47">
        <f>IF($E168=BK$3,$G168,0)-IF($H168=BK$3,$J168,0)</f>
        <v/>
      </c>
      <c r="BL168" s="46">
        <f>-IF($E168=BL$3,$G168,0)+IF($H168=BL$3,$J168,0)</f>
        <v/>
      </c>
      <c r="BM168" s="47">
        <f>-IF($E168=BM$3,$G168,0)+IF($H168=BM$3,$J168,0)</f>
        <v/>
      </c>
      <c r="BN168" s="47">
        <f>-IF($E168=BN$3,$G168,0)+IF($H168=BN$3,$J168,0)</f>
        <v/>
      </c>
      <c r="BO168" s="47">
        <f>-IF($E168=BO$3,$G168,0)+IF($H168=BO$3,$J168,0)</f>
        <v/>
      </c>
      <c r="BP168" s="47">
        <f>-IF($E168=BP$3,$G168,0)+IF($H168=BP$3,$J168,0)</f>
        <v/>
      </c>
      <c r="BQ168" s="47">
        <f>-IF($E168=BQ$3,$G168,0)+IF($H168=BQ$3,$J168,0)</f>
        <v/>
      </c>
      <c r="BR168" s="47">
        <f>-IF($E168=BR$3,$G168,0)+IF($H168=BR$3,$J168,0)</f>
        <v/>
      </c>
      <c r="BS168" s="47">
        <f>-IF($E168=BS$3,$G168,0)+IF($H168=BS$3,$J168,0)</f>
        <v/>
      </c>
      <c r="BT168" s="47">
        <f>-IF($E168=BT$3,$G168,0)+IF($H168=BT$3,$J168,0)</f>
        <v/>
      </c>
      <c r="BU168" s="46">
        <f>+G168-J168</f>
        <v/>
      </c>
      <c r="BV168" s="48">
        <f>-IF($E168=BV$3,$G168,0)+IF($H168=BV$3,$J168,0)</f>
        <v/>
      </c>
      <c r="BW168" s="3" t="n"/>
    </row>
    <row r="169" ht="15.75" customHeight="1" s="214">
      <c r="A169" s="7" t="n"/>
      <c r="B169" s="8" t="n"/>
      <c r="C169" s="9" t="n"/>
      <c r="D169" s="10" t="n"/>
      <c r="E169" s="247" t="n"/>
      <c r="F169" s="11">
        <f>IF(E169="","",IF(ISNA(VLOOKUP(E169,科目コード表!$C$4:$D$67,2,FALSE)),"該当科目なし",VLOOKUP(E169,科目コード表!$C$4:$D$67,2,FALSE)))</f>
        <v/>
      </c>
      <c r="G169" s="38" t="n"/>
      <c r="H169" s="248" t="n"/>
      <c r="I169" s="11">
        <f>IF(H169="","",IF(ISNA(VLOOKUP(H169,科目コード表!$C$4:$D$67,2,FALSE)),"該当科目なし",VLOOKUP(H169,科目コード表!$C$4:$D$67,2,FALSE)))</f>
        <v/>
      </c>
      <c r="J169" s="40" t="n"/>
      <c r="L169" s="46">
        <f>IF($E169=L$3,$G169,0)-IF($H169=L$3,$J169,0)</f>
        <v/>
      </c>
      <c r="M169" s="47">
        <f>IF($E169=M$3,$G169,0)-IF($H169=M$3,$J169,0)</f>
        <v/>
      </c>
      <c r="N169" s="47">
        <f>IF($E169=N$3,$G169,0)-IF($H169=N$3,$J169,0)</f>
        <v/>
      </c>
      <c r="O169" s="47">
        <f>IF($E169=O$3,$G169,0)-IF($H169=O$3,$J169,0)</f>
        <v/>
      </c>
      <c r="P169" s="47">
        <f>IF($E169=P$3,$G169,0)-IF($H169=P$3,$J169,0)</f>
        <v/>
      </c>
      <c r="Q169" s="47">
        <f>IF($E169=Q$3,$G169,0)-IF($H169=Q$3,$J169,0)</f>
        <v/>
      </c>
      <c r="R169" s="47">
        <f>IF($E169=R$3,$G169,0)-IF($H169=R$3,$J169,0)</f>
        <v/>
      </c>
      <c r="S169" s="47">
        <f>IF($E169=S$3,$G169,0)-IF($H169=S$3,$J169,0)</f>
        <v/>
      </c>
      <c r="T169" s="47">
        <f>IF($E169=T$3,$G169,0)-IF($H169=T$3,$J169,0)</f>
        <v/>
      </c>
      <c r="U169" s="47">
        <f>IF($E169=U$3,$G169,0)-IF($H169=U$3,$J169,0)</f>
        <v/>
      </c>
      <c r="V169" s="47">
        <f>IF($E169=V$3,$G169,0)-IF($H169=V$3,$J169,0)</f>
        <v/>
      </c>
      <c r="W169" s="47">
        <f>IF($E169=W$3,$G169,0)-IF($H169=W$3,$J169,0)</f>
        <v/>
      </c>
      <c r="X169" s="47">
        <f>IF($E169=X$3,$G169,0)-IF($H169=X$3,$J169,0)</f>
        <v/>
      </c>
      <c r="Y169" s="47">
        <f>IF($E169=Y$3,$G169,0)-IF($H169=Y$3,$J169,0)</f>
        <v/>
      </c>
      <c r="Z169" s="47">
        <f>IF($E169=Z$3,$G169,0)-IF($H169=Z$3,$J169,0)</f>
        <v/>
      </c>
      <c r="AA169" s="47">
        <f>IF($E169=AA$3,$G169,0)-IF($H169=AA$3,$J169,0)</f>
        <v/>
      </c>
      <c r="AB169" s="47">
        <f>IF($E169=AB$3,$G169,0)-IF($H169=AB$3,$J169,0)</f>
        <v/>
      </c>
      <c r="AC169" s="47">
        <f>IF($E169=AC$3,$G169,0)-IF($H169=AC$3,$J169,0)</f>
        <v/>
      </c>
      <c r="AD169" s="47">
        <f>IF($E169=AD$3,$G169,0)-IF($H169=AD$3,$J169,0)</f>
        <v/>
      </c>
      <c r="AE169" s="47">
        <f>IF($E169=AE$3,$G169,0)-IF($H169=AE$3,$J169,0)</f>
        <v/>
      </c>
      <c r="AF169" s="47">
        <f>IF($E169=AF$3,$G169,0)-IF($H169=AF$3,$J169,0)</f>
        <v/>
      </c>
      <c r="AG169" s="47">
        <f>IF($E169=AG$3,$G169,0)-IF($H169=AG$3,$J169,0)</f>
        <v/>
      </c>
      <c r="AH169" s="47">
        <f>IF($E169=AH$3,$G169,0)-IF($H169=AH$3,$J169,0)</f>
        <v/>
      </c>
      <c r="AI169" s="47">
        <f>IF($E169=AI$3,$G169,0)-IF($H169=AI$3,$J169,0)</f>
        <v/>
      </c>
      <c r="AJ169" s="47">
        <f>IF($E169=AJ$3,$G169,0)-IF($H169=AJ$3,$J169,0)</f>
        <v/>
      </c>
      <c r="AK169" s="47">
        <f>IF($E169=AK$3,$G169,0)-IF($H169=AK$3,$J169,0)</f>
        <v/>
      </c>
      <c r="AL169" s="48">
        <f>IF($E169=AL$3,$G169,0)-IF($H169=AL$3,$J169,0)</f>
        <v/>
      </c>
      <c r="AM169" s="46">
        <f>-IF($E169=AM$3,$G169,0)+IF($H169=AM$3,$J169,0)</f>
        <v/>
      </c>
      <c r="AN169" s="47">
        <f>-IF($E169=AN$3,$G169,0)+IF($H169=AN$3,$J169,0)</f>
        <v/>
      </c>
      <c r="AO169" s="48">
        <f>-IF($E169=AO$3,$G169,0)+IF($H169=AO$3,$J169,0)</f>
        <v/>
      </c>
      <c r="AP169" s="46">
        <f>IF($E169=AP$3,$G169,0)-IF($H169=AP$3,$J169,0)</f>
        <v/>
      </c>
      <c r="AQ169" s="47">
        <f>IF($E169=AQ$3,$G169,0)-IF($H169=AQ$3,$J169,0)</f>
        <v/>
      </c>
      <c r="AR169" s="47">
        <f>IF($E169=AR$3,$G169,0)-IF($H169=AR$3,$J169,0)</f>
        <v/>
      </c>
      <c r="AS169" s="47">
        <f>IF($E169=AS$3,$G169,0)-IF($H169=AS$3,$J169,0)</f>
        <v/>
      </c>
      <c r="AT169" s="47">
        <f>IF($E169=AT$3,$G169,0)-IF($H169=AT$3,$J169,0)</f>
        <v/>
      </c>
      <c r="AU169" s="47">
        <f>IF($E169=AU$3,$G169,0)-IF($H169=AU$3,$J169,0)</f>
        <v/>
      </c>
      <c r="AV169" s="47">
        <f>IF($E169=AV$3,$G169,0)-IF($H169=AV$3,$J169,0)</f>
        <v/>
      </c>
      <c r="AW169" s="47">
        <f>IF($E169=AW$3,$G169,0)-IF($H169=AW$3,$J169,0)</f>
        <v/>
      </c>
      <c r="AX169" s="47">
        <f>IF($E169=AX$3,$G169,0)-IF($H169=AX$3,$J169,0)</f>
        <v/>
      </c>
      <c r="AY169" s="47">
        <f>IF($E169=AY$3,$G169,0)-IF($H169=AY$3,$J169,0)</f>
        <v/>
      </c>
      <c r="AZ169" s="47">
        <f>IF($E169=AZ$3,$G169,0)-IF($H169=AZ$3,$J169,0)</f>
        <v/>
      </c>
      <c r="BA169" s="47">
        <f>IF($E169=BA$3,$G169,0)-IF($H169=BA$3,$J169,0)</f>
        <v/>
      </c>
      <c r="BB169" s="47">
        <f>IF($E169=BB$3,$G169,0)-IF($H169=BB$3,$J169,0)</f>
        <v/>
      </c>
      <c r="BC169" s="47">
        <f>IF($E169=BC$3,$G169,0)-IF($H169=BC$3,$J169,0)</f>
        <v/>
      </c>
      <c r="BD169" s="47">
        <f>IF($E169=BD$3,$G169,0)-IF($H169=BD$3,$J169,0)</f>
        <v/>
      </c>
      <c r="BE169" s="47">
        <f>IF($E169=BE$3,$G169,0)-IF($H169=BE$3,$J169,0)</f>
        <v/>
      </c>
      <c r="BF169" s="47">
        <f>IF($E169=BF$3,$G169,0)-IF($H169=BF$3,$J169,0)</f>
        <v/>
      </c>
      <c r="BG169" s="47">
        <f>IF($E169=BG$3,$G169,0)-IF($H169=BG$3,$J169,0)</f>
        <v/>
      </c>
      <c r="BH169" s="47">
        <f>IF($E169=BH$3,$G169,0)-IF($H169=BH$3,$J169,0)</f>
        <v/>
      </c>
      <c r="BI169" s="47">
        <f>IF($E169=BI$3,$G169,0)-IF($H169=BI$3,$J169,0)</f>
        <v/>
      </c>
      <c r="BJ169" s="47">
        <f>IF($E169=BJ$3,$G169,0)-IF($H169=BJ$3,$J169,0)</f>
        <v/>
      </c>
      <c r="BK169" s="47">
        <f>IF($E169=BK$3,$G169,0)-IF($H169=BK$3,$J169,0)</f>
        <v/>
      </c>
      <c r="BL169" s="46">
        <f>-IF($E169=BL$3,$G169,0)+IF($H169=BL$3,$J169,0)</f>
        <v/>
      </c>
      <c r="BM169" s="47">
        <f>-IF($E169=BM$3,$G169,0)+IF($H169=BM$3,$J169,0)</f>
        <v/>
      </c>
      <c r="BN169" s="47">
        <f>-IF($E169=BN$3,$G169,0)+IF($H169=BN$3,$J169,0)</f>
        <v/>
      </c>
      <c r="BO169" s="47">
        <f>-IF($E169=BO$3,$G169,0)+IF($H169=BO$3,$J169,0)</f>
        <v/>
      </c>
      <c r="BP169" s="47">
        <f>-IF($E169=BP$3,$G169,0)+IF($H169=BP$3,$J169,0)</f>
        <v/>
      </c>
      <c r="BQ169" s="47">
        <f>-IF($E169=BQ$3,$G169,0)+IF($H169=BQ$3,$J169,0)</f>
        <v/>
      </c>
      <c r="BR169" s="47">
        <f>-IF($E169=BR$3,$G169,0)+IF($H169=BR$3,$J169,0)</f>
        <v/>
      </c>
      <c r="BS169" s="47">
        <f>-IF($E169=BS$3,$G169,0)+IF($H169=BS$3,$J169,0)</f>
        <v/>
      </c>
      <c r="BT169" s="47">
        <f>-IF($E169=BT$3,$G169,0)+IF($H169=BT$3,$J169,0)</f>
        <v/>
      </c>
      <c r="BU169" s="46">
        <f>+G169-J169</f>
        <v/>
      </c>
      <c r="BV169" s="48">
        <f>-IF($E169=BV$3,$G169,0)+IF($H169=BV$3,$J169,0)</f>
        <v/>
      </c>
      <c r="BW169" s="3" t="n"/>
    </row>
    <row r="170" ht="15.75" customHeight="1" s="214">
      <c r="A170" s="7" t="n"/>
      <c r="B170" s="8" t="n"/>
      <c r="C170" s="9" t="n"/>
      <c r="D170" s="10" t="n"/>
      <c r="E170" s="247" t="n"/>
      <c r="F170" s="11">
        <f>IF(E170="","",IF(ISNA(VLOOKUP(E170,科目コード表!$C$4:$D$67,2,FALSE)),"該当科目なし",VLOOKUP(E170,科目コード表!$C$4:$D$67,2,FALSE)))</f>
        <v/>
      </c>
      <c r="G170" s="38" t="n"/>
      <c r="H170" s="248" t="n"/>
      <c r="I170" s="11">
        <f>IF(H170="","",IF(ISNA(VLOOKUP(H170,科目コード表!$C$4:$D$67,2,FALSE)),"該当科目なし",VLOOKUP(H170,科目コード表!$C$4:$D$67,2,FALSE)))</f>
        <v/>
      </c>
      <c r="J170" s="40" t="n"/>
      <c r="L170" s="46">
        <f>IF($E170=L$3,$G170,0)-IF($H170=L$3,$J170,0)</f>
        <v/>
      </c>
      <c r="M170" s="47">
        <f>IF($E170=M$3,$G170,0)-IF($H170=M$3,$J170,0)</f>
        <v/>
      </c>
      <c r="N170" s="47">
        <f>IF($E170=N$3,$G170,0)-IF($H170=N$3,$J170,0)</f>
        <v/>
      </c>
      <c r="O170" s="47">
        <f>IF($E170=O$3,$G170,0)-IF($H170=O$3,$J170,0)</f>
        <v/>
      </c>
      <c r="P170" s="47">
        <f>IF($E170=P$3,$G170,0)-IF($H170=P$3,$J170,0)</f>
        <v/>
      </c>
      <c r="Q170" s="47">
        <f>IF($E170=Q$3,$G170,0)-IF($H170=Q$3,$J170,0)</f>
        <v/>
      </c>
      <c r="R170" s="47">
        <f>IF($E170=R$3,$G170,0)-IF($H170=R$3,$J170,0)</f>
        <v/>
      </c>
      <c r="S170" s="47">
        <f>IF($E170=S$3,$G170,0)-IF($H170=S$3,$J170,0)</f>
        <v/>
      </c>
      <c r="T170" s="47">
        <f>IF($E170=T$3,$G170,0)-IF($H170=T$3,$J170,0)</f>
        <v/>
      </c>
      <c r="U170" s="47">
        <f>IF($E170=U$3,$G170,0)-IF($H170=U$3,$J170,0)</f>
        <v/>
      </c>
      <c r="V170" s="47">
        <f>IF($E170=V$3,$G170,0)-IF($H170=V$3,$J170,0)</f>
        <v/>
      </c>
      <c r="W170" s="47">
        <f>IF($E170=W$3,$G170,0)-IF($H170=W$3,$J170,0)</f>
        <v/>
      </c>
      <c r="X170" s="47">
        <f>IF($E170=X$3,$G170,0)-IF($H170=X$3,$J170,0)</f>
        <v/>
      </c>
      <c r="Y170" s="47">
        <f>IF($E170=Y$3,$G170,0)-IF($H170=Y$3,$J170,0)</f>
        <v/>
      </c>
      <c r="Z170" s="47">
        <f>IF($E170=Z$3,$G170,0)-IF($H170=Z$3,$J170,0)</f>
        <v/>
      </c>
      <c r="AA170" s="47">
        <f>IF($E170=AA$3,$G170,0)-IF($H170=AA$3,$J170,0)</f>
        <v/>
      </c>
      <c r="AB170" s="47">
        <f>IF($E170=AB$3,$G170,0)-IF($H170=AB$3,$J170,0)</f>
        <v/>
      </c>
      <c r="AC170" s="47">
        <f>IF($E170=AC$3,$G170,0)-IF($H170=AC$3,$J170,0)</f>
        <v/>
      </c>
      <c r="AD170" s="47">
        <f>IF($E170=AD$3,$G170,0)-IF($H170=AD$3,$J170,0)</f>
        <v/>
      </c>
      <c r="AE170" s="47">
        <f>IF($E170=AE$3,$G170,0)-IF($H170=AE$3,$J170,0)</f>
        <v/>
      </c>
      <c r="AF170" s="47">
        <f>IF($E170=AF$3,$G170,0)-IF($H170=AF$3,$J170,0)</f>
        <v/>
      </c>
      <c r="AG170" s="47">
        <f>IF($E170=AG$3,$G170,0)-IF($H170=AG$3,$J170,0)</f>
        <v/>
      </c>
      <c r="AH170" s="47">
        <f>IF($E170=AH$3,$G170,0)-IF($H170=AH$3,$J170,0)</f>
        <v/>
      </c>
      <c r="AI170" s="47">
        <f>IF($E170=AI$3,$G170,0)-IF($H170=AI$3,$J170,0)</f>
        <v/>
      </c>
      <c r="AJ170" s="47">
        <f>IF($E170=AJ$3,$G170,0)-IF($H170=AJ$3,$J170,0)</f>
        <v/>
      </c>
      <c r="AK170" s="47">
        <f>IF($E170=AK$3,$G170,0)-IF($H170=AK$3,$J170,0)</f>
        <v/>
      </c>
      <c r="AL170" s="48">
        <f>IF($E170=AL$3,$G170,0)-IF($H170=AL$3,$J170,0)</f>
        <v/>
      </c>
      <c r="AM170" s="46">
        <f>-IF($E170=AM$3,$G170,0)+IF($H170=AM$3,$J170,0)</f>
        <v/>
      </c>
      <c r="AN170" s="47">
        <f>-IF($E170=AN$3,$G170,0)+IF($H170=AN$3,$J170,0)</f>
        <v/>
      </c>
      <c r="AO170" s="48">
        <f>-IF($E170=AO$3,$G170,0)+IF($H170=AO$3,$J170,0)</f>
        <v/>
      </c>
      <c r="AP170" s="46">
        <f>IF($E170=AP$3,$G170,0)-IF($H170=AP$3,$J170,0)</f>
        <v/>
      </c>
      <c r="AQ170" s="47">
        <f>IF($E170=AQ$3,$G170,0)-IF($H170=AQ$3,$J170,0)</f>
        <v/>
      </c>
      <c r="AR170" s="47">
        <f>IF($E170=AR$3,$G170,0)-IF($H170=AR$3,$J170,0)</f>
        <v/>
      </c>
      <c r="AS170" s="47">
        <f>IF($E170=AS$3,$G170,0)-IF($H170=AS$3,$J170,0)</f>
        <v/>
      </c>
      <c r="AT170" s="47">
        <f>IF($E170=AT$3,$G170,0)-IF($H170=AT$3,$J170,0)</f>
        <v/>
      </c>
      <c r="AU170" s="47">
        <f>IF($E170=AU$3,$G170,0)-IF($H170=AU$3,$J170,0)</f>
        <v/>
      </c>
      <c r="AV170" s="47">
        <f>IF($E170=AV$3,$G170,0)-IF($H170=AV$3,$J170,0)</f>
        <v/>
      </c>
      <c r="AW170" s="47">
        <f>IF($E170=AW$3,$G170,0)-IF($H170=AW$3,$J170,0)</f>
        <v/>
      </c>
      <c r="AX170" s="47">
        <f>IF($E170=AX$3,$G170,0)-IF($H170=AX$3,$J170,0)</f>
        <v/>
      </c>
      <c r="AY170" s="47">
        <f>IF($E170=AY$3,$G170,0)-IF($H170=AY$3,$J170,0)</f>
        <v/>
      </c>
      <c r="AZ170" s="47">
        <f>IF($E170=AZ$3,$G170,0)-IF($H170=AZ$3,$J170,0)</f>
        <v/>
      </c>
      <c r="BA170" s="47">
        <f>IF($E170=BA$3,$G170,0)-IF($H170=BA$3,$J170,0)</f>
        <v/>
      </c>
      <c r="BB170" s="47">
        <f>IF($E170=BB$3,$G170,0)-IF($H170=BB$3,$J170,0)</f>
        <v/>
      </c>
      <c r="BC170" s="47">
        <f>IF($E170=BC$3,$G170,0)-IF($H170=BC$3,$J170,0)</f>
        <v/>
      </c>
      <c r="BD170" s="47">
        <f>IF($E170=BD$3,$G170,0)-IF($H170=BD$3,$J170,0)</f>
        <v/>
      </c>
      <c r="BE170" s="47">
        <f>IF($E170=BE$3,$G170,0)-IF($H170=BE$3,$J170,0)</f>
        <v/>
      </c>
      <c r="BF170" s="47">
        <f>IF($E170=BF$3,$G170,0)-IF($H170=BF$3,$J170,0)</f>
        <v/>
      </c>
      <c r="BG170" s="47">
        <f>IF($E170=BG$3,$G170,0)-IF($H170=BG$3,$J170,0)</f>
        <v/>
      </c>
      <c r="BH170" s="47">
        <f>IF($E170=BH$3,$G170,0)-IF($H170=BH$3,$J170,0)</f>
        <v/>
      </c>
      <c r="BI170" s="47">
        <f>IF($E170=BI$3,$G170,0)-IF($H170=BI$3,$J170,0)</f>
        <v/>
      </c>
      <c r="BJ170" s="47">
        <f>IF($E170=BJ$3,$G170,0)-IF($H170=BJ$3,$J170,0)</f>
        <v/>
      </c>
      <c r="BK170" s="47">
        <f>IF($E170=BK$3,$G170,0)-IF($H170=BK$3,$J170,0)</f>
        <v/>
      </c>
      <c r="BL170" s="46">
        <f>-IF($E170=BL$3,$G170,0)+IF($H170=BL$3,$J170,0)</f>
        <v/>
      </c>
      <c r="BM170" s="47">
        <f>-IF($E170=BM$3,$G170,0)+IF($H170=BM$3,$J170,0)</f>
        <v/>
      </c>
      <c r="BN170" s="47">
        <f>-IF($E170=BN$3,$G170,0)+IF($H170=BN$3,$J170,0)</f>
        <v/>
      </c>
      <c r="BO170" s="47">
        <f>-IF($E170=BO$3,$G170,0)+IF($H170=BO$3,$J170,0)</f>
        <v/>
      </c>
      <c r="BP170" s="47">
        <f>-IF($E170=BP$3,$G170,0)+IF($H170=BP$3,$J170,0)</f>
        <v/>
      </c>
      <c r="BQ170" s="47">
        <f>-IF($E170=BQ$3,$G170,0)+IF($H170=BQ$3,$J170,0)</f>
        <v/>
      </c>
      <c r="BR170" s="47">
        <f>-IF($E170=BR$3,$G170,0)+IF($H170=BR$3,$J170,0)</f>
        <v/>
      </c>
      <c r="BS170" s="47">
        <f>-IF($E170=BS$3,$G170,0)+IF($H170=BS$3,$J170,0)</f>
        <v/>
      </c>
      <c r="BT170" s="47">
        <f>-IF($E170=BT$3,$G170,0)+IF($H170=BT$3,$J170,0)</f>
        <v/>
      </c>
      <c r="BU170" s="46">
        <f>+G170-J170</f>
        <v/>
      </c>
      <c r="BV170" s="48">
        <f>-IF($E170=BV$3,$G170,0)+IF($H170=BV$3,$J170,0)</f>
        <v/>
      </c>
      <c r="BW170" s="3" t="n"/>
    </row>
    <row r="171" ht="15.75" customHeight="1" s="214">
      <c r="A171" s="7" t="n"/>
      <c r="B171" s="8" t="n"/>
      <c r="C171" s="9" t="n"/>
      <c r="D171" s="10" t="n"/>
      <c r="E171" s="247" t="n"/>
      <c r="F171" s="11">
        <f>IF(E171="","",IF(ISNA(VLOOKUP(E171,科目コード表!$C$4:$D$67,2,FALSE)),"該当科目なし",VLOOKUP(E171,科目コード表!$C$4:$D$67,2,FALSE)))</f>
        <v/>
      </c>
      <c r="G171" s="38" t="n"/>
      <c r="H171" s="248" t="n"/>
      <c r="I171" s="11">
        <f>IF(H171="","",IF(ISNA(VLOOKUP(H171,科目コード表!$C$4:$D$67,2,FALSE)),"該当科目なし",VLOOKUP(H171,科目コード表!$C$4:$D$67,2,FALSE)))</f>
        <v/>
      </c>
      <c r="J171" s="40" t="n"/>
      <c r="L171" s="46">
        <f>IF($E171=L$3,$G171,0)-IF($H171=L$3,$J171,0)</f>
        <v/>
      </c>
      <c r="M171" s="47">
        <f>IF($E171=M$3,$G171,0)-IF($H171=M$3,$J171,0)</f>
        <v/>
      </c>
      <c r="N171" s="47">
        <f>IF($E171=N$3,$G171,0)-IF($H171=N$3,$J171,0)</f>
        <v/>
      </c>
      <c r="O171" s="47">
        <f>IF($E171=O$3,$G171,0)-IF($H171=O$3,$J171,0)</f>
        <v/>
      </c>
      <c r="P171" s="47">
        <f>IF($E171=P$3,$G171,0)-IF($H171=P$3,$J171,0)</f>
        <v/>
      </c>
      <c r="Q171" s="47">
        <f>IF($E171=Q$3,$G171,0)-IF($H171=Q$3,$J171,0)</f>
        <v/>
      </c>
      <c r="R171" s="47">
        <f>IF($E171=R$3,$G171,0)-IF($H171=R$3,$J171,0)</f>
        <v/>
      </c>
      <c r="S171" s="47">
        <f>IF($E171=S$3,$G171,0)-IF($H171=S$3,$J171,0)</f>
        <v/>
      </c>
      <c r="T171" s="47">
        <f>IF($E171=T$3,$G171,0)-IF($H171=T$3,$J171,0)</f>
        <v/>
      </c>
      <c r="U171" s="47">
        <f>IF($E171=U$3,$G171,0)-IF($H171=U$3,$J171,0)</f>
        <v/>
      </c>
      <c r="V171" s="47">
        <f>IF($E171=V$3,$G171,0)-IF($H171=V$3,$J171,0)</f>
        <v/>
      </c>
      <c r="W171" s="47">
        <f>IF($E171=W$3,$G171,0)-IF($H171=W$3,$J171,0)</f>
        <v/>
      </c>
      <c r="X171" s="47">
        <f>IF($E171=X$3,$G171,0)-IF($H171=X$3,$J171,0)</f>
        <v/>
      </c>
      <c r="Y171" s="47">
        <f>IF($E171=Y$3,$G171,0)-IF($H171=Y$3,$J171,0)</f>
        <v/>
      </c>
      <c r="Z171" s="47">
        <f>IF($E171=Z$3,$G171,0)-IF($H171=Z$3,$J171,0)</f>
        <v/>
      </c>
      <c r="AA171" s="47">
        <f>IF($E171=AA$3,$G171,0)-IF($H171=AA$3,$J171,0)</f>
        <v/>
      </c>
      <c r="AB171" s="47">
        <f>IF($E171=AB$3,$G171,0)-IF($H171=AB$3,$J171,0)</f>
        <v/>
      </c>
      <c r="AC171" s="47">
        <f>IF($E171=AC$3,$G171,0)-IF($H171=AC$3,$J171,0)</f>
        <v/>
      </c>
      <c r="AD171" s="47">
        <f>IF($E171=AD$3,$G171,0)-IF($H171=AD$3,$J171,0)</f>
        <v/>
      </c>
      <c r="AE171" s="47">
        <f>IF($E171=AE$3,$G171,0)-IF($H171=AE$3,$J171,0)</f>
        <v/>
      </c>
      <c r="AF171" s="47">
        <f>IF($E171=AF$3,$G171,0)-IF($H171=AF$3,$J171,0)</f>
        <v/>
      </c>
      <c r="AG171" s="47">
        <f>IF($E171=AG$3,$G171,0)-IF($H171=AG$3,$J171,0)</f>
        <v/>
      </c>
      <c r="AH171" s="47">
        <f>IF($E171=AH$3,$G171,0)-IF($H171=AH$3,$J171,0)</f>
        <v/>
      </c>
      <c r="AI171" s="47">
        <f>IF($E171=AI$3,$G171,0)-IF($H171=AI$3,$J171,0)</f>
        <v/>
      </c>
      <c r="AJ171" s="47">
        <f>IF($E171=AJ$3,$G171,0)-IF($H171=AJ$3,$J171,0)</f>
        <v/>
      </c>
      <c r="AK171" s="47">
        <f>IF($E171=AK$3,$G171,0)-IF($H171=AK$3,$J171,0)</f>
        <v/>
      </c>
      <c r="AL171" s="48">
        <f>IF($E171=AL$3,$G171,0)-IF($H171=AL$3,$J171,0)</f>
        <v/>
      </c>
      <c r="AM171" s="46">
        <f>-IF($E171=AM$3,$G171,0)+IF($H171=AM$3,$J171,0)</f>
        <v/>
      </c>
      <c r="AN171" s="47">
        <f>-IF($E171=AN$3,$G171,0)+IF($H171=AN$3,$J171,0)</f>
        <v/>
      </c>
      <c r="AO171" s="48">
        <f>-IF($E171=AO$3,$G171,0)+IF($H171=AO$3,$J171,0)</f>
        <v/>
      </c>
      <c r="AP171" s="46">
        <f>IF($E171=AP$3,$G171,0)-IF($H171=AP$3,$J171,0)</f>
        <v/>
      </c>
      <c r="AQ171" s="47">
        <f>IF($E171=AQ$3,$G171,0)-IF($H171=AQ$3,$J171,0)</f>
        <v/>
      </c>
      <c r="AR171" s="47">
        <f>IF($E171=AR$3,$G171,0)-IF($H171=AR$3,$J171,0)</f>
        <v/>
      </c>
      <c r="AS171" s="47">
        <f>IF($E171=AS$3,$G171,0)-IF($H171=AS$3,$J171,0)</f>
        <v/>
      </c>
      <c r="AT171" s="47">
        <f>IF($E171=AT$3,$G171,0)-IF($H171=AT$3,$J171,0)</f>
        <v/>
      </c>
      <c r="AU171" s="47">
        <f>IF($E171=AU$3,$G171,0)-IF($H171=AU$3,$J171,0)</f>
        <v/>
      </c>
      <c r="AV171" s="47">
        <f>IF($E171=AV$3,$G171,0)-IF($H171=AV$3,$J171,0)</f>
        <v/>
      </c>
      <c r="AW171" s="47">
        <f>IF($E171=AW$3,$G171,0)-IF($H171=AW$3,$J171,0)</f>
        <v/>
      </c>
      <c r="AX171" s="47">
        <f>IF($E171=AX$3,$G171,0)-IF($H171=AX$3,$J171,0)</f>
        <v/>
      </c>
      <c r="AY171" s="47">
        <f>IF($E171=AY$3,$G171,0)-IF($H171=AY$3,$J171,0)</f>
        <v/>
      </c>
      <c r="AZ171" s="47">
        <f>IF($E171=AZ$3,$G171,0)-IF($H171=AZ$3,$J171,0)</f>
        <v/>
      </c>
      <c r="BA171" s="47">
        <f>IF($E171=BA$3,$G171,0)-IF($H171=BA$3,$J171,0)</f>
        <v/>
      </c>
      <c r="BB171" s="47">
        <f>IF($E171=BB$3,$G171,0)-IF($H171=BB$3,$J171,0)</f>
        <v/>
      </c>
      <c r="BC171" s="47">
        <f>IF($E171=BC$3,$G171,0)-IF($H171=BC$3,$J171,0)</f>
        <v/>
      </c>
      <c r="BD171" s="47">
        <f>IF($E171=BD$3,$G171,0)-IF($H171=BD$3,$J171,0)</f>
        <v/>
      </c>
      <c r="BE171" s="47">
        <f>IF($E171=BE$3,$G171,0)-IF($H171=BE$3,$J171,0)</f>
        <v/>
      </c>
      <c r="BF171" s="47">
        <f>IF($E171=BF$3,$G171,0)-IF($H171=BF$3,$J171,0)</f>
        <v/>
      </c>
      <c r="BG171" s="47">
        <f>IF($E171=BG$3,$G171,0)-IF($H171=BG$3,$J171,0)</f>
        <v/>
      </c>
      <c r="BH171" s="47">
        <f>IF($E171=BH$3,$G171,0)-IF($H171=BH$3,$J171,0)</f>
        <v/>
      </c>
      <c r="BI171" s="47">
        <f>IF($E171=BI$3,$G171,0)-IF($H171=BI$3,$J171,0)</f>
        <v/>
      </c>
      <c r="BJ171" s="47">
        <f>IF($E171=BJ$3,$G171,0)-IF($H171=BJ$3,$J171,0)</f>
        <v/>
      </c>
      <c r="BK171" s="47">
        <f>IF($E171=BK$3,$G171,0)-IF($H171=BK$3,$J171,0)</f>
        <v/>
      </c>
      <c r="BL171" s="46">
        <f>-IF($E171=BL$3,$G171,0)+IF($H171=BL$3,$J171,0)</f>
        <v/>
      </c>
      <c r="BM171" s="47">
        <f>-IF($E171=BM$3,$G171,0)+IF($H171=BM$3,$J171,0)</f>
        <v/>
      </c>
      <c r="BN171" s="47">
        <f>-IF($E171=BN$3,$G171,0)+IF($H171=BN$3,$J171,0)</f>
        <v/>
      </c>
      <c r="BO171" s="47">
        <f>-IF($E171=BO$3,$G171,0)+IF($H171=BO$3,$J171,0)</f>
        <v/>
      </c>
      <c r="BP171" s="47">
        <f>-IF($E171=BP$3,$G171,0)+IF($H171=BP$3,$J171,0)</f>
        <v/>
      </c>
      <c r="BQ171" s="47">
        <f>-IF($E171=BQ$3,$G171,0)+IF($H171=BQ$3,$J171,0)</f>
        <v/>
      </c>
      <c r="BR171" s="47">
        <f>-IF($E171=BR$3,$G171,0)+IF($H171=BR$3,$J171,0)</f>
        <v/>
      </c>
      <c r="BS171" s="47">
        <f>-IF($E171=BS$3,$G171,0)+IF($H171=BS$3,$J171,0)</f>
        <v/>
      </c>
      <c r="BT171" s="47">
        <f>-IF($E171=BT$3,$G171,0)+IF($H171=BT$3,$J171,0)</f>
        <v/>
      </c>
      <c r="BU171" s="46">
        <f>+G171-J171</f>
        <v/>
      </c>
      <c r="BV171" s="48">
        <f>-IF($E171=BV$3,$G171,0)+IF($H171=BV$3,$J171,0)</f>
        <v/>
      </c>
      <c r="BW171" s="3" t="n"/>
    </row>
    <row r="172" ht="15.75" customHeight="1" s="214">
      <c r="A172" s="7" t="n"/>
      <c r="B172" s="8" t="n"/>
      <c r="C172" s="9" t="n"/>
      <c r="D172" s="10" t="n"/>
      <c r="E172" s="247" t="n"/>
      <c r="F172" s="11">
        <f>IF(E172="","",IF(ISNA(VLOOKUP(E172,科目コード表!$C$4:$D$67,2,FALSE)),"該当科目なし",VLOOKUP(E172,科目コード表!$C$4:$D$67,2,FALSE)))</f>
        <v/>
      </c>
      <c r="G172" s="38" t="n"/>
      <c r="H172" s="248" t="n"/>
      <c r="I172" s="11">
        <f>IF(H172="","",IF(ISNA(VLOOKUP(H172,科目コード表!$C$4:$D$67,2,FALSE)),"該当科目なし",VLOOKUP(H172,科目コード表!$C$4:$D$67,2,FALSE)))</f>
        <v/>
      </c>
      <c r="J172" s="40" t="n"/>
      <c r="L172" s="46">
        <f>IF($E172=L$3,$G172,0)-IF($H172=L$3,$J172,0)</f>
        <v/>
      </c>
      <c r="M172" s="47">
        <f>IF($E172=M$3,$G172,0)-IF($H172=M$3,$J172,0)</f>
        <v/>
      </c>
      <c r="N172" s="47">
        <f>IF($E172=N$3,$G172,0)-IF($H172=N$3,$J172,0)</f>
        <v/>
      </c>
      <c r="O172" s="47">
        <f>IF($E172=O$3,$G172,0)-IF($H172=O$3,$J172,0)</f>
        <v/>
      </c>
      <c r="P172" s="47">
        <f>IF($E172=P$3,$G172,0)-IF($H172=P$3,$J172,0)</f>
        <v/>
      </c>
      <c r="Q172" s="47">
        <f>IF($E172=Q$3,$G172,0)-IF($H172=Q$3,$J172,0)</f>
        <v/>
      </c>
      <c r="R172" s="47">
        <f>IF($E172=R$3,$G172,0)-IF($H172=R$3,$J172,0)</f>
        <v/>
      </c>
      <c r="S172" s="47">
        <f>IF($E172=S$3,$G172,0)-IF($H172=S$3,$J172,0)</f>
        <v/>
      </c>
      <c r="T172" s="47">
        <f>IF($E172=T$3,$G172,0)-IF($H172=T$3,$J172,0)</f>
        <v/>
      </c>
      <c r="U172" s="47">
        <f>IF($E172=U$3,$G172,0)-IF($H172=U$3,$J172,0)</f>
        <v/>
      </c>
      <c r="V172" s="47">
        <f>IF($E172=V$3,$G172,0)-IF($H172=V$3,$J172,0)</f>
        <v/>
      </c>
      <c r="W172" s="47">
        <f>IF($E172=W$3,$G172,0)-IF($H172=W$3,$J172,0)</f>
        <v/>
      </c>
      <c r="X172" s="47">
        <f>IF($E172=X$3,$G172,0)-IF($H172=X$3,$J172,0)</f>
        <v/>
      </c>
      <c r="Y172" s="47">
        <f>IF($E172=Y$3,$G172,0)-IF($H172=Y$3,$J172,0)</f>
        <v/>
      </c>
      <c r="Z172" s="47">
        <f>IF($E172=Z$3,$G172,0)-IF($H172=Z$3,$J172,0)</f>
        <v/>
      </c>
      <c r="AA172" s="47">
        <f>IF($E172=AA$3,$G172,0)-IF($H172=AA$3,$J172,0)</f>
        <v/>
      </c>
      <c r="AB172" s="47">
        <f>IF($E172=AB$3,$G172,0)-IF($H172=AB$3,$J172,0)</f>
        <v/>
      </c>
      <c r="AC172" s="47">
        <f>IF($E172=AC$3,$G172,0)-IF($H172=AC$3,$J172,0)</f>
        <v/>
      </c>
      <c r="AD172" s="47">
        <f>IF($E172=AD$3,$G172,0)-IF($H172=AD$3,$J172,0)</f>
        <v/>
      </c>
      <c r="AE172" s="47">
        <f>IF($E172=AE$3,$G172,0)-IF($H172=AE$3,$J172,0)</f>
        <v/>
      </c>
      <c r="AF172" s="47">
        <f>IF($E172=AF$3,$G172,0)-IF($H172=AF$3,$J172,0)</f>
        <v/>
      </c>
      <c r="AG172" s="47">
        <f>IF($E172=AG$3,$G172,0)-IF($H172=AG$3,$J172,0)</f>
        <v/>
      </c>
      <c r="AH172" s="47">
        <f>IF($E172=AH$3,$G172,0)-IF($H172=AH$3,$J172,0)</f>
        <v/>
      </c>
      <c r="AI172" s="47">
        <f>IF($E172=AI$3,$G172,0)-IF($H172=AI$3,$J172,0)</f>
        <v/>
      </c>
      <c r="AJ172" s="47">
        <f>IF($E172=AJ$3,$G172,0)-IF($H172=AJ$3,$J172,0)</f>
        <v/>
      </c>
      <c r="AK172" s="47">
        <f>IF($E172=AK$3,$G172,0)-IF($H172=AK$3,$J172,0)</f>
        <v/>
      </c>
      <c r="AL172" s="48">
        <f>IF($E172=AL$3,$G172,0)-IF($H172=AL$3,$J172,0)</f>
        <v/>
      </c>
      <c r="AM172" s="46">
        <f>-IF($E172=AM$3,$G172,0)+IF($H172=AM$3,$J172,0)</f>
        <v/>
      </c>
      <c r="AN172" s="47">
        <f>-IF($E172=AN$3,$G172,0)+IF($H172=AN$3,$J172,0)</f>
        <v/>
      </c>
      <c r="AO172" s="48">
        <f>-IF($E172=AO$3,$G172,0)+IF($H172=AO$3,$J172,0)</f>
        <v/>
      </c>
      <c r="AP172" s="46">
        <f>IF($E172=AP$3,$G172,0)-IF($H172=AP$3,$J172,0)</f>
        <v/>
      </c>
      <c r="AQ172" s="47">
        <f>IF($E172=AQ$3,$G172,0)-IF($H172=AQ$3,$J172,0)</f>
        <v/>
      </c>
      <c r="AR172" s="47">
        <f>IF($E172=AR$3,$G172,0)-IF($H172=AR$3,$J172,0)</f>
        <v/>
      </c>
      <c r="AS172" s="47">
        <f>IF($E172=AS$3,$G172,0)-IF($H172=AS$3,$J172,0)</f>
        <v/>
      </c>
      <c r="AT172" s="47">
        <f>IF($E172=AT$3,$G172,0)-IF($H172=AT$3,$J172,0)</f>
        <v/>
      </c>
      <c r="AU172" s="47">
        <f>IF($E172=AU$3,$G172,0)-IF($H172=AU$3,$J172,0)</f>
        <v/>
      </c>
      <c r="AV172" s="47">
        <f>IF($E172=AV$3,$G172,0)-IF($H172=AV$3,$J172,0)</f>
        <v/>
      </c>
      <c r="AW172" s="47">
        <f>IF($E172=AW$3,$G172,0)-IF($H172=AW$3,$J172,0)</f>
        <v/>
      </c>
      <c r="AX172" s="47">
        <f>IF($E172=AX$3,$G172,0)-IF($H172=AX$3,$J172,0)</f>
        <v/>
      </c>
      <c r="AY172" s="47">
        <f>IF($E172=AY$3,$G172,0)-IF($H172=AY$3,$J172,0)</f>
        <v/>
      </c>
      <c r="AZ172" s="47">
        <f>IF($E172=AZ$3,$G172,0)-IF($H172=AZ$3,$J172,0)</f>
        <v/>
      </c>
      <c r="BA172" s="47">
        <f>IF($E172=BA$3,$G172,0)-IF($H172=BA$3,$J172,0)</f>
        <v/>
      </c>
      <c r="BB172" s="47">
        <f>IF($E172=BB$3,$G172,0)-IF($H172=BB$3,$J172,0)</f>
        <v/>
      </c>
      <c r="BC172" s="47">
        <f>IF($E172=BC$3,$G172,0)-IF($H172=BC$3,$J172,0)</f>
        <v/>
      </c>
      <c r="BD172" s="47">
        <f>IF($E172=BD$3,$G172,0)-IF($H172=BD$3,$J172,0)</f>
        <v/>
      </c>
      <c r="BE172" s="47">
        <f>IF($E172=BE$3,$G172,0)-IF($H172=BE$3,$J172,0)</f>
        <v/>
      </c>
      <c r="BF172" s="47">
        <f>IF($E172=BF$3,$G172,0)-IF($H172=BF$3,$J172,0)</f>
        <v/>
      </c>
      <c r="BG172" s="47">
        <f>IF($E172=BG$3,$G172,0)-IF($H172=BG$3,$J172,0)</f>
        <v/>
      </c>
      <c r="BH172" s="47">
        <f>IF($E172=BH$3,$G172,0)-IF($H172=BH$3,$J172,0)</f>
        <v/>
      </c>
      <c r="BI172" s="47">
        <f>IF($E172=BI$3,$G172,0)-IF($H172=BI$3,$J172,0)</f>
        <v/>
      </c>
      <c r="BJ172" s="47">
        <f>IF($E172=BJ$3,$G172,0)-IF($H172=BJ$3,$J172,0)</f>
        <v/>
      </c>
      <c r="BK172" s="47">
        <f>IF($E172=BK$3,$G172,0)-IF($H172=BK$3,$J172,0)</f>
        <v/>
      </c>
      <c r="BL172" s="46">
        <f>-IF($E172=BL$3,$G172,0)+IF($H172=BL$3,$J172,0)</f>
        <v/>
      </c>
      <c r="BM172" s="47">
        <f>-IF($E172=BM$3,$G172,0)+IF($H172=BM$3,$J172,0)</f>
        <v/>
      </c>
      <c r="BN172" s="47">
        <f>-IF($E172=BN$3,$G172,0)+IF($H172=BN$3,$J172,0)</f>
        <v/>
      </c>
      <c r="BO172" s="47">
        <f>-IF($E172=BO$3,$G172,0)+IF($H172=BO$3,$J172,0)</f>
        <v/>
      </c>
      <c r="BP172" s="47">
        <f>-IF($E172=BP$3,$G172,0)+IF($H172=BP$3,$J172,0)</f>
        <v/>
      </c>
      <c r="BQ172" s="47">
        <f>-IF($E172=BQ$3,$G172,0)+IF($H172=BQ$3,$J172,0)</f>
        <v/>
      </c>
      <c r="BR172" s="47">
        <f>-IF($E172=BR$3,$G172,0)+IF($H172=BR$3,$J172,0)</f>
        <v/>
      </c>
      <c r="BS172" s="47">
        <f>-IF($E172=BS$3,$G172,0)+IF($H172=BS$3,$J172,0)</f>
        <v/>
      </c>
      <c r="BT172" s="47">
        <f>-IF($E172=BT$3,$G172,0)+IF($H172=BT$3,$J172,0)</f>
        <v/>
      </c>
      <c r="BU172" s="46">
        <f>+G172-J172</f>
        <v/>
      </c>
      <c r="BV172" s="48">
        <f>-IF($E172=BV$3,$G172,0)+IF($H172=BV$3,$J172,0)</f>
        <v/>
      </c>
      <c r="BW172" s="3" t="n"/>
    </row>
    <row r="173" ht="15.75" customHeight="1" s="214">
      <c r="A173" s="7" t="n"/>
      <c r="B173" s="8" t="n"/>
      <c r="C173" s="9" t="n"/>
      <c r="D173" s="10" t="n"/>
      <c r="E173" s="247" t="n"/>
      <c r="F173" s="11">
        <f>IF(E173="","",IF(ISNA(VLOOKUP(E173,科目コード表!$C$4:$D$67,2,FALSE)),"該当科目なし",VLOOKUP(E173,科目コード表!$C$4:$D$67,2,FALSE)))</f>
        <v/>
      </c>
      <c r="G173" s="38" t="n"/>
      <c r="H173" s="248" t="n"/>
      <c r="I173" s="11">
        <f>IF(H173="","",IF(ISNA(VLOOKUP(H173,科目コード表!$C$4:$D$67,2,FALSE)),"該当科目なし",VLOOKUP(H173,科目コード表!$C$4:$D$67,2,FALSE)))</f>
        <v/>
      </c>
      <c r="J173" s="40" t="n"/>
      <c r="L173" s="46">
        <f>IF($E173=L$3,$G173,0)-IF($H173=L$3,$J173,0)</f>
        <v/>
      </c>
      <c r="M173" s="47">
        <f>IF($E173=M$3,$G173,0)-IF($H173=M$3,$J173,0)</f>
        <v/>
      </c>
      <c r="N173" s="47">
        <f>IF($E173=N$3,$G173,0)-IF($H173=N$3,$J173,0)</f>
        <v/>
      </c>
      <c r="O173" s="47">
        <f>IF($E173=O$3,$G173,0)-IF($H173=O$3,$J173,0)</f>
        <v/>
      </c>
      <c r="P173" s="47">
        <f>IF($E173=P$3,$G173,0)-IF($H173=P$3,$J173,0)</f>
        <v/>
      </c>
      <c r="Q173" s="47">
        <f>IF($E173=Q$3,$G173,0)-IF($H173=Q$3,$J173,0)</f>
        <v/>
      </c>
      <c r="R173" s="47">
        <f>IF($E173=R$3,$G173,0)-IF($H173=R$3,$J173,0)</f>
        <v/>
      </c>
      <c r="S173" s="47">
        <f>IF($E173=S$3,$G173,0)-IF($H173=S$3,$J173,0)</f>
        <v/>
      </c>
      <c r="T173" s="47">
        <f>IF($E173=T$3,$G173,0)-IF($H173=T$3,$J173,0)</f>
        <v/>
      </c>
      <c r="U173" s="47">
        <f>IF($E173=U$3,$G173,0)-IF($H173=U$3,$J173,0)</f>
        <v/>
      </c>
      <c r="V173" s="47">
        <f>IF($E173=V$3,$G173,0)-IF($H173=V$3,$J173,0)</f>
        <v/>
      </c>
      <c r="W173" s="47">
        <f>IF($E173=W$3,$G173,0)-IF($H173=W$3,$J173,0)</f>
        <v/>
      </c>
      <c r="X173" s="47">
        <f>IF($E173=X$3,$G173,0)-IF($H173=X$3,$J173,0)</f>
        <v/>
      </c>
      <c r="Y173" s="47">
        <f>IF($E173=Y$3,$G173,0)-IF($H173=Y$3,$J173,0)</f>
        <v/>
      </c>
      <c r="Z173" s="47">
        <f>IF($E173=Z$3,$G173,0)-IF($H173=Z$3,$J173,0)</f>
        <v/>
      </c>
      <c r="AA173" s="47">
        <f>IF($E173=AA$3,$G173,0)-IF($H173=AA$3,$J173,0)</f>
        <v/>
      </c>
      <c r="AB173" s="47">
        <f>IF($E173=AB$3,$G173,0)-IF($H173=AB$3,$J173,0)</f>
        <v/>
      </c>
      <c r="AC173" s="47">
        <f>IF($E173=AC$3,$G173,0)-IF($H173=AC$3,$J173,0)</f>
        <v/>
      </c>
      <c r="AD173" s="47">
        <f>IF($E173=AD$3,$G173,0)-IF($H173=AD$3,$J173,0)</f>
        <v/>
      </c>
      <c r="AE173" s="47">
        <f>IF($E173=AE$3,$G173,0)-IF($H173=AE$3,$J173,0)</f>
        <v/>
      </c>
      <c r="AF173" s="47">
        <f>IF($E173=AF$3,$G173,0)-IF($H173=AF$3,$J173,0)</f>
        <v/>
      </c>
      <c r="AG173" s="47">
        <f>IF($E173=AG$3,$G173,0)-IF($H173=AG$3,$J173,0)</f>
        <v/>
      </c>
      <c r="AH173" s="47">
        <f>IF($E173=AH$3,$G173,0)-IF($H173=AH$3,$J173,0)</f>
        <v/>
      </c>
      <c r="AI173" s="47">
        <f>IF($E173=AI$3,$G173,0)-IF($H173=AI$3,$J173,0)</f>
        <v/>
      </c>
      <c r="AJ173" s="47">
        <f>IF($E173=AJ$3,$G173,0)-IF($H173=AJ$3,$J173,0)</f>
        <v/>
      </c>
      <c r="AK173" s="47">
        <f>IF($E173=AK$3,$G173,0)-IF($H173=AK$3,$J173,0)</f>
        <v/>
      </c>
      <c r="AL173" s="48">
        <f>IF($E173=AL$3,$G173,0)-IF($H173=AL$3,$J173,0)</f>
        <v/>
      </c>
      <c r="AM173" s="46">
        <f>-IF($E173=AM$3,$G173,0)+IF($H173=AM$3,$J173,0)</f>
        <v/>
      </c>
      <c r="AN173" s="47">
        <f>-IF($E173=AN$3,$G173,0)+IF($H173=AN$3,$J173,0)</f>
        <v/>
      </c>
      <c r="AO173" s="48">
        <f>-IF($E173=AO$3,$G173,0)+IF($H173=AO$3,$J173,0)</f>
        <v/>
      </c>
      <c r="AP173" s="46">
        <f>IF($E173=AP$3,$G173,0)-IF($H173=AP$3,$J173,0)</f>
        <v/>
      </c>
      <c r="AQ173" s="47">
        <f>IF($E173=AQ$3,$G173,0)-IF($H173=AQ$3,$J173,0)</f>
        <v/>
      </c>
      <c r="AR173" s="47">
        <f>IF($E173=AR$3,$G173,0)-IF($H173=AR$3,$J173,0)</f>
        <v/>
      </c>
      <c r="AS173" s="47">
        <f>IF($E173=AS$3,$G173,0)-IF($H173=AS$3,$J173,0)</f>
        <v/>
      </c>
      <c r="AT173" s="47">
        <f>IF($E173=AT$3,$G173,0)-IF($H173=AT$3,$J173,0)</f>
        <v/>
      </c>
      <c r="AU173" s="47">
        <f>IF($E173=AU$3,$G173,0)-IF($H173=AU$3,$J173,0)</f>
        <v/>
      </c>
      <c r="AV173" s="47">
        <f>IF($E173=AV$3,$G173,0)-IF($H173=AV$3,$J173,0)</f>
        <v/>
      </c>
      <c r="AW173" s="47">
        <f>IF($E173=AW$3,$G173,0)-IF($H173=AW$3,$J173,0)</f>
        <v/>
      </c>
      <c r="AX173" s="47">
        <f>IF($E173=AX$3,$G173,0)-IF($H173=AX$3,$J173,0)</f>
        <v/>
      </c>
      <c r="AY173" s="47">
        <f>IF($E173=AY$3,$G173,0)-IF($H173=AY$3,$J173,0)</f>
        <v/>
      </c>
      <c r="AZ173" s="47">
        <f>IF($E173=AZ$3,$G173,0)-IF($H173=AZ$3,$J173,0)</f>
        <v/>
      </c>
      <c r="BA173" s="47">
        <f>IF($E173=BA$3,$G173,0)-IF($H173=BA$3,$J173,0)</f>
        <v/>
      </c>
      <c r="BB173" s="47">
        <f>IF($E173=BB$3,$G173,0)-IF($H173=BB$3,$J173,0)</f>
        <v/>
      </c>
      <c r="BC173" s="47">
        <f>IF($E173=BC$3,$G173,0)-IF($H173=BC$3,$J173,0)</f>
        <v/>
      </c>
      <c r="BD173" s="47">
        <f>IF($E173=BD$3,$G173,0)-IF($H173=BD$3,$J173,0)</f>
        <v/>
      </c>
      <c r="BE173" s="47">
        <f>IF($E173=BE$3,$G173,0)-IF($H173=BE$3,$J173,0)</f>
        <v/>
      </c>
      <c r="BF173" s="47">
        <f>IF($E173=BF$3,$G173,0)-IF($H173=BF$3,$J173,0)</f>
        <v/>
      </c>
      <c r="BG173" s="47">
        <f>IF($E173=BG$3,$G173,0)-IF($H173=BG$3,$J173,0)</f>
        <v/>
      </c>
      <c r="BH173" s="47">
        <f>IF($E173=BH$3,$G173,0)-IF($H173=BH$3,$J173,0)</f>
        <v/>
      </c>
      <c r="BI173" s="47">
        <f>IF($E173=BI$3,$G173,0)-IF($H173=BI$3,$J173,0)</f>
        <v/>
      </c>
      <c r="BJ173" s="47">
        <f>IF($E173=BJ$3,$G173,0)-IF($H173=BJ$3,$J173,0)</f>
        <v/>
      </c>
      <c r="BK173" s="47">
        <f>IF($E173=BK$3,$G173,0)-IF($H173=BK$3,$J173,0)</f>
        <v/>
      </c>
      <c r="BL173" s="46">
        <f>-IF($E173=BL$3,$G173,0)+IF($H173=BL$3,$J173,0)</f>
        <v/>
      </c>
      <c r="BM173" s="47">
        <f>-IF($E173=BM$3,$G173,0)+IF($H173=BM$3,$J173,0)</f>
        <v/>
      </c>
      <c r="BN173" s="47">
        <f>-IF($E173=BN$3,$G173,0)+IF($H173=BN$3,$J173,0)</f>
        <v/>
      </c>
      <c r="BO173" s="47">
        <f>-IF($E173=BO$3,$G173,0)+IF($H173=BO$3,$J173,0)</f>
        <v/>
      </c>
      <c r="BP173" s="47">
        <f>-IF($E173=BP$3,$G173,0)+IF($H173=BP$3,$J173,0)</f>
        <v/>
      </c>
      <c r="BQ173" s="47">
        <f>-IF($E173=BQ$3,$G173,0)+IF($H173=BQ$3,$J173,0)</f>
        <v/>
      </c>
      <c r="BR173" s="47">
        <f>-IF($E173=BR$3,$G173,0)+IF($H173=BR$3,$J173,0)</f>
        <v/>
      </c>
      <c r="BS173" s="47">
        <f>-IF($E173=BS$3,$G173,0)+IF($H173=BS$3,$J173,0)</f>
        <v/>
      </c>
      <c r="BT173" s="47">
        <f>-IF($E173=BT$3,$G173,0)+IF($H173=BT$3,$J173,0)</f>
        <v/>
      </c>
      <c r="BU173" s="46">
        <f>+G173-J173</f>
        <v/>
      </c>
      <c r="BV173" s="48">
        <f>-IF($E173=BV$3,$G173,0)+IF($H173=BV$3,$J173,0)</f>
        <v/>
      </c>
      <c r="BW173" s="3" t="n"/>
    </row>
    <row r="174" ht="15.75" customHeight="1" s="214">
      <c r="A174" s="7" t="n"/>
      <c r="B174" s="8" t="n"/>
      <c r="C174" s="9" t="n"/>
      <c r="D174" s="10" t="n"/>
      <c r="E174" s="247" t="n"/>
      <c r="F174" s="11">
        <f>IF(E174="","",IF(ISNA(VLOOKUP(E174,科目コード表!$C$4:$D$67,2,FALSE)),"該当科目なし",VLOOKUP(E174,科目コード表!$C$4:$D$67,2,FALSE)))</f>
        <v/>
      </c>
      <c r="G174" s="38" t="n"/>
      <c r="H174" s="248" t="n"/>
      <c r="I174" s="11">
        <f>IF(H174="","",IF(ISNA(VLOOKUP(H174,科目コード表!$C$4:$D$67,2,FALSE)),"該当科目なし",VLOOKUP(H174,科目コード表!$C$4:$D$67,2,FALSE)))</f>
        <v/>
      </c>
      <c r="J174" s="40" t="n"/>
      <c r="L174" s="46">
        <f>IF($E174=L$3,$G174,0)-IF($H174=L$3,$J174,0)</f>
        <v/>
      </c>
      <c r="M174" s="47">
        <f>IF($E174=M$3,$G174,0)-IF($H174=M$3,$J174,0)</f>
        <v/>
      </c>
      <c r="N174" s="47">
        <f>IF($E174=N$3,$G174,0)-IF($H174=N$3,$J174,0)</f>
        <v/>
      </c>
      <c r="O174" s="47">
        <f>IF($E174=O$3,$G174,0)-IF($H174=O$3,$J174,0)</f>
        <v/>
      </c>
      <c r="P174" s="47">
        <f>IF($E174=P$3,$G174,0)-IF($H174=P$3,$J174,0)</f>
        <v/>
      </c>
      <c r="Q174" s="47">
        <f>IF($E174=Q$3,$G174,0)-IF($H174=Q$3,$J174,0)</f>
        <v/>
      </c>
      <c r="R174" s="47">
        <f>IF($E174=R$3,$G174,0)-IF($H174=R$3,$J174,0)</f>
        <v/>
      </c>
      <c r="S174" s="47">
        <f>IF($E174=S$3,$G174,0)-IF($H174=S$3,$J174,0)</f>
        <v/>
      </c>
      <c r="T174" s="47">
        <f>IF($E174=T$3,$G174,0)-IF($H174=T$3,$J174,0)</f>
        <v/>
      </c>
      <c r="U174" s="47">
        <f>IF($E174=U$3,$G174,0)-IF($H174=U$3,$J174,0)</f>
        <v/>
      </c>
      <c r="V174" s="47">
        <f>IF($E174=V$3,$G174,0)-IF($H174=V$3,$J174,0)</f>
        <v/>
      </c>
      <c r="W174" s="47">
        <f>IF($E174=W$3,$G174,0)-IF($H174=W$3,$J174,0)</f>
        <v/>
      </c>
      <c r="X174" s="47">
        <f>IF($E174=X$3,$G174,0)-IF($H174=X$3,$J174,0)</f>
        <v/>
      </c>
      <c r="Y174" s="47">
        <f>IF($E174=Y$3,$G174,0)-IF($H174=Y$3,$J174,0)</f>
        <v/>
      </c>
      <c r="Z174" s="47">
        <f>IF($E174=Z$3,$G174,0)-IF($H174=Z$3,$J174,0)</f>
        <v/>
      </c>
      <c r="AA174" s="47">
        <f>IF($E174=AA$3,$G174,0)-IF($H174=AA$3,$J174,0)</f>
        <v/>
      </c>
      <c r="AB174" s="47">
        <f>IF($E174=AB$3,$G174,0)-IF($H174=AB$3,$J174,0)</f>
        <v/>
      </c>
      <c r="AC174" s="47">
        <f>IF($E174=AC$3,$G174,0)-IF($H174=AC$3,$J174,0)</f>
        <v/>
      </c>
      <c r="AD174" s="47">
        <f>IF($E174=AD$3,$G174,0)-IF($H174=AD$3,$J174,0)</f>
        <v/>
      </c>
      <c r="AE174" s="47">
        <f>IF($E174=AE$3,$G174,0)-IF($H174=AE$3,$J174,0)</f>
        <v/>
      </c>
      <c r="AF174" s="47">
        <f>IF($E174=AF$3,$G174,0)-IF($H174=AF$3,$J174,0)</f>
        <v/>
      </c>
      <c r="AG174" s="47">
        <f>IF($E174=AG$3,$G174,0)-IF($H174=AG$3,$J174,0)</f>
        <v/>
      </c>
      <c r="AH174" s="47">
        <f>IF($E174=AH$3,$G174,0)-IF($H174=AH$3,$J174,0)</f>
        <v/>
      </c>
      <c r="AI174" s="47">
        <f>IF($E174=AI$3,$G174,0)-IF($H174=AI$3,$J174,0)</f>
        <v/>
      </c>
      <c r="AJ174" s="47">
        <f>IF($E174=AJ$3,$G174,0)-IF($H174=AJ$3,$J174,0)</f>
        <v/>
      </c>
      <c r="AK174" s="47">
        <f>IF($E174=AK$3,$G174,0)-IF($H174=AK$3,$J174,0)</f>
        <v/>
      </c>
      <c r="AL174" s="48">
        <f>IF($E174=AL$3,$G174,0)-IF($H174=AL$3,$J174,0)</f>
        <v/>
      </c>
      <c r="AM174" s="46">
        <f>-IF($E174=AM$3,$G174,0)+IF($H174=AM$3,$J174,0)</f>
        <v/>
      </c>
      <c r="AN174" s="47">
        <f>-IF($E174=AN$3,$G174,0)+IF($H174=AN$3,$J174,0)</f>
        <v/>
      </c>
      <c r="AO174" s="48">
        <f>-IF($E174=AO$3,$G174,0)+IF($H174=AO$3,$J174,0)</f>
        <v/>
      </c>
      <c r="AP174" s="46">
        <f>IF($E174=AP$3,$G174,0)-IF($H174=AP$3,$J174,0)</f>
        <v/>
      </c>
      <c r="AQ174" s="47">
        <f>IF($E174=AQ$3,$G174,0)-IF($H174=AQ$3,$J174,0)</f>
        <v/>
      </c>
      <c r="AR174" s="47">
        <f>IF($E174=AR$3,$G174,0)-IF($H174=AR$3,$J174,0)</f>
        <v/>
      </c>
      <c r="AS174" s="47">
        <f>IF($E174=AS$3,$G174,0)-IF($H174=AS$3,$J174,0)</f>
        <v/>
      </c>
      <c r="AT174" s="47">
        <f>IF($E174=AT$3,$G174,0)-IF($H174=AT$3,$J174,0)</f>
        <v/>
      </c>
      <c r="AU174" s="47">
        <f>IF($E174=AU$3,$G174,0)-IF($H174=AU$3,$J174,0)</f>
        <v/>
      </c>
      <c r="AV174" s="47">
        <f>IF($E174=AV$3,$G174,0)-IF($H174=AV$3,$J174,0)</f>
        <v/>
      </c>
      <c r="AW174" s="47">
        <f>IF($E174=AW$3,$G174,0)-IF($H174=AW$3,$J174,0)</f>
        <v/>
      </c>
      <c r="AX174" s="47">
        <f>IF($E174=AX$3,$G174,0)-IF($H174=AX$3,$J174,0)</f>
        <v/>
      </c>
      <c r="AY174" s="47">
        <f>IF($E174=AY$3,$G174,0)-IF($H174=AY$3,$J174,0)</f>
        <v/>
      </c>
      <c r="AZ174" s="47">
        <f>IF($E174=AZ$3,$G174,0)-IF($H174=AZ$3,$J174,0)</f>
        <v/>
      </c>
      <c r="BA174" s="47">
        <f>IF($E174=BA$3,$G174,0)-IF($H174=BA$3,$J174,0)</f>
        <v/>
      </c>
      <c r="BB174" s="47">
        <f>IF($E174=BB$3,$G174,0)-IF($H174=BB$3,$J174,0)</f>
        <v/>
      </c>
      <c r="BC174" s="47">
        <f>IF($E174=BC$3,$G174,0)-IF($H174=BC$3,$J174,0)</f>
        <v/>
      </c>
      <c r="BD174" s="47">
        <f>IF($E174=BD$3,$G174,0)-IF($H174=BD$3,$J174,0)</f>
        <v/>
      </c>
      <c r="BE174" s="47">
        <f>IF($E174=BE$3,$G174,0)-IF($H174=BE$3,$J174,0)</f>
        <v/>
      </c>
      <c r="BF174" s="47">
        <f>IF($E174=BF$3,$G174,0)-IF($H174=BF$3,$J174,0)</f>
        <v/>
      </c>
      <c r="BG174" s="47">
        <f>IF($E174=BG$3,$G174,0)-IF($H174=BG$3,$J174,0)</f>
        <v/>
      </c>
      <c r="BH174" s="47">
        <f>IF($E174=BH$3,$G174,0)-IF($H174=BH$3,$J174,0)</f>
        <v/>
      </c>
      <c r="BI174" s="47">
        <f>IF($E174=BI$3,$G174,0)-IF($H174=BI$3,$J174,0)</f>
        <v/>
      </c>
      <c r="BJ174" s="47">
        <f>IF($E174=BJ$3,$G174,0)-IF($H174=BJ$3,$J174,0)</f>
        <v/>
      </c>
      <c r="BK174" s="47">
        <f>IF($E174=BK$3,$G174,0)-IF($H174=BK$3,$J174,0)</f>
        <v/>
      </c>
      <c r="BL174" s="46">
        <f>-IF($E174=BL$3,$G174,0)+IF($H174=BL$3,$J174,0)</f>
        <v/>
      </c>
      <c r="BM174" s="47">
        <f>-IF($E174=BM$3,$G174,0)+IF($H174=BM$3,$J174,0)</f>
        <v/>
      </c>
      <c r="BN174" s="47">
        <f>-IF($E174=BN$3,$G174,0)+IF($H174=BN$3,$J174,0)</f>
        <v/>
      </c>
      <c r="BO174" s="47">
        <f>-IF($E174=BO$3,$G174,0)+IF($H174=BO$3,$J174,0)</f>
        <v/>
      </c>
      <c r="BP174" s="47">
        <f>-IF($E174=BP$3,$G174,0)+IF($H174=BP$3,$J174,0)</f>
        <v/>
      </c>
      <c r="BQ174" s="47">
        <f>-IF($E174=BQ$3,$G174,0)+IF($H174=BQ$3,$J174,0)</f>
        <v/>
      </c>
      <c r="BR174" s="47">
        <f>-IF($E174=BR$3,$G174,0)+IF($H174=BR$3,$J174,0)</f>
        <v/>
      </c>
      <c r="BS174" s="47">
        <f>-IF($E174=BS$3,$G174,0)+IF($H174=BS$3,$J174,0)</f>
        <v/>
      </c>
      <c r="BT174" s="47">
        <f>-IF($E174=BT$3,$G174,0)+IF($H174=BT$3,$J174,0)</f>
        <v/>
      </c>
      <c r="BU174" s="46">
        <f>+G174-J174</f>
        <v/>
      </c>
      <c r="BV174" s="48">
        <f>-IF($E174=BV$3,$G174,0)+IF($H174=BV$3,$J174,0)</f>
        <v/>
      </c>
      <c r="BW174" s="3" t="n"/>
    </row>
    <row r="175" ht="15.75" customHeight="1" s="214">
      <c r="A175" s="7" t="n"/>
      <c r="B175" s="8" t="n"/>
      <c r="C175" s="9" t="n"/>
      <c r="D175" s="10" t="n"/>
      <c r="E175" s="247" t="n"/>
      <c r="F175" s="11">
        <f>IF(E175="","",IF(ISNA(VLOOKUP(E175,科目コード表!$C$4:$D$67,2,FALSE)),"該当科目なし",VLOOKUP(E175,科目コード表!$C$4:$D$67,2,FALSE)))</f>
        <v/>
      </c>
      <c r="G175" s="38" t="n"/>
      <c r="H175" s="248" t="n"/>
      <c r="I175" s="11">
        <f>IF(H175="","",IF(ISNA(VLOOKUP(H175,科目コード表!$C$4:$D$67,2,FALSE)),"該当科目なし",VLOOKUP(H175,科目コード表!$C$4:$D$67,2,FALSE)))</f>
        <v/>
      </c>
      <c r="J175" s="40" t="n"/>
      <c r="L175" s="46">
        <f>IF($E175=L$3,$G175,0)-IF($H175=L$3,$J175,0)</f>
        <v/>
      </c>
      <c r="M175" s="47">
        <f>IF($E175=M$3,$G175,0)-IF($H175=M$3,$J175,0)</f>
        <v/>
      </c>
      <c r="N175" s="47">
        <f>IF($E175=N$3,$G175,0)-IF($H175=N$3,$J175,0)</f>
        <v/>
      </c>
      <c r="O175" s="47">
        <f>IF($E175=O$3,$G175,0)-IF($H175=O$3,$J175,0)</f>
        <v/>
      </c>
      <c r="P175" s="47">
        <f>IF($E175=P$3,$G175,0)-IF($H175=P$3,$J175,0)</f>
        <v/>
      </c>
      <c r="Q175" s="47">
        <f>IF($E175=Q$3,$G175,0)-IF($H175=Q$3,$J175,0)</f>
        <v/>
      </c>
      <c r="R175" s="47">
        <f>IF($E175=R$3,$G175,0)-IF($H175=R$3,$J175,0)</f>
        <v/>
      </c>
      <c r="S175" s="47">
        <f>IF($E175=S$3,$G175,0)-IF($H175=S$3,$J175,0)</f>
        <v/>
      </c>
      <c r="T175" s="47">
        <f>IF($E175=T$3,$G175,0)-IF($H175=T$3,$J175,0)</f>
        <v/>
      </c>
      <c r="U175" s="47">
        <f>IF($E175=U$3,$G175,0)-IF($H175=U$3,$J175,0)</f>
        <v/>
      </c>
      <c r="V175" s="47">
        <f>IF($E175=V$3,$G175,0)-IF($H175=V$3,$J175,0)</f>
        <v/>
      </c>
      <c r="W175" s="47">
        <f>IF($E175=W$3,$G175,0)-IF($H175=W$3,$J175,0)</f>
        <v/>
      </c>
      <c r="X175" s="47">
        <f>IF($E175=X$3,$G175,0)-IF($H175=X$3,$J175,0)</f>
        <v/>
      </c>
      <c r="Y175" s="47">
        <f>IF($E175=Y$3,$G175,0)-IF($H175=Y$3,$J175,0)</f>
        <v/>
      </c>
      <c r="Z175" s="47">
        <f>IF($E175=Z$3,$G175,0)-IF($H175=Z$3,$J175,0)</f>
        <v/>
      </c>
      <c r="AA175" s="47">
        <f>IF($E175=AA$3,$G175,0)-IF($H175=AA$3,$J175,0)</f>
        <v/>
      </c>
      <c r="AB175" s="47">
        <f>IF($E175=AB$3,$G175,0)-IF($H175=AB$3,$J175,0)</f>
        <v/>
      </c>
      <c r="AC175" s="47">
        <f>IF($E175=AC$3,$G175,0)-IF($H175=AC$3,$J175,0)</f>
        <v/>
      </c>
      <c r="AD175" s="47">
        <f>IF($E175=AD$3,$G175,0)-IF($H175=AD$3,$J175,0)</f>
        <v/>
      </c>
      <c r="AE175" s="47">
        <f>IF($E175=AE$3,$G175,0)-IF($H175=AE$3,$J175,0)</f>
        <v/>
      </c>
      <c r="AF175" s="47">
        <f>IF($E175=AF$3,$G175,0)-IF($H175=AF$3,$J175,0)</f>
        <v/>
      </c>
      <c r="AG175" s="47">
        <f>IF($E175=AG$3,$G175,0)-IF($H175=AG$3,$J175,0)</f>
        <v/>
      </c>
      <c r="AH175" s="47">
        <f>IF($E175=AH$3,$G175,0)-IF($H175=AH$3,$J175,0)</f>
        <v/>
      </c>
      <c r="AI175" s="47">
        <f>IF($E175=AI$3,$G175,0)-IF($H175=AI$3,$J175,0)</f>
        <v/>
      </c>
      <c r="AJ175" s="47">
        <f>IF($E175=AJ$3,$G175,0)-IF($H175=AJ$3,$J175,0)</f>
        <v/>
      </c>
      <c r="AK175" s="47">
        <f>IF($E175=AK$3,$G175,0)-IF($H175=AK$3,$J175,0)</f>
        <v/>
      </c>
      <c r="AL175" s="48">
        <f>IF($E175=AL$3,$G175,0)-IF($H175=AL$3,$J175,0)</f>
        <v/>
      </c>
      <c r="AM175" s="46">
        <f>-IF($E175=AM$3,$G175,0)+IF($H175=AM$3,$J175,0)</f>
        <v/>
      </c>
      <c r="AN175" s="47">
        <f>-IF($E175=AN$3,$G175,0)+IF($H175=AN$3,$J175,0)</f>
        <v/>
      </c>
      <c r="AO175" s="48">
        <f>-IF($E175=AO$3,$G175,0)+IF($H175=AO$3,$J175,0)</f>
        <v/>
      </c>
      <c r="AP175" s="46">
        <f>IF($E175=AP$3,$G175,0)-IF($H175=AP$3,$J175,0)</f>
        <v/>
      </c>
      <c r="AQ175" s="47">
        <f>IF($E175=AQ$3,$G175,0)-IF($H175=AQ$3,$J175,0)</f>
        <v/>
      </c>
      <c r="AR175" s="47">
        <f>IF($E175=AR$3,$G175,0)-IF($H175=AR$3,$J175,0)</f>
        <v/>
      </c>
      <c r="AS175" s="47">
        <f>IF($E175=AS$3,$G175,0)-IF($H175=AS$3,$J175,0)</f>
        <v/>
      </c>
      <c r="AT175" s="47">
        <f>IF($E175=AT$3,$G175,0)-IF($H175=AT$3,$J175,0)</f>
        <v/>
      </c>
      <c r="AU175" s="47">
        <f>IF($E175=AU$3,$G175,0)-IF($H175=AU$3,$J175,0)</f>
        <v/>
      </c>
      <c r="AV175" s="47">
        <f>IF($E175=AV$3,$G175,0)-IF($H175=AV$3,$J175,0)</f>
        <v/>
      </c>
      <c r="AW175" s="47">
        <f>IF($E175=AW$3,$G175,0)-IF($H175=AW$3,$J175,0)</f>
        <v/>
      </c>
      <c r="AX175" s="47">
        <f>IF($E175=AX$3,$G175,0)-IF($H175=AX$3,$J175,0)</f>
        <v/>
      </c>
      <c r="AY175" s="47">
        <f>IF($E175=AY$3,$G175,0)-IF($H175=AY$3,$J175,0)</f>
        <v/>
      </c>
      <c r="AZ175" s="47">
        <f>IF($E175=AZ$3,$G175,0)-IF($H175=AZ$3,$J175,0)</f>
        <v/>
      </c>
      <c r="BA175" s="47">
        <f>IF($E175=BA$3,$G175,0)-IF($H175=BA$3,$J175,0)</f>
        <v/>
      </c>
      <c r="BB175" s="47">
        <f>IF($E175=BB$3,$G175,0)-IF($H175=BB$3,$J175,0)</f>
        <v/>
      </c>
      <c r="BC175" s="47">
        <f>IF($E175=BC$3,$G175,0)-IF($H175=BC$3,$J175,0)</f>
        <v/>
      </c>
      <c r="BD175" s="47">
        <f>IF($E175=BD$3,$G175,0)-IF($H175=BD$3,$J175,0)</f>
        <v/>
      </c>
      <c r="BE175" s="47">
        <f>IF($E175=BE$3,$G175,0)-IF($H175=BE$3,$J175,0)</f>
        <v/>
      </c>
      <c r="BF175" s="47">
        <f>IF($E175=BF$3,$G175,0)-IF($H175=BF$3,$J175,0)</f>
        <v/>
      </c>
      <c r="BG175" s="47">
        <f>IF($E175=BG$3,$G175,0)-IF($H175=BG$3,$J175,0)</f>
        <v/>
      </c>
      <c r="BH175" s="47">
        <f>IF($E175=BH$3,$G175,0)-IF($H175=BH$3,$J175,0)</f>
        <v/>
      </c>
      <c r="BI175" s="47">
        <f>IF($E175=BI$3,$G175,0)-IF($H175=BI$3,$J175,0)</f>
        <v/>
      </c>
      <c r="BJ175" s="47">
        <f>IF($E175=BJ$3,$G175,0)-IF($H175=BJ$3,$J175,0)</f>
        <v/>
      </c>
      <c r="BK175" s="47">
        <f>IF($E175=BK$3,$G175,0)-IF($H175=BK$3,$J175,0)</f>
        <v/>
      </c>
      <c r="BL175" s="46">
        <f>-IF($E175=BL$3,$G175,0)+IF($H175=BL$3,$J175,0)</f>
        <v/>
      </c>
      <c r="BM175" s="47">
        <f>-IF($E175=BM$3,$G175,0)+IF($H175=BM$3,$J175,0)</f>
        <v/>
      </c>
      <c r="BN175" s="47">
        <f>-IF($E175=BN$3,$G175,0)+IF($H175=BN$3,$J175,0)</f>
        <v/>
      </c>
      <c r="BO175" s="47">
        <f>-IF($E175=BO$3,$G175,0)+IF($H175=BO$3,$J175,0)</f>
        <v/>
      </c>
      <c r="BP175" s="47">
        <f>-IF($E175=BP$3,$G175,0)+IF($H175=BP$3,$J175,0)</f>
        <v/>
      </c>
      <c r="BQ175" s="47">
        <f>-IF($E175=BQ$3,$G175,0)+IF($H175=BQ$3,$J175,0)</f>
        <v/>
      </c>
      <c r="BR175" s="47">
        <f>-IF($E175=BR$3,$G175,0)+IF($H175=BR$3,$J175,0)</f>
        <v/>
      </c>
      <c r="BS175" s="47">
        <f>-IF($E175=BS$3,$G175,0)+IF($H175=BS$3,$J175,0)</f>
        <v/>
      </c>
      <c r="BT175" s="47">
        <f>-IF($E175=BT$3,$G175,0)+IF($H175=BT$3,$J175,0)</f>
        <v/>
      </c>
      <c r="BU175" s="46">
        <f>+G175-J175</f>
        <v/>
      </c>
      <c r="BV175" s="48">
        <f>-IF($E175=BV$3,$G175,0)+IF($H175=BV$3,$J175,0)</f>
        <v/>
      </c>
      <c r="BW175" s="3" t="n"/>
    </row>
    <row r="176" ht="15.75" customHeight="1" s="214">
      <c r="A176" s="7" t="n"/>
      <c r="B176" s="8" t="n"/>
      <c r="C176" s="9" t="n"/>
      <c r="D176" s="10" t="n"/>
      <c r="E176" s="247" t="n"/>
      <c r="F176" s="11">
        <f>IF(E176="","",IF(ISNA(VLOOKUP(E176,科目コード表!$C$4:$D$67,2,FALSE)),"該当科目なし",VLOOKUP(E176,科目コード表!$C$4:$D$67,2,FALSE)))</f>
        <v/>
      </c>
      <c r="G176" s="38" t="n"/>
      <c r="H176" s="248" t="n"/>
      <c r="I176" s="11">
        <f>IF(H176="","",IF(ISNA(VLOOKUP(H176,科目コード表!$C$4:$D$67,2,FALSE)),"該当科目なし",VLOOKUP(H176,科目コード表!$C$4:$D$67,2,FALSE)))</f>
        <v/>
      </c>
      <c r="J176" s="40" t="n"/>
      <c r="L176" s="46">
        <f>IF($E176=L$3,$G176,0)-IF($H176=L$3,$J176,0)</f>
        <v/>
      </c>
      <c r="M176" s="47">
        <f>IF($E176=M$3,$G176,0)-IF($H176=M$3,$J176,0)</f>
        <v/>
      </c>
      <c r="N176" s="47">
        <f>IF($E176=N$3,$G176,0)-IF($H176=N$3,$J176,0)</f>
        <v/>
      </c>
      <c r="O176" s="47">
        <f>IF($E176=O$3,$G176,0)-IF($H176=O$3,$J176,0)</f>
        <v/>
      </c>
      <c r="P176" s="47">
        <f>IF($E176=P$3,$G176,0)-IF($H176=P$3,$J176,0)</f>
        <v/>
      </c>
      <c r="Q176" s="47">
        <f>IF($E176=Q$3,$G176,0)-IF($H176=Q$3,$J176,0)</f>
        <v/>
      </c>
      <c r="R176" s="47">
        <f>IF($E176=R$3,$G176,0)-IF($H176=R$3,$J176,0)</f>
        <v/>
      </c>
      <c r="S176" s="47">
        <f>IF($E176=S$3,$G176,0)-IF($H176=S$3,$J176,0)</f>
        <v/>
      </c>
      <c r="T176" s="47">
        <f>IF($E176=T$3,$G176,0)-IF($H176=T$3,$J176,0)</f>
        <v/>
      </c>
      <c r="U176" s="47">
        <f>IF($E176=U$3,$G176,0)-IF($H176=U$3,$J176,0)</f>
        <v/>
      </c>
      <c r="V176" s="47">
        <f>IF($E176=V$3,$G176,0)-IF($H176=V$3,$J176,0)</f>
        <v/>
      </c>
      <c r="W176" s="47">
        <f>IF($E176=W$3,$G176,0)-IF($H176=W$3,$J176,0)</f>
        <v/>
      </c>
      <c r="X176" s="47">
        <f>IF($E176=X$3,$G176,0)-IF($H176=X$3,$J176,0)</f>
        <v/>
      </c>
      <c r="Y176" s="47">
        <f>IF($E176=Y$3,$G176,0)-IF($H176=Y$3,$J176,0)</f>
        <v/>
      </c>
      <c r="Z176" s="47">
        <f>IF($E176=Z$3,$G176,0)-IF($H176=Z$3,$J176,0)</f>
        <v/>
      </c>
      <c r="AA176" s="47">
        <f>IF($E176=AA$3,$G176,0)-IF($H176=AA$3,$J176,0)</f>
        <v/>
      </c>
      <c r="AB176" s="47">
        <f>IF($E176=AB$3,$G176,0)-IF($H176=AB$3,$J176,0)</f>
        <v/>
      </c>
      <c r="AC176" s="47">
        <f>IF($E176=AC$3,$G176,0)-IF($H176=AC$3,$J176,0)</f>
        <v/>
      </c>
      <c r="AD176" s="47">
        <f>IF($E176=AD$3,$G176,0)-IF($H176=AD$3,$J176,0)</f>
        <v/>
      </c>
      <c r="AE176" s="47">
        <f>IF($E176=AE$3,$G176,0)-IF($H176=AE$3,$J176,0)</f>
        <v/>
      </c>
      <c r="AF176" s="47">
        <f>IF($E176=AF$3,$G176,0)-IF($H176=AF$3,$J176,0)</f>
        <v/>
      </c>
      <c r="AG176" s="47">
        <f>IF($E176=AG$3,$G176,0)-IF($H176=AG$3,$J176,0)</f>
        <v/>
      </c>
      <c r="AH176" s="47">
        <f>IF($E176=AH$3,$G176,0)-IF($H176=AH$3,$J176,0)</f>
        <v/>
      </c>
      <c r="AI176" s="47">
        <f>IF($E176=AI$3,$G176,0)-IF($H176=AI$3,$J176,0)</f>
        <v/>
      </c>
      <c r="AJ176" s="47">
        <f>IF($E176=AJ$3,$G176,0)-IF($H176=AJ$3,$J176,0)</f>
        <v/>
      </c>
      <c r="AK176" s="47">
        <f>IF($E176=AK$3,$G176,0)-IF($H176=AK$3,$J176,0)</f>
        <v/>
      </c>
      <c r="AL176" s="48">
        <f>IF($E176=AL$3,$G176,0)-IF($H176=AL$3,$J176,0)</f>
        <v/>
      </c>
      <c r="AM176" s="46">
        <f>-IF($E176=AM$3,$G176,0)+IF($H176=AM$3,$J176,0)</f>
        <v/>
      </c>
      <c r="AN176" s="47">
        <f>-IF($E176=AN$3,$G176,0)+IF($H176=AN$3,$J176,0)</f>
        <v/>
      </c>
      <c r="AO176" s="48">
        <f>-IF($E176=AO$3,$G176,0)+IF($H176=AO$3,$J176,0)</f>
        <v/>
      </c>
      <c r="AP176" s="46">
        <f>IF($E176=AP$3,$G176,0)-IF($H176=AP$3,$J176,0)</f>
        <v/>
      </c>
      <c r="AQ176" s="47">
        <f>IF($E176=AQ$3,$G176,0)-IF($H176=AQ$3,$J176,0)</f>
        <v/>
      </c>
      <c r="AR176" s="47">
        <f>IF($E176=AR$3,$G176,0)-IF($H176=AR$3,$J176,0)</f>
        <v/>
      </c>
      <c r="AS176" s="47">
        <f>IF($E176=AS$3,$G176,0)-IF($H176=AS$3,$J176,0)</f>
        <v/>
      </c>
      <c r="AT176" s="47">
        <f>IF($E176=AT$3,$G176,0)-IF($H176=AT$3,$J176,0)</f>
        <v/>
      </c>
      <c r="AU176" s="47">
        <f>IF($E176=AU$3,$G176,0)-IF($H176=AU$3,$J176,0)</f>
        <v/>
      </c>
      <c r="AV176" s="47">
        <f>IF($E176=AV$3,$G176,0)-IF($H176=AV$3,$J176,0)</f>
        <v/>
      </c>
      <c r="AW176" s="47">
        <f>IF($E176=AW$3,$G176,0)-IF($H176=AW$3,$J176,0)</f>
        <v/>
      </c>
      <c r="AX176" s="47">
        <f>IF($E176=AX$3,$G176,0)-IF($H176=AX$3,$J176,0)</f>
        <v/>
      </c>
      <c r="AY176" s="47">
        <f>IF($E176=AY$3,$G176,0)-IF($H176=AY$3,$J176,0)</f>
        <v/>
      </c>
      <c r="AZ176" s="47">
        <f>IF($E176=AZ$3,$G176,0)-IF($H176=AZ$3,$J176,0)</f>
        <v/>
      </c>
      <c r="BA176" s="47">
        <f>IF($E176=BA$3,$G176,0)-IF($H176=BA$3,$J176,0)</f>
        <v/>
      </c>
      <c r="BB176" s="47">
        <f>IF($E176=BB$3,$G176,0)-IF($H176=BB$3,$J176,0)</f>
        <v/>
      </c>
      <c r="BC176" s="47">
        <f>IF($E176=BC$3,$G176,0)-IF($H176=BC$3,$J176,0)</f>
        <v/>
      </c>
      <c r="BD176" s="47">
        <f>IF($E176=BD$3,$G176,0)-IF($H176=BD$3,$J176,0)</f>
        <v/>
      </c>
      <c r="BE176" s="47">
        <f>IF($E176=BE$3,$G176,0)-IF($H176=BE$3,$J176,0)</f>
        <v/>
      </c>
      <c r="BF176" s="47">
        <f>IF($E176=BF$3,$G176,0)-IF($H176=BF$3,$J176,0)</f>
        <v/>
      </c>
      <c r="BG176" s="47">
        <f>IF($E176=BG$3,$G176,0)-IF($H176=BG$3,$J176,0)</f>
        <v/>
      </c>
      <c r="BH176" s="47">
        <f>IF($E176=BH$3,$G176,0)-IF($H176=BH$3,$J176,0)</f>
        <v/>
      </c>
      <c r="BI176" s="47">
        <f>IF($E176=BI$3,$G176,0)-IF($H176=BI$3,$J176,0)</f>
        <v/>
      </c>
      <c r="BJ176" s="47">
        <f>IF($E176=BJ$3,$G176,0)-IF($H176=BJ$3,$J176,0)</f>
        <v/>
      </c>
      <c r="BK176" s="47">
        <f>IF($E176=BK$3,$G176,0)-IF($H176=BK$3,$J176,0)</f>
        <v/>
      </c>
      <c r="BL176" s="46">
        <f>-IF($E176=BL$3,$G176,0)+IF($H176=BL$3,$J176,0)</f>
        <v/>
      </c>
      <c r="BM176" s="47">
        <f>-IF($E176=BM$3,$G176,0)+IF($H176=BM$3,$J176,0)</f>
        <v/>
      </c>
      <c r="BN176" s="47">
        <f>-IF($E176=BN$3,$G176,0)+IF($H176=BN$3,$J176,0)</f>
        <v/>
      </c>
      <c r="BO176" s="47">
        <f>-IF($E176=BO$3,$G176,0)+IF($H176=BO$3,$J176,0)</f>
        <v/>
      </c>
      <c r="BP176" s="47">
        <f>-IF($E176=BP$3,$G176,0)+IF($H176=BP$3,$J176,0)</f>
        <v/>
      </c>
      <c r="BQ176" s="47">
        <f>-IF($E176=BQ$3,$G176,0)+IF($H176=BQ$3,$J176,0)</f>
        <v/>
      </c>
      <c r="BR176" s="47">
        <f>-IF($E176=BR$3,$G176,0)+IF($H176=BR$3,$J176,0)</f>
        <v/>
      </c>
      <c r="BS176" s="47">
        <f>-IF($E176=BS$3,$G176,0)+IF($H176=BS$3,$J176,0)</f>
        <v/>
      </c>
      <c r="BT176" s="47">
        <f>-IF($E176=BT$3,$G176,0)+IF($H176=BT$3,$J176,0)</f>
        <v/>
      </c>
      <c r="BU176" s="46">
        <f>+G176-J176</f>
        <v/>
      </c>
      <c r="BV176" s="48">
        <f>-IF($E176=BV$3,$G176,0)+IF($H176=BV$3,$J176,0)</f>
        <v/>
      </c>
      <c r="BW176" s="3" t="n"/>
    </row>
    <row r="177" ht="15.75" customHeight="1" s="214">
      <c r="A177" s="7" t="n"/>
      <c r="B177" s="8" t="n"/>
      <c r="C177" s="9" t="n"/>
      <c r="D177" s="10" t="n"/>
      <c r="E177" s="247" t="n"/>
      <c r="F177" s="11">
        <f>IF(E177="","",IF(ISNA(VLOOKUP(E177,科目コード表!$C$4:$D$67,2,FALSE)),"該当科目なし",VLOOKUP(E177,科目コード表!$C$4:$D$67,2,FALSE)))</f>
        <v/>
      </c>
      <c r="G177" s="38" t="n"/>
      <c r="H177" s="248" t="n"/>
      <c r="I177" s="11">
        <f>IF(H177="","",IF(ISNA(VLOOKUP(H177,科目コード表!$C$4:$D$67,2,FALSE)),"該当科目なし",VLOOKUP(H177,科目コード表!$C$4:$D$67,2,FALSE)))</f>
        <v/>
      </c>
      <c r="J177" s="40" t="n"/>
      <c r="L177" s="46">
        <f>IF($E177=L$3,$G177,0)-IF($H177=L$3,$J177,0)</f>
        <v/>
      </c>
      <c r="M177" s="47">
        <f>IF($E177=M$3,$G177,0)-IF($H177=M$3,$J177,0)</f>
        <v/>
      </c>
      <c r="N177" s="47">
        <f>IF($E177=N$3,$G177,0)-IF($H177=N$3,$J177,0)</f>
        <v/>
      </c>
      <c r="O177" s="47">
        <f>IF($E177=O$3,$G177,0)-IF($H177=O$3,$J177,0)</f>
        <v/>
      </c>
      <c r="P177" s="47">
        <f>IF($E177=P$3,$G177,0)-IF($H177=P$3,$J177,0)</f>
        <v/>
      </c>
      <c r="Q177" s="47">
        <f>IF($E177=Q$3,$G177,0)-IF($H177=Q$3,$J177,0)</f>
        <v/>
      </c>
      <c r="R177" s="47">
        <f>IF($E177=R$3,$G177,0)-IF($H177=R$3,$J177,0)</f>
        <v/>
      </c>
      <c r="S177" s="47">
        <f>IF($E177=S$3,$G177,0)-IF($H177=S$3,$J177,0)</f>
        <v/>
      </c>
      <c r="T177" s="47">
        <f>IF($E177=T$3,$G177,0)-IF($H177=T$3,$J177,0)</f>
        <v/>
      </c>
      <c r="U177" s="47">
        <f>IF($E177=U$3,$G177,0)-IF($H177=U$3,$J177,0)</f>
        <v/>
      </c>
      <c r="V177" s="47">
        <f>IF($E177=V$3,$G177,0)-IF($H177=V$3,$J177,0)</f>
        <v/>
      </c>
      <c r="W177" s="47">
        <f>IF($E177=W$3,$G177,0)-IF($H177=W$3,$J177,0)</f>
        <v/>
      </c>
      <c r="X177" s="47">
        <f>IF($E177=X$3,$G177,0)-IF($H177=X$3,$J177,0)</f>
        <v/>
      </c>
      <c r="Y177" s="47">
        <f>IF($E177=Y$3,$G177,0)-IF($H177=Y$3,$J177,0)</f>
        <v/>
      </c>
      <c r="Z177" s="47">
        <f>IF($E177=Z$3,$G177,0)-IF($H177=Z$3,$J177,0)</f>
        <v/>
      </c>
      <c r="AA177" s="47">
        <f>IF($E177=AA$3,$G177,0)-IF($H177=AA$3,$J177,0)</f>
        <v/>
      </c>
      <c r="AB177" s="47">
        <f>IF($E177=AB$3,$G177,0)-IF($H177=AB$3,$J177,0)</f>
        <v/>
      </c>
      <c r="AC177" s="47">
        <f>IF($E177=AC$3,$G177,0)-IF($H177=AC$3,$J177,0)</f>
        <v/>
      </c>
      <c r="AD177" s="47">
        <f>IF($E177=AD$3,$G177,0)-IF($H177=AD$3,$J177,0)</f>
        <v/>
      </c>
      <c r="AE177" s="47">
        <f>IF($E177=AE$3,$G177,0)-IF($H177=AE$3,$J177,0)</f>
        <v/>
      </c>
      <c r="AF177" s="47">
        <f>IF($E177=AF$3,$G177,0)-IF($H177=AF$3,$J177,0)</f>
        <v/>
      </c>
      <c r="AG177" s="47">
        <f>IF($E177=AG$3,$G177,0)-IF($H177=AG$3,$J177,0)</f>
        <v/>
      </c>
      <c r="AH177" s="47">
        <f>IF($E177=AH$3,$G177,0)-IF($H177=AH$3,$J177,0)</f>
        <v/>
      </c>
      <c r="AI177" s="47">
        <f>IF($E177=AI$3,$G177,0)-IF($H177=AI$3,$J177,0)</f>
        <v/>
      </c>
      <c r="AJ177" s="47">
        <f>IF($E177=AJ$3,$G177,0)-IF($H177=AJ$3,$J177,0)</f>
        <v/>
      </c>
      <c r="AK177" s="47">
        <f>IF($E177=AK$3,$G177,0)-IF($H177=AK$3,$J177,0)</f>
        <v/>
      </c>
      <c r="AL177" s="48">
        <f>IF($E177=AL$3,$G177,0)-IF($H177=AL$3,$J177,0)</f>
        <v/>
      </c>
      <c r="AM177" s="46">
        <f>-IF($E177=AM$3,$G177,0)+IF($H177=AM$3,$J177,0)</f>
        <v/>
      </c>
      <c r="AN177" s="47">
        <f>-IF($E177=AN$3,$G177,0)+IF($H177=AN$3,$J177,0)</f>
        <v/>
      </c>
      <c r="AO177" s="48">
        <f>-IF($E177=AO$3,$G177,0)+IF($H177=AO$3,$J177,0)</f>
        <v/>
      </c>
      <c r="AP177" s="46">
        <f>IF($E177=AP$3,$G177,0)-IF($H177=AP$3,$J177,0)</f>
        <v/>
      </c>
      <c r="AQ177" s="47">
        <f>IF($E177=AQ$3,$G177,0)-IF($H177=AQ$3,$J177,0)</f>
        <v/>
      </c>
      <c r="AR177" s="47">
        <f>IF($E177=AR$3,$G177,0)-IF($H177=AR$3,$J177,0)</f>
        <v/>
      </c>
      <c r="AS177" s="47">
        <f>IF($E177=AS$3,$G177,0)-IF($H177=AS$3,$J177,0)</f>
        <v/>
      </c>
      <c r="AT177" s="47">
        <f>IF($E177=AT$3,$G177,0)-IF($H177=AT$3,$J177,0)</f>
        <v/>
      </c>
      <c r="AU177" s="47">
        <f>IF($E177=AU$3,$G177,0)-IF($H177=AU$3,$J177,0)</f>
        <v/>
      </c>
      <c r="AV177" s="47">
        <f>IF($E177=AV$3,$G177,0)-IF($H177=AV$3,$J177,0)</f>
        <v/>
      </c>
      <c r="AW177" s="47">
        <f>IF($E177=AW$3,$G177,0)-IF($H177=AW$3,$J177,0)</f>
        <v/>
      </c>
      <c r="AX177" s="47">
        <f>IF($E177=AX$3,$G177,0)-IF($H177=AX$3,$J177,0)</f>
        <v/>
      </c>
      <c r="AY177" s="47">
        <f>IF($E177=AY$3,$G177,0)-IF($H177=AY$3,$J177,0)</f>
        <v/>
      </c>
      <c r="AZ177" s="47">
        <f>IF($E177=AZ$3,$G177,0)-IF($H177=AZ$3,$J177,0)</f>
        <v/>
      </c>
      <c r="BA177" s="47">
        <f>IF($E177=BA$3,$G177,0)-IF($H177=BA$3,$J177,0)</f>
        <v/>
      </c>
      <c r="BB177" s="47">
        <f>IF($E177=BB$3,$G177,0)-IF($H177=BB$3,$J177,0)</f>
        <v/>
      </c>
      <c r="BC177" s="47">
        <f>IF($E177=BC$3,$G177,0)-IF($H177=BC$3,$J177,0)</f>
        <v/>
      </c>
      <c r="BD177" s="47">
        <f>IF($E177=BD$3,$G177,0)-IF($H177=BD$3,$J177,0)</f>
        <v/>
      </c>
      <c r="BE177" s="47">
        <f>IF($E177=BE$3,$G177,0)-IF($H177=BE$3,$J177,0)</f>
        <v/>
      </c>
      <c r="BF177" s="47">
        <f>IF($E177=BF$3,$G177,0)-IF($H177=BF$3,$J177,0)</f>
        <v/>
      </c>
      <c r="BG177" s="47">
        <f>IF($E177=BG$3,$G177,0)-IF($H177=BG$3,$J177,0)</f>
        <v/>
      </c>
      <c r="BH177" s="47">
        <f>IF($E177=BH$3,$G177,0)-IF($H177=BH$3,$J177,0)</f>
        <v/>
      </c>
      <c r="BI177" s="47">
        <f>IF($E177=BI$3,$G177,0)-IF($H177=BI$3,$J177,0)</f>
        <v/>
      </c>
      <c r="BJ177" s="47">
        <f>IF($E177=BJ$3,$G177,0)-IF($H177=BJ$3,$J177,0)</f>
        <v/>
      </c>
      <c r="BK177" s="47">
        <f>IF($E177=BK$3,$G177,0)-IF($H177=BK$3,$J177,0)</f>
        <v/>
      </c>
      <c r="BL177" s="46">
        <f>-IF($E177=BL$3,$G177,0)+IF($H177=BL$3,$J177,0)</f>
        <v/>
      </c>
      <c r="BM177" s="47">
        <f>-IF($E177=BM$3,$G177,0)+IF($H177=BM$3,$J177,0)</f>
        <v/>
      </c>
      <c r="BN177" s="47">
        <f>-IF($E177=BN$3,$G177,0)+IF($H177=BN$3,$J177,0)</f>
        <v/>
      </c>
      <c r="BO177" s="47">
        <f>-IF($E177=BO$3,$G177,0)+IF($H177=BO$3,$J177,0)</f>
        <v/>
      </c>
      <c r="BP177" s="47">
        <f>-IF($E177=BP$3,$G177,0)+IF($H177=BP$3,$J177,0)</f>
        <v/>
      </c>
      <c r="BQ177" s="47">
        <f>-IF($E177=BQ$3,$G177,0)+IF($H177=BQ$3,$J177,0)</f>
        <v/>
      </c>
      <c r="BR177" s="47">
        <f>-IF($E177=BR$3,$G177,0)+IF($H177=BR$3,$J177,0)</f>
        <v/>
      </c>
      <c r="BS177" s="47">
        <f>-IF($E177=BS$3,$G177,0)+IF($H177=BS$3,$J177,0)</f>
        <v/>
      </c>
      <c r="BT177" s="47">
        <f>-IF($E177=BT$3,$G177,0)+IF($H177=BT$3,$J177,0)</f>
        <v/>
      </c>
      <c r="BU177" s="46">
        <f>+G177-J177</f>
        <v/>
      </c>
      <c r="BV177" s="48">
        <f>-IF($E177=BV$3,$G177,0)+IF($H177=BV$3,$J177,0)</f>
        <v/>
      </c>
      <c r="BW177" s="3" t="n"/>
    </row>
    <row r="178" ht="15.75" customHeight="1" s="214">
      <c r="A178" s="7" t="n"/>
      <c r="B178" s="8" t="n"/>
      <c r="C178" s="9" t="n"/>
      <c r="D178" s="10" t="n"/>
      <c r="E178" s="247" t="n"/>
      <c r="F178" s="11">
        <f>IF(E178="","",IF(ISNA(VLOOKUP(E178,科目コード表!$C$4:$D$67,2,FALSE)),"該当科目なし",VLOOKUP(E178,科目コード表!$C$4:$D$67,2,FALSE)))</f>
        <v/>
      </c>
      <c r="G178" s="38" t="n"/>
      <c r="H178" s="248" t="n"/>
      <c r="I178" s="11">
        <f>IF(H178="","",IF(ISNA(VLOOKUP(H178,科目コード表!$C$4:$D$67,2,FALSE)),"該当科目なし",VLOOKUP(H178,科目コード表!$C$4:$D$67,2,FALSE)))</f>
        <v/>
      </c>
      <c r="J178" s="40" t="n"/>
      <c r="L178" s="46">
        <f>IF($E178=L$3,$G178,0)-IF($H178=L$3,$J178,0)</f>
        <v/>
      </c>
      <c r="M178" s="47">
        <f>IF($E178=M$3,$G178,0)-IF($H178=M$3,$J178,0)</f>
        <v/>
      </c>
      <c r="N178" s="47">
        <f>IF($E178=N$3,$G178,0)-IF($H178=N$3,$J178,0)</f>
        <v/>
      </c>
      <c r="O178" s="47">
        <f>IF($E178=O$3,$G178,0)-IF($H178=O$3,$J178,0)</f>
        <v/>
      </c>
      <c r="P178" s="47">
        <f>IF($E178=P$3,$G178,0)-IF($H178=P$3,$J178,0)</f>
        <v/>
      </c>
      <c r="Q178" s="47">
        <f>IF($E178=Q$3,$G178,0)-IF($H178=Q$3,$J178,0)</f>
        <v/>
      </c>
      <c r="R178" s="47">
        <f>IF($E178=R$3,$G178,0)-IF($H178=R$3,$J178,0)</f>
        <v/>
      </c>
      <c r="S178" s="47">
        <f>IF($E178=S$3,$G178,0)-IF($H178=S$3,$J178,0)</f>
        <v/>
      </c>
      <c r="T178" s="47">
        <f>IF($E178=T$3,$G178,0)-IF($H178=T$3,$J178,0)</f>
        <v/>
      </c>
      <c r="U178" s="47">
        <f>IF($E178=U$3,$G178,0)-IF($H178=U$3,$J178,0)</f>
        <v/>
      </c>
      <c r="V178" s="47">
        <f>IF($E178=V$3,$G178,0)-IF($H178=V$3,$J178,0)</f>
        <v/>
      </c>
      <c r="W178" s="47">
        <f>IF($E178=W$3,$G178,0)-IF($H178=W$3,$J178,0)</f>
        <v/>
      </c>
      <c r="X178" s="47">
        <f>IF($E178=X$3,$G178,0)-IF($H178=X$3,$J178,0)</f>
        <v/>
      </c>
      <c r="Y178" s="47">
        <f>IF($E178=Y$3,$G178,0)-IF($H178=Y$3,$J178,0)</f>
        <v/>
      </c>
      <c r="Z178" s="47">
        <f>IF($E178=Z$3,$G178,0)-IF($H178=Z$3,$J178,0)</f>
        <v/>
      </c>
      <c r="AA178" s="47">
        <f>IF($E178=AA$3,$G178,0)-IF($H178=AA$3,$J178,0)</f>
        <v/>
      </c>
      <c r="AB178" s="47">
        <f>IF($E178=AB$3,$G178,0)-IF($H178=AB$3,$J178,0)</f>
        <v/>
      </c>
      <c r="AC178" s="47">
        <f>IF($E178=AC$3,$G178,0)-IF($H178=AC$3,$J178,0)</f>
        <v/>
      </c>
      <c r="AD178" s="47">
        <f>IF($E178=AD$3,$G178,0)-IF($H178=AD$3,$J178,0)</f>
        <v/>
      </c>
      <c r="AE178" s="47">
        <f>IF($E178=AE$3,$G178,0)-IF($H178=AE$3,$J178,0)</f>
        <v/>
      </c>
      <c r="AF178" s="47">
        <f>IF($E178=AF$3,$G178,0)-IF($H178=AF$3,$J178,0)</f>
        <v/>
      </c>
      <c r="AG178" s="47">
        <f>IF($E178=AG$3,$G178,0)-IF($H178=AG$3,$J178,0)</f>
        <v/>
      </c>
      <c r="AH178" s="47">
        <f>IF($E178=AH$3,$G178,0)-IF($H178=AH$3,$J178,0)</f>
        <v/>
      </c>
      <c r="AI178" s="47">
        <f>IF($E178=AI$3,$G178,0)-IF($H178=AI$3,$J178,0)</f>
        <v/>
      </c>
      <c r="AJ178" s="47">
        <f>IF($E178=AJ$3,$G178,0)-IF($H178=AJ$3,$J178,0)</f>
        <v/>
      </c>
      <c r="AK178" s="47">
        <f>IF($E178=AK$3,$G178,0)-IF($H178=AK$3,$J178,0)</f>
        <v/>
      </c>
      <c r="AL178" s="48">
        <f>IF($E178=AL$3,$G178,0)-IF($H178=AL$3,$J178,0)</f>
        <v/>
      </c>
      <c r="AM178" s="46">
        <f>-IF($E178=AM$3,$G178,0)+IF($H178=AM$3,$J178,0)</f>
        <v/>
      </c>
      <c r="AN178" s="47">
        <f>-IF($E178=AN$3,$G178,0)+IF($H178=AN$3,$J178,0)</f>
        <v/>
      </c>
      <c r="AO178" s="48">
        <f>-IF($E178=AO$3,$G178,0)+IF($H178=AO$3,$J178,0)</f>
        <v/>
      </c>
      <c r="AP178" s="46">
        <f>IF($E178=AP$3,$G178,0)-IF($H178=AP$3,$J178,0)</f>
        <v/>
      </c>
      <c r="AQ178" s="47">
        <f>IF($E178=AQ$3,$G178,0)-IF($H178=AQ$3,$J178,0)</f>
        <v/>
      </c>
      <c r="AR178" s="47">
        <f>IF($E178=AR$3,$G178,0)-IF($H178=AR$3,$J178,0)</f>
        <v/>
      </c>
      <c r="AS178" s="47">
        <f>IF($E178=AS$3,$G178,0)-IF($H178=AS$3,$J178,0)</f>
        <v/>
      </c>
      <c r="AT178" s="47">
        <f>IF($E178=AT$3,$G178,0)-IF($H178=AT$3,$J178,0)</f>
        <v/>
      </c>
      <c r="AU178" s="47">
        <f>IF($E178=AU$3,$G178,0)-IF($H178=AU$3,$J178,0)</f>
        <v/>
      </c>
      <c r="AV178" s="47">
        <f>IF($E178=AV$3,$G178,0)-IF($H178=AV$3,$J178,0)</f>
        <v/>
      </c>
      <c r="AW178" s="47">
        <f>IF($E178=AW$3,$G178,0)-IF($H178=AW$3,$J178,0)</f>
        <v/>
      </c>
      <c r="AX178" s="47">
        <f>IF($E178=AX$3,$G178,0)-IF($H178=AX$3,$J178,0)</f>
        <v/>
      </c>
      <c r="AY178" s="47">
        <f>IF($E178=AY$3,$G178,0)-IF($H178=AY$3,$J178,0)</f>
        <v/>
      </c>
      <c r="AZ178" s="47">
        <f>IF($E178=AZ$3,$G178,0)-IF($H178=AZ$3,$J178,0)</f>
        <v/>
      </c>
      <c r="BA178" s="47">
        <f>IF($E178=BA$3,$G178,0)-IF($H178=BA$3,$J178,0)</f>
        <v/>
      </c>
      <c r="BB178" s="47">
        <f>IF($E178=BB$3,$G178,0)-IF($H178=BB$3,$J178,0)</f>
        <v/>
      </c>
      <c r="BC178" s="47">
        <f>IF($E178=BC$3,$G178,0)-IF($H178=BC$3,$J178,0)</f>
        <v/>
      </c>
      <c r="BD178" s="47">
        <f>IF($E178=BD$3,$G178,0)-IF($H178=BD$3,$J178,0)</f>
        <v/>
      </c>
      <c r="BE178" s="47">
        <f>IF($E178=BE$3,$G178,0)-IF($H178=BE$3,$J178,0)</f>
        <v/>
      </c>
      <c r="BF178" s="47">
        <f>IF($E178=BF$3,$G178,0)-IF($H178=BF$3,$J178,0)</f>
        <v/>
      </c>
      <c r="BG178" s="47">
        <f>IF($E178=BG$3,$G178,0)-IF($H178=BG$3,$J178,0)</f>
        <v/>
      </c>
      <c r="BH178" s="47">
        <f>IF($E178=BH$3,$G178,0)-IF($H178=BH$3,$J178,0)</f>
        <v/>
      </c>
      <c r="BI178" s="47">
        <f>IF($E178=BI$3,$G178,0)-IF($H178=BI$3,$J178,0)</f>
        <v/>
      </c>
      <c r="BJ178" s="47">
        <f>IF($E178=BJ$3,$G178,0)-IF($H178=BJ$3,$J178,0)</f>
        <v/>
      </c>
      <c r="BK178" s="47">
        <f>IF($E178=BK$3,$G178,0)-IF($H178=BK$3,$J178,0)</f>
        <v/>
      </c>
      <c r="BL178" s="46">
        <f>-IF($E178=BL$3,$G178,0)+IF($H178=BL$3,$J178,0)</f>
        <v/>
      </c>
      <c r="BM178" s="47">
        <f>-IF($E178=BM$3,$G178,0)+IF($H178=BM$3,$J178,0)</f>
        <v/>
      </c>
      <c r="BN178" s="47">
        <f>-IF($E178=BN$3,$G178,0)+IF($H178=BN$3,$J178,0)</f>
        <v/>
      </c>
      <c r="BO178" s="47">
        <f>-IF($E178=BO$3,$G178,0)+IF($H178=BO$3,$J178,0)</f>
        <v/>
      </c>
      <c r="BP178" s="47">
        <f>-IF($E178=BP$3,$G178,0)+IF($H178=BP$3,$J178,0)</f>
        <v/>
      </c>
      <c r="BQ178" s="47">
        <f>-IF($E178=BQ$3,$G178,0)+IF($H178=BQ$3,$J178,0)</f>
        <v/>
      </c>
      <c r="BR178" s="47">
        <f>-IF($E178=BR$3,$G178,0)+IF($H178=BR$3,$J178,0)</f>
        <v/>
      </c>
      <c r="BS178" s="47">
        <f>-IF($E178=BS$3,$G178,0)+IF($H178=BS$3,$J178,0)</f>
        <v/>
      </c>
      <c r="BT178" s="47">
        <f>-IF($E178=BT$3,$G178,0)+IF($H178=BT$3,$J178,0)</f>
        <v/>
      </c>
      <c r="BU178" s="46">
        <f>+G178-J178</f>
        <v/>
      </c>
      <c r="BV178" s="48">
        <f>-IF($E178=BV$3,$G178,0)+IF($H178=BV$3,$J178,0)</f>
        <v/>
      </c>
      <c r="BW178" s="3" t="n"/>
    </row>
    <row r="179" ht="15.75" customHeight="1" s="214">
      <c r="A179" s="7" t="n"/>
      <c r="B179" s="8" t="n"/>
      <c r="C179" s="9" t="n"/>
      <c r="D179" s="10" t="n"/>
      <c r="E179" s="247" t="n"/>
      <c r="F179" s="11">
        <f>IF(E179="","",IF(ISNA(VLOOKUP(E179,科目コード表!$C$4:$D$67,2,FALSE)),"該当科目なし",VLOOKUP(E179,科目コード表!$C$4:$D$67,2,FALSE)))</f>
        <v/>
      </c>
      <c r="G179" s="38" t="n"/>
      <c r="H179" s="248" t="n"/>
      <c r="I179" s="11">
        <f>IF(H179="","",IF(ISNA(VLOOKUP(H179,科目コード表!$C$4:$D$67,2,FALSE)),"該当科目なし",VLOOKUP(H179,科目コード表!$C$4:$D$67,2,FALSE)))</f>
        <v/>
      </c>
      <c r="J179" s="40" t="n"/>
      <c r="L179" s="46">
        <f>IF($E179=L$3,$G179,0)-IF($H179=L$3,$J179,0)</f>
        <v/>
      </c>
      <c r="M179" s="47">
        <f>IF($E179=M$3,$G179,0)-IF($H179=M$3,$J179,0)</f>
        <v/>
      </c>
      <c r="N179" s="47">
        <f>IF($E179=N$3,$G179,0)-IF($H179=N$3,$J179,0)</f>
        <v/>
      </c>
      <c r="O179" s="47">
        <f>IF($E179=O$3,$G179,0)-IF($H179=O$3,$J179,0)</f>
        <v/>
      </c>
      <c r="P179" s="47">
        <f>IF($E179=P$3,$G179,0)-IF($H179=P$3,$J179,0)</f>
        <v/>
      </c>
      <c r="Q179" s="47">
        <f>IF($E179=Q$3,$G179,0)-IF($H179=Q$3,$J179,0)</f>
        <v/>
      </c>
      <c r="R179" s="47">
        <f>IF($E179=R$3,$G179,0)-IF($H179=R$3,$J179,0)</f>
        <v/>
      </c>
      <c r="S179" s="47">
        <f>IF($E179=S$3,$G179,0)-IF($H179=S$3,$J179,0)</f>
        <v/>
      </c>
      <c r="T179" s="47">
        <f>IF($E179=T$3,$G179,0)-IF($H179=T$3,$J179,0)</f>
        <v/>
      </c>
      <c r="U179" s="47">
        <f>IF($E179=U$3,$G179,0)-IF($H179=U$3,$J179,0)</f>
        <v/>
      </c>
      <c r="V179" s="47">
        <f>IF($E179=V$3,$G179,0)-IF($H179=V$3,$J179,0)</f>
        <v/>
      </c>
      <c r="W179" s="47">
        <f>IF($E179=W$3,$G179,0)-IF($H179=W$3,$J179,0)</f>
        <v/>
      </c>
      <c r="X179" s="47">
        <f>IF($E179=X$3,$G179,0)-IF($H179=X$3,$J179,0)</f>
        <v/>
      </c>
      <c r="Y179" s="47">
        <f>IF($E179=Y$3,$G179,0)-IF($H179=Y$3,$J179,0)</f>
        <v/>
      </c>
      <c r="Z179" s="47">
        <f>IF($E179=Z$3,$G179,0)-IF($H179=Z$3,$J179,0)</f>
        <v/>
      </c>
      <c r="AA179" s="47">
        <f>IF($E179=AA$3,$G179,0)-IF($H179=AA$3,$J179,0)</f>
        <v/>
      </c>
      <c r="AB179" s="47">
        <f>IF($E179=AB$3,$G179,0)-IF($H179=AB$3,$J179,0)</f>
        <v/>
      </c>
      <c r="AC179" s="47">
        <f>IF($E179=AC$3,$G179,0)-IF($H179=AC$3,$J179,0)</f>
        <v/>
      </c>
      <c r="AD179" s="47">
        <f>IF($E179=AD$3,$G179,0)-IF($H179=AD$3,$J179,0)</f>
        <v/>
      </c>
      <c r="AE179" s="47">
        <f>IF($E179=AE$3,$G179,0)-IF($H179=AE$3,$J179,0)</f>
        <v/>
      </c>
      <c r="AF179" s="47">
        <f>IF($E179=AF$3,$G179,0)-IF($H179=AF$3,$J179,0)</f>
        <v/>
      </c>
      <c r="AG179" s="47">
        <f>IF($E179=AG$3,$G179,0)-IF($H179=AG$3,$J179,0)</f>
        <v/>
      </c>
      <c r="AH179" s="47">
        <f>IF($E179=AH$3,$G179,0)-IF($H179=AH$3,$J179,0)</f>
        <v/>
      </c>
      <c r="AI179" s="47">
        <f>IF($E179=AI$3,$G179,0)-IF($H179=AI$3,$J179,0)</f>
        <v/>
      </c>
      <c r="AJ179" s="47">
        <f>IF($E179=AJ$3,$G179,0)-IF($H179=AJ$3,$J179,0)</f>
        <v/>
      </c>
      <c r="AK179" s="47">
        <f>IF($E179=AK$3,$G179,0)-IF($H179=AK$3,$J179,0)</f>
        <v/>
      </c>
      <c r="AL179" s="48">
        <f>IF($E179=AL$3,$G179,0)-IF($H179=AL$3,$J179,0)</f>
        <v/>
      </c>
      <c r="AM179" s="46">
        <f>-IF($E179=AM$3,$G179,0)+IF($H179=AM$3,$J179,0)</f>
        <v/>
      </c>
      <c r="AN179" s="47">
        <f>-IF($E179=AN$3,$G179,0)+IF($H179=AN$3,$J179,0)</f>
        <v/>
      </c>
      <c r="AO179" s="48">
        <f>-IF($E179=AO$3,$G179,0)+IF($H179=AO$3,$J179,0)</f>
        <v/>
      </c>
      <c r="AP179" s="46">
        <f>IF($E179=AP$3,$G179,0)-IF($H179=AP$3,$J179,0)</f>
        <v/>
      </c>
      <c r="AQ179" s="47">
        <f>IF($E179=AQ$3,$G179,0)-IF($H179=AQ$3,$J179,0)</f>
        <v/>
      </c>
      <c r="AR179" s="47">
        <f>IF($E179=AR$3,$G179,0)-IF($H179=AR$3,$J179,0)</f>
        <v/>
      </c>
      <c r="AS179" s="47">
        <f>IF($E179=AS$3,$G179,0)-IF($H179=AS$3,$J179,0)</f>
        <v/>
      </c>
      <c r="AT179" s="47">
        <f>IF($E179=AT$3,$G179,0)-IF($H179=AT$3,$J179,0)</f>
        <v/>
      </c>
      <c r="AU179" s="47">
        <f>IF($E179=AU$3,$G179,0)-IF($H179=AU$3,$J179,0)</f>
        <v/>
      </c>
      <c r="AV179" s="47">
        <f>IF($E179=AV$3,$G179,0)-IF($H179=AV$3,$J179,0)</f>
        <v/>
      </c>
      <c r="AW179" s="47">
        <f>IF($E179=AW$3,$G179,0)-IF($H179=AW$3,$J179,0)</f>
        <v/>
      </c>
      <c r="AX179" s="47">
        <f>IF($E179=AX$3,$G179,0)-IF($H179=AX$3,$J179,0)</f>
        <v/>
      </c>
      <c r="AY179" s="47">
        <f>IF($E179=AY$3,$G179,0)-IF($H179=AY$3,$J179,0)</f>
        <v/>
      </c>
      <c r="AZ179" s="47">
        <f>IF($E179=AZ$3,$G179,0)-IF($H179=AZ$3,$J179,0)</f>
        <v/>
      </c>
      <c r="BA179" s="47">
        <f>IF($E179=BA$3,$G179,0)-IF($H179=BA$3,$J179,0)</f>
        <v/>
      </c>
      <c r="BB179" s="47">
        <f>IF($E179=BB$3,$G179,0)-IF($H179=BB$3,$J179,0)</f>
        <v/>
      </c>
      <c r="BC179" s="47">
        <f>IF($E179=BC$3,$G179,0)-IF($H179=BC$3,$J179,0)</f>
        <v/>
      </c>
      <c r="BD179" s="47">
        <f>IF($E179=BD$3,$G179,0)-IF($H179=BD$3,$J179,0)</f>
        <v/>
      </c>
      <c r="BE179" s="47">
        <f>IF($E179=BE$3,$G179,0)-IF($H179=BE$3,$J179,0)</f>
        <v/>
      </c>
      <c r="BF179" s="47">
        <f>IF($E179=BF$3,$G179,0)-IF($H179=BF$3,$J179,0)</f>
        <v/>
      </c>
      <c r="BG179" s="47">
        <f>IF($E179=BG$3,$G179,0)-IF($H179=BG$3,$J179,0)</f>
        <v/>
      </c>
      <c r="BH179" s="47">
        <f>IF($E179=BH$3,$G179,0)-IF($H179=BH$3,$J179,0)</f>
        <v/>
      </c>
      <c r="BI179" s="47">
        <f>IF($E179=BI$3,$G179,0)-IF($H179=BI$3,$J179,0)</f>
        <v/>
      </c>
      <c r="BJ179" s="47">
        <f>IF($E179=BJ$3,$G179,0)-IF($H179=BJ$3,$J179,0)</f>
        <v/>
      </c>
      <c r="BK179" s="47">
        <f>IF($E179=BK$3,$G179,0)-IF($H179=BK$3,$J179,0)</f>
        <v/>
      </c>
      <c r="BL179" s="46">
        <f>-IF($E179=BL$3,$G179,0)+IF($H179=BL$3,$J179,0)</f>
        <v/>
      </c>
      <c r="BM179" s="47">
        <f>-IF($E179=BM$3,$G179,0)+IF($H179=BM$3,$J179,0)</f>
        <v/>
      </c>
      <c r="BN179" s="47">
        <f>-IF($E179=BN$3,$G179,0)+IF($H179=BN$3,$J179,0)</f>
        <v/>
      </c>
      <c r="BO179" s="47">
        <f>-IF($E179=BO$3,$G179,0)+IF($H179=BO$3,$J179,0)</f>
        <v/>
      </c>
      <c r="BP179" s="47">
        <f>-IF($E179=BP$3,$G179,0)+IF($H179=BP$3,$J179,0)</f>
        <v/>
      </c>
      <c r="BQ179" s="47">
        <f>-IF($E179=BQ$3,$G179,0)+IF($H179=BQ$3,$J179,0)</f>
        <v/>
      </c>
      <c r="BR179" s="47">
        <f>-IF($E179=BR$3,$G179,0)+IF($H179=BR$3,$J179,0)</f>
        <v/>
      </c>
      <c r="BS179" s="47">
        <f>-IF($E179=BS$3,$G179,0)+IF($H179=BS$3,$J179,0)</f>
        <v/>
      </c>
      <c r="BT179" s="47">
        <f>-IF($E179=BT$3,$G179,0)+IF($H179=BT$3,$J179,0)</f>
        <v/>
      </c>
      <c r="BU179" s="46">
        <f>+G179-J179</f>
        <v/>
      </c>
      <c r="BV179" s="48">
        <f>-IF($E179=BV$3,$G179,0)+IF($H179=BV$3,$J179,0)</f>
        <v/>
      </c>
      <c r="BW179" s="3" t="n"/>
    </row>
    <row r="180" ht="15.75" customHeight="1" s="214">
      <c r="A180" s="7" t="n"/>
      <c r="B180" s="8" t="n"/>
      <c r="C180" s="9" t="n"/>
      <c r="D180" s="10" t="n"/>
      <c r="E180" s="247" t="n"/>
      <c r="F180" s="11">
        <f>IF(E180="","",IF(ISNA(VLOOKUP(E180,科目コード表!$C$4:$D$67,2,FALSE)),"該当科目なし",VLOOKUP(E180,科目コード表!$C$4:$D$67,2,FALSE)))</f>
        <v/>
      </c>
      <c r="G180" s="38" t="n"/>
      <c r="H180" s="248" t="n"/>
      <c r="I180" s="11">
        <f>IF(H180="","",IF(ISNA(VLOOKUP(H180,科目コード表!$C$4:$D$67,2,FALSE)),"該当科目なし",VLOOKUP(H180,科目コード表!$C$4:$D$67,2,FALSE)))</f>
        <v/>
      </c>
      <c r="J180" s="40" t="n"/>
      <c r="L180" s="46">
        <f>IF($E180=L$3,$G180,0)-IF($H180=L$3,$J180,0)</f>
        <v/>
      </c>
      <c r="M180" s="47">
        <f>IF($E180=M$3,$G180,0)-IF($H180=M$3,$J180,0)</f>
        <v/>
      </c>
      <c r="N180" s="47">
        <f>IF($E180=N$3,$G180,0)-IF($H180=N$3,$J180,0)</f>
        <v/>
      </c>
      <c r="O180" s="47">
        <f>IF($E180=O$3,$G180,0)-IF($H180=O$3,$J180,0)</f>
        <v/>
      </c>
      <c r="P180" s="47">
        <f>IF($E180=P$3,$G180,0)-IF($H180=P$3,$J180,0)</f>
        <v/>
      </c>
      <c r="Q180" s="47">
        <f>IF($E180=Q$3,$G180,0)-IF($H180=Q$3,$J180,0)</f>
        <v/>
      </c>
      <c r="R180" s="47">
        <f>IF($E180=R$3,$G180,0)-IF($H180=R$3,$J180,0)</f>
        <v/>
      </c>
      <c r="S180" s="47">
        <f>IF($E180=S$3,$G180,0)-IF($H180=S$3,$J180,0)</f>
        <v/>
      </c>
      <c r="T180" s="47">
        <f>IF($E180=T$3,$G180,0)-IF($H180=T$3,$J180,0)</f>
        <v/>
      </c>
      <c r="U180" s="47">
        <f>IF($E180=U$3,$G180,0)-IF($H180=U$3,$J180,0)</f>
        <v/>
      </c>
      <c r="V180" s="47">
        <f>IF($E180=V$3,$G180,0)-IF($H180=V$3,$J180,0)</f>
        <v/>
      </c>
      <c r="W180" s="47">
        <f>IF($E180=W$3,$G180,0)-IF($H180=W$3,$J180,0)</f>
        <v/>
      </c>
      <c r="X180" s="47">
        <f>IF($E180=X$3,$G180,0)-IF($H180=X$3,$J180,0)</f>
        <v/>
      </c>
      <c r="Y180" s="47">
        <f>IF($E180=Y$3,$G180,0)-IF($H180=Y$3,$J180,0)</f>
        <v/>
      </c>
      <c r="Z180" s="47">
        <f>IF($E180=Z$3,$G180,0)-IF($H180=Z$3,$J180,0)</f>
        <v/>
      </c>
      <c r="AA180" s="47">
        <f>IF($E180=AA$3,$G180,0)-IF($H180=AA$3,$J180,0)</f>
        <v/>
      </c>
      <c r="AB180" s="47">
        <f>IF($E180=AB$3,$G180,0)-IF($H180=AB$3,$J180,0)</f>
        <v/>
      </c>
      <c r="AC180" s="47">
        <f>IF($E180=AC$3,$G180,0)-IF($H180=AC$3,$J180,0)</f>
        <v/>
      </c>
      <c r="AD180" s="47">
        <f>IF($E180=AD$3,$G180,0)-IF($H180=AD$3,$J180,0)</f>
        <v/>
      </c>
      <c r="AE180" s="47">
        <f>IF($E180=AE$3,$G180,0)-IF($H180=AE$3,$J180,0)</f>
        <v/>
      </c>
      <c r="AF180" s="47">
        <f>IF($E180=AF$3,$G180,0)-IF($H180=AF$3,$J180,0)</f>
        <v/>
      </c>
      <c r="AG180" s="47">
        <f>IF($E180=AG$3,$G180,0)-IF($H180=AG$3,$J180,0)</f>
        <v/>
      </c>
      <c r="AH180" s="47">
        <f>IF($E180=AH$3,$G180,0)-IF($H180=AH$3,$J180,0)</f>
        <v/>
      </c>
      <c r="AI180" s="47">
        <f>IF($E180=AI$3,$G180,0)-IF($H180=AI$3,$J180,0)</f>
        <v/>
      </c>
      <c r="AJ180" s="47">
        <f>IF($E180=AJ$3,$G180,0)-IF($H180=AJ$3,$J180,0)</f>
        <v/>
      </c>
      <c r="AK180" s="47">
        <f>IF($E180=AK$3,$G180,0)-IF($H180=AK$3,$J180,0)</f>
        <v/>
      </c>
      <c r="AL180" s="48">
        <f>IF($E180=AL$3,$G180,0)-IF($H180=AL$3,$J180,0)</f>
        <v/>
      </c>
      <c r="AM180" s="46">
        <f>-IF($E180=AM$3,$G180,0)+IF($H180=AM$3,$J180,0)</f>
        <v/>
      </c>
      <c r="AN180" s="47">
        <f>-IF($E180=AN$3,$G180,0)+IF($H180=AN$3,$J180,0)</f>
        <v/>
      </c>
      <c r="AO180" s="48">
        <f>-IF($E180=AO$3,$G180,0)+IF($H180=AO$3,$J180,0)</f>
        <v/>
      </c>
      <c r="AP180" s="46">
        <f>IF($E180=AP$3,$G180,0)-IF($H180=AP$3,$J180,0)</f>
        <v/>
      </c>
      <c r="AQ180" s="47">
        <f>IF($E180=AQ$3,$G180,0)-IF($H180=AQ$3,$J180,0)</f>
        <v/>
      </c>
      <c r="AR180" s="47">
        <f>IF($E180=AR$3,$G180,0)-IF($H180=AR$3,$J180,0)</f>
        <v/>
      </c>
      <c r="AS180" s="47">
        <f>IF($E180=AS$3,$G180,0)-IF($H180=AS$3,$J180,0)</f>
        <v/>
      </c>
      <c r="AT180" s="47">
        <f>IF($E180=AT$3,$G180,0)-IF($H180=AT$3,$J180,0)</f>
        <v/>
      </c>
      <c r="AU180" s="47">
        <f>IF($E180=AU$3,$G180,0)-IF($H180=AU$3,$J180,0)</f>
        <v/>
      </c>
      <c r="AV180" s="47">
        <f>IF($E180=AV$3,$G180,0)-IF($H180=AV$3,$J180,0)</f>
        <v/>
      </c>
      <c r="AW180" s="47">
        <f>IF($E180=AW$3,$G180,0)-IF($H180=AW$3,$J180,0)</f>
        <v/>
      </c>
      <c r="AX180" s="47">
        <f>IF($E180=AX$3,$G180,0)-IF($H180=AX$3,$J180,0)</f>
        <v/>
      </c>
      <c r="AY180" s="47">
        <f>IF($E180=AY$3,$G180,0)-IF($H180=AY$3,$J180,0)</f>
        <v/>
      </c>
      <c r="AZ180" s="47">
        <f>IF($E180=AZ$3,$G180,0)-IF($H180=AZ$3,$J180,0)</f>
        <v/>
      </c>
      <c r="BA180" s="47">
        <f>IF($E180=BA$3,$G180,0)-IF($H180=BA$3,$J180,0)</f>
        <v/>
      </c>
      <c r="BB180" s="47">
        <f>IF($E180=BB$3,$G180,0)-IF($H180=BB$3,$J180,0)</f>
        <v/>
      </c>
      <c r="BC180" s="47">
        <f>IF($E180=BC$3,$G180,0)-IF($H180=BC$3,$J180,0)</f>
        <v/>
      </c>
      <c r="BD180" s="47">
        <f>IF($E180=BD$3,$G180,0)-IF($H180=BD$3,$J180,0)</f>
        <v/>
      </c>
      <c r="BE180" s="47">
        <f>IF($E180=BE$3,$G180,0)-IF($H180=BE$3,$J180,0)</f>
        <v/>
      </c>
      <c r="BF180" s="47">
        <f>IF($E180=BF$3,$G180,0)-IF($H180=BF$3,$J180,0)</f>
        <v/>
      </c>
      <c r="BG180" s="47">
        <f>IF($E180=BG$3,$G180,0)-IF($H180=BG$3,$J180,0)</f>
        <v/>
      </c>
      <c r="BH180" s="47">
        <f>IF($E180=BH$3,$G180,0)-IF($H180=BH$3,$J180,0)</f>
        <v/>
      </c>
      <c r="BI180" s="47">
        <f>IF($E180=BI$3,$G180,0)-IF($H180=BI$3,$J180,0)</f>
        <v/>
      </c>
      <c r="BJ180" s="47">
        <f>IF($E180=BJ$3,$G180,0)-IF($H180=BJ$3,$J180,0)</f>
        <v/>
      </c>
      <c r="BK180" s="47">
        <f>IF($E180=BK$3,$G180,0)-IF($H180=BK$3,$J180,0)</f>
        <v/>
      </c>
      <c r="BL180" s="46">
        <f>-IF($E180=BL$3,$G180,0)+IF($H180=BL$3,$J180,0)</f>
        <v/>
      </c>
      <c r="BM180" s="47">
        <f>-IF($E180=BM$3,$G180,0)+IF($H180=BM$3,$J180,0)</f>
        <v/>
      </c>
      <c r="BN180" s="47">
        <f>-IF($E180=BN$3,$G180,0)+IF($H180=BN$3,$J180,0)</f>
        <v/>
      </c>
      <c r="BO180" s="47">
        <f>-IF($E180=BO$3,$G180,0)+IF($H180=BO$3,$J180,0)</f>
        <v/>
      </c>
      <c r="BP180" s="47">
        <f>-IF($E180=BP$3,$G180,0)+IF($H180=BP$3,$J180,0)</f>
        <v/>
      </c>
      <c r="BQ180" s="47">
        <f>-IF($E180=BQ$3,$G180,0)+IF($H180=BQ$3,$J180,0)</f>
        <v/>
      </c>
      <c r="BR180" s="47">
        <f>-IF($E180=BR$3,$G180,0)+IF($H180=BR$3,$J180,0)</f>
        <v/>
      </c>
      <c r="BS180" s="47">
        <f>-IF($E180=BS$3,$G180,0)+IF($H180=BS$3,$J180,0)</f>
        <v/>
      </c>
      <c r="BT180" s="47">
        <f>-IF($E180=BT$3,$G180,0)+IF($H180=BT$3,$J180,0)</f>
        <v/>
      </c>
      <c r="BU180" s="46">
        <f>+G180-J180</f>
        <v/>
      </c>
      <c r="BV180" s="48">
        <f>-IF($E180=BV$3,$G180,0)+IF($H180=BV$3,$J180,0)</f>
        <v/>
      </c>
      <c r="BW180" s="3" t="n"/>
    </row>
    <row r="181" ht="15.75" customHeight="1" s="214">
      <c r="A181" s="7" t="n"/>
      <c r="B181" s="8" t="n"/>
      <c r="C181" s="9" t="n"/>
      <c r="D181" s="10" t="n"/>
      <c r="E181" s="247" t="n"/>
      <c r="F181" s="11">
        <f>IF(E181="","",IF(ISNA(VLOOKUP(E181,科目コード表!$C$4:$D$67,2,FALSE)),"該当科目なし",VLOOKUP(E181,科目コード表!$C$4:$D$67,2,FALSE)))</f>
        <v/>
      </c>
      <c r="G181" s="38" t="n"/>
      <c r="H181" s="248" t="n"/>
      <c r="I181" s="11">
        <f>IF(H181="","",IF(ISNA(VLOOKUP(H181,科目コード表!$C$4:$D$67,2,FALSE)),"該当科目なし",VLOOKUP(H181,科目コード表!$C$4:$D$67,2,FALSE)))</f>
        <v/>
      </c>
      <c r="J181" s="40" t="n"/>
      <c r="L181" s="46">
        <f>IF($E181=L$3,$G181,0)-IF($H181=L$3,$J181,0)</f>
        <v/>
      </c>
      <c r="M181" s="47">
        <f>IF($E181=M$3,$G181,0)-IF($H181=M$3,$J181,0)</f>
        <v/>
      </c>
      <c r="N181" s="47">
        <f>IF($E181=N$3,$G181,0)-IF($H181=N$3,$J181,0)</f>
        <v/>
      </c>
      <c r="O181" s="47">
        <f>IF($E181=O$3,$G181,0)-IF($H181=O$3,$J181,0)</f>
        <v/>
      </c>
      <c r="P181" s="47">
        <f>IF($E181=P$3,$G181,0)-IF($H181=P$3,$J181,0)</f>
        <v/>
      </c>
      <c r="Q181" s="47">
        <f>IF($E181=Q$3,$G181,0)-IF($H181=Q$3,$J181,0)</f>
        <v/>
      </c>
      <c r="R181" s="47">
        <f>IF($E181=R$3,$G181,0)-IF($H181=R$3,$J181,0)</f>
        <v/>
      </c>
      <c r="S181" s="47">
        <f>IF($E181=S$3,$G181,0)-IF($H181=S$3,$J181,0)</f>
        <v/>
      </c>
      <c r="T181" s="47">
        <f>IF($E181=T$3,$G181,0)-IF($H181=T$3,$J181,0)</f>
        <v/>
      </c>
      <c r="U181" s="47">
        <f>IF($E181=U$3,$G181,0)-IF($H181=U$3,$J181,0)</f>
        <v/>
      </c>
      <c r="V181" s="47">
        <f>IF($E181=V$3,$G181,0)-IF($H181=V$3,$J181,0)</f>
        <v/>
      </c>
      <c r="W181" s="47">
        <f>IF($E181=W$3,$G181,0)-IF($H181=W$3,$J181,0)</f>
        <v/>
      </c>
      <c r="X181" s="47">
        <f>IF($E181=X$3,$G181,0)-IF($H181=X$3,$J181,0)</f>
        <v/>
      </c>
      <c r="Y181" s="47">
        <f>IF($E181=Y$3,$G181,0)-IF($H181=Y$3,$J181,0)</f>
        <v/>
      </c>
      <c r="Z181" s="47">
        <f>IF($E181=Z$3,$G181,0)-IF($H181=Z$3,$J181,0)</f>
        <v/>
      </c>
      <c r="AA181" s="47">
        <f>IF($E181=AA$3,$G181,0)-IF($H181=AA$3,$J181,0)</f>
        <v/>
      </c>
      <c r="AB181" s="47">
        <f>IF($E181=AB$3,$G181,0)-IF($H181=AB$3,$J181,0)</f>
        <v/>
      </c>
      <c r="AC181" s="47">
        <f>IF($E181=AC$3,$G181,0)-IF($H181=AC$3,$J181,0)</f>
        <v/>
      </c>
      <c r="AD181" s="47">
        <f>IF($E181=AD$3,$G181,0)-IF($H181=AD$3,$J181,0)</f>
        <v/>
      </c>
      <c r="AE181" s="47">
        <f>IF($E181=AE$3,$G181,0)-IF($H181=AE$3,$J181,0)</f>
        <v/>
      </c>
      <c r="AF181" s="47">
        <f>IF($E181=AF$3,$G181,0)-IF($H181=AF$3,$J181,0)</f>
        <v/>
      </c>
      <c r="AG181" s="47">
        <f>IF($E181=AG$3,$G181,0)-IF($H181=AG$3,$J181,0)</f>
        <v/>
      </c>
      <c r="AH181" s="47">
        <f>IF($E181=AH$3,$G181,0)-IF($H181=AH$3,$J181,0)</f>
        <v/>
      </c>
      <c r="AI181" s="47">
        <f>IF($E181=AI$3,$G181,0)-IF($H181=AI$3,$J181,0)</f>
        <v/>
      </c>
      <c r="AJ181" s="47">
        <f>IF($E181=AJ$3,$G181,0)-IF($H181=AJ$3,$J181,0)</f>
        <v/>
      </c>
      <c r="AK181" s="47">
        <f>IF($E181=AK$3,$G181,0)-IF($H181=AK$3,$J181,0)</f>
        <v/>
      </c>
      <c r="AL181" s="48">
        <f>IF($E181=AL$3,$G181,0)-IF($H181=AL$3,$J181,0)</f>
        <v/>
      </c>
      <c r="AM181" s="46">
        <f>-IF($E181=AM$3,$G181,0)+IF($H181=AM$3,$J181,0)</f>
        <v/>
      </c>
      <c r="AN181" s="47">
        <f>-IF($E181=AN$3,$G181,0)+IF($H181=AN$3,$J181,0)</f>
        <v/>
      </c>
      <c r="AO181" s="48">
        <f>-IF($E181=AO$3,$G181,0)+IF($H181=AO$3,$J181,0)</f>
        <v/>
      </c>
      <c r="AP181" s="46">
        <f>IF($E181=AP$3,$G181,0)-IF($H181=AP$3,$J181,0)</f>
        <v/>
      </c>
      <c r="AQ181" s="47">
        <f>IF($E181=AQ$3,$G181,0)-IF($H181=AQ$3,$J181,0)</f>
        <v/>
      </c>
      <c r="AR181" s="47">
        <f>IF($E181=AR$3,$G181,0)-IF($H181=AR$3,$J181,0)</f>
        <v/>
      </c>
      <c r="AS181" s="47">
        <f>IF($E181=AS$3,$G181,0)-IF($H181=AS$3,$J181,0)</f>
        <v/>
      </c>
      <c r="AT181" s="47">
        <f>IF($E181=AT$3,$G181,0)-IF($H181=AT$3,$J181,0)</f>
        <v/>
      </c>
      <c r="AU181" s="47">
        <f>IF($E181=AU$3,$G181,0)-IF($H181=AU$3,$J181,0)</f>
        <v/>
      </c>
      <c r="AV181" s="47">
        <f>IF($E181=AV$3,$G181,0)-IF($H181=AV$3,$J181,0)</f>
        <v/>
      </c>
      <c r="AW181" s="47">
        <f>IF($E181=AW$3,$G181,0)-IF($H181=AW$3,$J181,0)</f>
        <v/>
      </c>
      <c r="AX181" s="47">
        <f>IF($E181=AX$3,$G181,0)-IF($H181=AX$3,$J181,0)</f>
        <v/>
      </c>
      <c r="AY181" s="47">
        <f>IF($E181=AY$3,$G181,0)-IF($H181=AY$3,$J181,0)</f>
        <v/>
      </c>
      <c r="AZ181" s="47">
        <f>IF($E181=AZ$3,$G181,0)-IF($H181=AZ$3,$J181,0)</f>
        <v/>
      </c>
      <c r="BA181" s="47">
        <f>IF($E181=BA$3,$G181,0)-IF($H181=BA$3,$J181,0)</f>
        <v/>
      </c>
      <c r="BB181" s="47">
        <f>IF($E181=BB$3,$G181,0)-IF($H181=BB$3,$J181,0)</f>
        <v/>
      </c>
      <c r="BC181" s="47">
        <f>IF($E181=BC$3,$G181,0)-IF($H181=BC$3,$J181,0)</f>
        <v/>
      </c>
      <c r="BD181" s="47">
        <f>IF($E181=BD$3,$G181,0)-IF($H181=BD$3,$J181,0)</f>
        <v/>
      </c>
      <c r="BE181" s="47">
        <f>IF($E181=BE$3,$G181,0)-IF($H181=BE$3,$J181,0)</f>
        <v/>
      </c>
      <c r="BF181" s="47">
        <f>IF($E181=BF$3,$G181,0)-IF($H181=BF$3,$J181,0)</f>
        <v/>
      </c>
      <c r="BG181" s="47">
        <f>IF($E181=BG$3,$G181,0)-IF($H181=BG$3,$J181,0)</f>
        <v/>
      </c>
      <c r="BH181" s="47">
        <f>IF($E181=BH$3,$G181,0)-IF($H181=BH$3,$J181,0)</f>
        <v/>
      </c>
      <c r="BI181" s="47">
        <f>IF($E181=BI$3,$G181,0)-IF($H181=BI$3,$J181,0)</f>
        <v/>
      </c>
      <c r="BJ181" s="47">
        <f>IF($E181=BJ$3,$G181,0)-IF($H181=BJ$3,$J181,0)</f>
        <v/>
      </c>
      <c r="BK181" s="47">
        <f>IF($E181=BK$3,$G181,0)-IF($H181=BK$3,$J181,0)</f>
        <v/>
      </c>
      <c r="BL181" s="46">
        <f>-IF($E181=BL$3,$G181,0)+IF($H181=BL$3,$J181,0)</f>
        <v/>
      </c>
      <c r="BM181" s="47">
        <f>-IF($E181=BM$3,$G181,0)+IF($H181=BM$3,$J181,0)</f>
        <v/>
      </c>
      <c r="BN181" s="47">
        <f>-IF($E181=BN$3,$G181,0)+IF($H181=BN$3,$J181,0)</f>
        <v/>
      </c>
      <c r="BO181" s="47">
        <f>-IF($E181=BO$3,$G181,0)+IF($H181=BO$3,$J181,0)</f>
        <v/>
      </c>
      <c r="BP181" s="47">
        <f>-IF($E181=BP$3,$G181,0)+IF($H181=BP$3,$J181,0)</f>
        <v/>
      </c>
      <c r="BQ181" s="47">
        <f>-IF($E181=BQ$3,$G181,0)+IF($H181=BQ$3,$J181,0)</f>
        <v/>
      </c>
      <c r="BR181" s="47">
        <f>-IF($E181=BR$3,$G181,0)+IF($H181=BR$3,$J181,0)</f>
        <v/>
      </c>
      <c r="BS181" s="47">
        <f>-IF($E181=BS$3,$G181,0)+IF($H181=BS$3,$J181,0)</f>
        <v/>
      </c>
      <c r="BT181" s="47">
        <f>-IF($E181=BT$3,$G181,0)+IF($H181=BT$3,$J181,0)</f>
        <v/>
      </c>
      <c r="BU181" s="46">
        <f>+G181-J181</f>
        <v/>
      </c>
      <c r="BV181" s="48">
        <f>-IF($E181=BV$3,$G181,0)+IF($H181=BV$3,$J181,0)</f>
        <v/>
      </c>
      <c r="BW181" s="3" t="n"/>
    </row>
    <row r="182" ht="15.75" customHeight="1" s="214">
      <c r="A182" s="7" t="n"/>
      <c r="B182" s="8" t="n"/>
      <c r="C182" s="9" t="n"/>
      <c r="D182" s="10" t="n"/>
      <c r="E182" s="247" t="n"/>
      <c r="F182" s="11">
        <f>IF(E182="","",IF(ISNA(VLOOKUP(E182,科目コード表!$C$4:$D$67,2,FALSE)),"該当科目なし",VLOOKUP(E182,科目コード表!$C$4:$D$67,2,FALSE)))</f>
        <v/>
      </c>
      <c r="G182" s="38" t="n"/>
      <c r="H182" s="248" t="n"/>
      <c r="I182" s="11">
        <f>IF(H182="","",IF(ISNA(VLOOKUP(H182,科目コード表!$C$4:$D$67,2,FALSE)),"該当科目なし",VLOOKUP(H182,科目コード表!$C$4:$D$67,2,FALSE)))</f>
        <v/>
      </c>
      <c r="J182" s="40" t="n"/>
      <c r="L182" s="46">
        <f>IF($E182=L$3,$G182,0)-IF($H182=L$3,$J182,0)</f>
        <v/>
      </c>
      <c r="M182" s="47">
        <f>IF($E182=M$3,$G182,0)-IF($H182=M$3,$J182,0)</f>
        <v/>
      </c>
      <c r="N182" s="47">
        <f>IF($E182=N$3,$G182,0)-IF($H182=N$3,$J182,0)</f>
        <v/>
      </c>
      <c r="O182" s="47">
        <f>IF($E182=O$3,$G182,0)-IF($H182=O$3,$J182,0)</f>
        <v/>
      </c>
      <c r="P182" s="47">
        <f>IF($E182=P$3,$G182,0)-IF($H182=P$3,$J182,0)</f>
        <v/>
      </c>
      <c r="Q182" s="47">
        <f>IF($E182=Q$3,$G182,0)-IF($H182=Q$3,$J182,0)</f>
        <v/>
      </c>
      <c r="R182" s="47">
        <f>IF($E182=R$3,$G182,0)-IF($H182=R$3,$J182,0)</f>
        <v/>
      </c>
      <c r="S182" s="47">
        <f>IF($E182=S$3,$G182,0)-IF($H182=S$3,$J182,0)</f>
        <v/>
      </c>
      <c r="T182" s="47">
        <f>IF($E182=T$3,$G182,0)-IF($H182=T$3,$J182,0)</f>
        <v/>
      </c>
      <c r="U182" s="47">
        <f>IF($E182=U$3,$G182,0)-IF($H182=U$3,$J182,0)</f>
        <v/>
      </c>
      <c r="V182" s="47">
        <f>IF($E182=V$3,$G182,0)-IF($H182=V$3,$J182,0)</f>
        <v/>
      </c>
      <c r="W182" s="47">
        <f>IF($E182=W$3,$G182,0)-IF($H182=W$3,$J182,0)</f>
        <v/>
      </c>
      <c r="X182" s="47">
        <f>IF($E182=X$3,$G182,0)-IF($H182=X$3,$J182,0)</f>
        <v/>
      </c>
      <c r="Y182" s="47">
        <f>IF($E182=Y$3,$G182,0)-IF($H182=Y$3,$J182,0)</f>
        <v/>
      </c>
      <c r="Z182" s="47">
        <f>IF($E182=Z$3,$G182,0)-IF($H182=Z$3,$J182,0)</f>
        <v/>
      </c>
      <c r="AA182" s="47">
        <f>IF($E182=AA$3,$G182,0)-IF($H182=AA$3,$J182,0)</f>
        <v/>
      </c>
      <c r="AB182" s="47">
        <f>IF($E182=AB$3,$G182,0)-IF($H182=AB$3,$J182,0)</f>
        <v/>
      </c>
      <c r="AC182" s="47">
        <f>IF($E182=AC$3,$G182,0)-IF($H182=AC$3,$J182,0)</f>
        <v/>
      </c>
      <c r="AD182" s="47">
        <f>IF($E182=AD$3,$G182,0)-IF($H182=AD$3,$J182,0)</f>
        <v/>
      </c>
      <c r="AE182" s="47">
        <f>IF($E182=AE$3,$G182,0)-IF($H182=AE$3,$J182,0)</f>
        <v/>
      </c>
      <c r="AF182" s="47">
        <f>IF($E182=AF$3,$G182,0)-IF($H182=AF$3,$J182,0)</f>
        <v/>
      </c>
      <c r="AG182" s="47">
        <f>IF($E182=AG$3,$G182,0)-IF($H182=AG$3,$J182,0)</f>
        <v/>
      </c>
      <c r="AH182" s="47">
        <f>IF($E182=AH$3,$G182,0)-IF($H182=AH$3,$J182,0)</f>
        <v/>
      </c>
      <c r="AI182" s="47">
        <f>IF($E182=AI$3,$G182,0)-IF($H182=AI$3,$J182,0)</f>
        <v/>
      </c>
      <c r="AJ182" s="47">
        <f>IF($E182=AJ$3,$G182,0)-IF($H182=AJ$3,$J182,0)</f>
        <v/>
      </c>
      <c r="AK182" s="47">
        <f>IF($E182=AK$3,$G182,0)-IF($H182=AK$3,$J182,0)</f>
        <v/>
      </c>
      <c r="AL182" s="48">
        <f>IF($E182=AL$3,$G182,0)-IF($H182=AL$3,$J182,0)</f>
        <v/>
      </c>
      <c r="AM182" s="46">
        <f>-IF($E182=AM$3,$G182,0)+IF($H182=AM$3,$J182,0)</f>
        <v/>
      </c>
      <c r="AN182" s="47">
        <f>-IF($E182=AN$3,$G182,0)+IF($H182=AN$3,$J182,0)</f>
        <v/>
      </c>
      <c r="AO182" s="48">
        <f>-IF($E182=AO$3,$G182,0)+IF($H182=AO$3,$J182,0)</f>
        <v/>
      </c>
      <c r="AP182" s="46">
        <f>IF($E182=AP$3,$G182,0)-IF($H182=AP$3,$J182,0)</f>
        <v/>
      </c>
      <c r="AQ182" s="47">
        <f>IF($E182=AQ$3,$G182,0)-IF($H182=AQ$3,$J182,0)</f>
        <v/>
      </c>
      <c r="AR182" s="47">
        <f>IF($E182=AR$3,$G182,0)-IF($H182=AR$3,$J182,0)</f>
        <v/>
      </c>
      <c r="AS182" s="47">
        <f>IF($E182=AS$3,$G182,0)-IF($H182=AS$3,$J182,0)</f>
        <v/>
      </c>
      <c r="AT182" s="47">
        <f>IF($E182=AT$3,$G182,0)-IF($H182=AT$3,$J182,0)</f>
        <v/>
      </c>
      <c r="AU182" s="47">
        <f>IF($E182=AU$3,$G182,0)-IF($H182=AU$3,$J182,0)</f>
        <v/>
      </c>
      <c r="AV182" s="47">
        <f>IF($E182=AV$3,$G182,0)-IF($H182=AV$3,$J182,0)</f>
        <v/>
      </c>
      <c r="AW182" s="47">
        <f>IF($E182=AW$3,$G182,0)-IF($H182=AW$3,$J182,0)</f>
        <v/>
      </c>
      <c r="AX182" s="47">
        <f>IF($E182=AX$3,$G182,0)-IF($H182=AX$3,$J182,0)</f>
        <v/>
      </c>
      <c r="AY182" s="47">
        <f>IF($E182=AY$3,$G182,0)-IF($H182=AY$3,$J182,0)</f>
        <v/>
      </c>
      <c r="AZ182" s="47">
        <f>IF($E182=AZ$3,$G182,0)-IF($H182=AZ$3,$J182,0)</f>
        <v/>
      </c>
      <c r="BA182" s="47">
        <f>IF($E182=BA$3,$G182,0)-IF($H182=BA$3,$J182,0)</f>
        <v/>
      </c>
      <c r="BB182" s="47">
        <f>IF($E182=BB$3,$G182,0)-IF($H182=BB$3,$J182,0)</f>
        <v/>
      </c>
      <c r="BC182" s="47">
        <f>IF($E182=BC$3,$G182,0)-IF($H182=BC$3,$J182,0)</f>
        <v/>
      </c>
      <c r="BD182" s="47">
        <f>IF($E182=BD$3,$G182,0)-IF($H182=BD$3,$J182,0)</f>
        <v/>
      </c>
      <c r="BE182" s="47">
        <f>IF($E182=BE$3,$G182,0)-IF($H182=BE$3,$J182,0)</f>
        <v/>
      </c>
      <c r="BF182" s="47">
        <f>IF($E182=BF$3,$G182,0)-IF($H182=BF$3,$J182,0)</f>
        <v/>
      </c>
      <c r="BG182" s="47">
        <f>IF($E182=BG$3,$G182,0)-IF($H182=BG$3,$J182,0)</f>
        <v/>
      </c>
      <c r="BH182" s="47">
        <f>IF($E182=BH$3,$G182,0)-IF($H182=BH$3,$J182,0)</f>
        <v/>
      </c>
      <c r="BI182" s="47">
        <f>IF($E182=BI$3,$G182,0)-IF($H182=BI$3,$J182,0)</f>
        <v/>
      </c>
      <c r="BJ182" s="47">
        <f>IF($E182=BJ$3,$G182,0)-IF($H182=BJ$3,$J182,0)</f>
        <v/>
      </c>
      <c r="BK182" s="47">
        <f>IF($E182=BK$3,$G182,0)-IF($H182=BK$3,$J182,0)</f>
        <v/>
      </c>
      <c r="BL182" s="46">
        <f>-IF($E182=BL$3,$G182,0)+IF($H182=BL$3,$J182,0)</f>
        <v/>
      </c>
      <c r="BM182" s="47">
        <f>-IF($E182=BM$3,$G182,0)+IF($H182=BM$3,$J182,0)</f>
        <v/>
      </c>
      <c r="BN182" s="47">
        <f>-IF($E182=BN$3,$G182,0)+IF($H182=BN$3,$J182,0)</f>
        <v/>
      </c>
      <c r="BO182" s="47">
        <f>-IF($E182=BO$3,$G182,0)+IF($H182=BO$3,$J182,0)</f>
        <v/>
      </c>
      <c r="BP182" s="47">
        <f>-IF($E182=BP$3,$G182,0)+IF($H182=BP$3,$J182,0)</f>
        <v/>
      </c>
      <c r="BQ182" s="47">
        <f>-IF($E182=BQ$3,$G182,0)+IF($H182=BQ$3,$J182,0)</f>
        <v/>
      </c>
      <c r="BR182" s="47">
        <f>-IF($E182=BR$3,$G182,0)+IF($H182=BR$3,$J182,0)</f>
        <v/>
      </c>
      <c r="BS182" s="47">
        <f>-IF($E182=BS$3,$G182,0)+IF($H182=BS$3,$J182,0)</f>
        <v/>
      </c>
      <c r="BT182" s="47">
        <f>-IF($E182=BT$3,$G182,0)+IF($H182=BT$3,$J182,0)</f>
        <v/>
      </c>
      <c r="BU182" s="46">
        <f>+G182-J182</f>
        <v/>
      </c>
      <c r="BV182" s="48">
        <f>-IF($E182=BV$3,$G182,0)+IF($H182=BV$3,$J182,0)</f>
        <v/>
      </c>
      <c r="BW182" s="3" t="n"/>
    </row>
    <row r="183" ht="15.75" customHeight="1" s="214">
      <c r="A183" s="7" t="n"/>
      <c r="B183" s="8" t="n"/>
      <c r="C183" s="9" t="n"/>
      <c r="D183" s="10" t="n"/>
      <c r="E183" s="247" t="n"/>
      <c r="F183" s="11">
        <f>IF(E183="","",IF(ISNA(VLOOKUP(E183,科目コード表!$C$4:$D$67,2,FALSE)),"該当科目なし",VLOOKUP(E183,科目コード表!$C$4:$D$67,2,FALSE)))</f>
        <v/>
      </c>
      <c r="G183" s="38" t="n"/>
      <c r="H183" s="248" t="n"/>
      <c r="I183" s="11">
        <f>IF(H183="","",IF(ISNA(VLOOKUP(H183,科目コード表!$C$4:$D$67,2,FALSE)),"該当科目なし",VLOOKUP(H183,科目コード表!$C$4:$D$67,2,FALSE)))</f>
        <v/>
      </c>
      <c r="J183" s="40" t="n"/>
      <c r="L183" s="46">
        <f>IF($E183=L$3,$G183,0)-IF($H183=L$3,$J183,0)</f>
        <v/>
      </c>
      <c r="M183" s="47">
        <f>IF($E183=M$3,$G183,0)-IF($H183=M$3,$J183,0)</f>
        <v/>
      </c>
      <c r="N183" s="47">
        <f>IF($E183=N$3,$G183,0)-IF($H183=N$3,$J183,0)</f>
        <v/>
      </c>
      <c r="O183" s="47">
        <f>IF($E183=O$3,$G183,0)-IF($H183=O$3,$J183,0)</f>
        <v/>
      </c>
      <c r="P183" s="47">
        <f>IF($E183=P$3,$G183,0)-IF($H183=P$3,$J183,0)</f>
        <v/>
      </c>
      <c r="Q183" s="47">
        <f>IF($E183=Q$3,$G183,0)-IF($H183=Q$3,$J183,0)</f>
        <v/>
      </c>
      <c r="R183" s="47">
        <f>IF($E183=R$3,$G183,0)-IF($H183=R$3,$J183,0)</f>
        <v/>
      </c>
      <c r="S183" s="47">
        <f>IF($E183=S$3,$G183,0)-IF($H183=S$3,$J183,0)</f>
        <v/>
      </c>
      <c r="T183" s="47">
        <f>IF($E183=T$3,$G183,0)-IF($H183=T$3,$J183,0)</f>
        <v/>
      </c>
      <c r="U183" s="47">
        <f>IF($E183=U$3,$G183,0)-IF($H183=U$3,$J183,0)</f>
        <v/>
      </c>
      <c r="V183" s="47">
        <f>IF($E183=V$3,$G183,0)-IF($H183=V$3,$J183,0)</f>
        <v/>
      </c>
      <c r="W183" s="47">
        <f>IF($E183=W$3,$G183,0)-IF($H183=W$3,$J183,0)</f>
        <v/>
      </c>
      <c r="X183" s="47">
        <f>IF($E183=X$3,$G183,0)-IF($H183=X$3,$J183,0)</f>
        <v/>
      </c>
      <c r="Y183" s="47">
        <f>IF($E183=Y$3,$G183,0)-IF($H183=Y$3,$J183,0)</f>
        <v/>
      </c>
      <c r="Z183" s="47">
        <f>IF($E183=Z$3,$G183,0)-IF($H183=Z$3,$J183,0)</f>
        <v/>
      </c>
      <c r="AA183" s="47">
        <f>IF($E183=AA$3,$G183,0)-IF($H183=AA$3,$J183,0)</f>
        <v/>
      </c>
      <c r="AB183" s="47">
        <f>IF($E183=AB$3,$G183,0)-IF($H183=AB$3,$J183,0)</f>
        <v/>
      </c>
      <c r="AC183" s="47">
        <f>IF($E183=AC$3,$G183,0)-IF($H183=AC$3,$J183,0)</f>
        <v/>
      </c>
      <c r="AD183" s="47">
        <f>IF($E183=AD$3,$G183,0)-IF($H183=AD$3,$J183,0)</f>
        <v/>
      </c>
      <c r="AE183" s="47">
        <f>IF($E183=AE$3,$G183,0)-IF($H183=AE$3,$J183,0)</f>
        <v/>
      </c>
      <c r="AF183" s="47">
        <f>IF($E183=AF$3,$G183,0)-IF($H183=AF$3,$J183,0)</f>
        <v/>
      </c>
      <c r="AG183" s="47">
        <f>IF($E183=AG$3,$G183,0)-IF($H183=AG$3,$J183,0)</f>
        <v/>
      </c>
      <c r="AH183" s="47">
        <f>IF($E183=AH$3,$G183,0)-IF($H183=AH$3,$J183,0)</f>
        <v/>
      </c>
      <c r="AI183" s="47">
        <f>IF($E183=AI$3,$G183,0)-IF($H183=AI$3,$J183,0)</f>
        <v/>
      </c>
      <c r="AJ183" s="47">
        <f>IF($E183=AJ$3,$G183,0)-IF($H183=AJ$3,$J183,0)</f>
        <v/>
      </c>
      <c r="AK183" s="47">
        <f>IF($E183=AK$3,$G183,0)-IF($H183=AK$3,$J183,0)</f>
        <v/>
      </c>
      <c r="AL183" s="48">
        <f>IF($E183=AL$3,$G183,0)-IF($H183=AL$3,$J183,0)</f>
        <v/>
      </c>
      <c r="AM183" s="46">
        <f>-IF($E183=AM$3,$G183,0)+IF($H183=AM$3,$J183,0)</f>
        <v/>
      </c>
      <c r="AN183" s="47">
        <f>-IF($E183=AN$3,$G183,0)+IF($H183=AN$3,$J183,0)</f>
        <v/>
      </c>
      <c r="AO183" s="48">
        <f>-IF($E183=AO$3,$G183,0)+IF($H183=AO$3,$J183,0)</f>
        <v/>
      </c>
      <c r="AP183" s="46">
        <f>IF($E183=AP$3,$G183,0)-IF($H183=AP$3,$J183,0)</f>
        <v/>
      </c>
      <c r="AQ183" s="47">
        <f>IF($E183=AQ$3,$G183,0)-IF($H183=AQ$3,$J183,0)</f>
        <v/>
      </c>
      <c r="AR183" s="47">
        <f>IF($E183=AR$3,$G183,0)-IF($H183=AR$3,$J183,0)</f>
        <v/>
      </c>
      <c r="AS183" s="47">
        <f>IF($E183=AS$3,$G183,0)-IF($H183=AS$3,$J183,0)</f>
        <v/>
      </c>
      <c r="AT183" s="47">
        <f>IF($E183=AT$3,$G183,0)-IF($H183=AT$3,$J183,0)</f>
        <v/>
      </c>
      <c r="AU183" s="47">
        <f>IF($E183=AU$3,$G183,0)-IF($H183=AU$3,$J183,0)</f>
        <v/>
      </c>
      <c r="AV183" s="47">
        <f>IF($E183=AV$3,$G183,0)-IF($H183=AV$3,$J183,0)</f>
        <v/>
      </c>
      <c r="AW183" s="47">
        <f>IF($E183=AW$3,$G183,0)-IF($H183=AW$3,$J183,0)</f>
        <v/>
      </c>
      <c r="AX183" s="47">
        <f>IF($E183=AX$3,$G183,0)-IF($H183=AX$3,$J183,0)</f>
        <v/>
      </c>
      <c r="AY183" s="47">
        <f>IF($E183=AY$3,$G183,0)-IF($H183=AY$3,$J183,0)</f>
        <v/>
      </c>
      <c r="AZ183" s="47">
        <f>IF($E183=AZ$3,$G183,0)-IF($H183=AZ$3,$J183,0)</f>
        <v/>
      </c>
      <c r="BA183" s="47">
        <f>IF($E183=BA$3,$G183,0)-IF($H183=BA$3,$J183,0)</f>
        <v/>
      </c>
      <c r="BB183" s="47">
        <f>IF($E183=BB$3,$G183,0)-IF($H183=BB$3,$J183,0)</f>
        <v/>
      </c>
      <c r="BC183" s="47">
        <f>IF($E183=BC$3,$G183,0)-IF($H183=BC$3,$J183,0)</f>
        <v/>
      </c>
      <c r="BD183" s="47">
        <f>IF($E183=BD$3,$G183,0)-IF($H183=BD$3,$J183,0)</f>
        <v/>
      </c>
      <c r="BE183" s="47">
        <f>IF($E183=BE$3,$G183,0)-IF($H183=BE$3,$J183,0)</f>
        <v/>
      </c>
      <c r="BF183" s="47">
        <f>IF($E183=BF$3,$G183,0)-IF($H183=BF$3,$J183,0)</f>
        <v/>
      </c>
      <c r="BG183" s="47">
        <f>IF($E183=BG$3,$G183,0)-IF($H183=BG$3,$J183,0)</f>
        <v/>
      </c>
      <c r="BH183" s="47">
        <f>IF($E183=BH$3,$G183,0)-IF($H183=BH$3,$J183,0)</f>
        <v/>
      </c>
      <c r="BI183" s="47">
        <f>IF($E183=BI$3,$G183,0)-IF($H183=BI$3,$J183,0)</f>
        <v/>
      </c>
      <c r="BJ183" s="47">
        <f>IF($E183=BJ$3,$G183,0)-IF($H183=BJ$3,$J183,0)</f>
        <v/>
      </c>
      <c r="BK183" s="47">
        <f>IF($E183=BK$3,$G183,0)-IF($H183=BK$3,$J183,0)</f>
        <v/>
      </c>
      <c r="BL183" s="46">
        <f>-IF($E183=BL$3,$G183,0)+IF($H183=BL$3,$J183,0)</f>
        <v/>
      </c>
      <c r="BM183" s="47">
        <f>-IF($E183=BM$3,$G183,0)+IF($H183=BM$3,$J183,0)</f>
        <v/>
      </c>
      <c r="BN183" s="47">
        <f>-IF($E183=BN$3,$G183,0)+IF($H183=BN$3,$J183,0)</f>
        <v/>
      </c>
      <c r="BO183" s="47">
        <f>-IF($E183=BO$3,$G183,0)+IF($H183=BO$3,$J183,0)</f>
        <v/>
      </c>
      <c r="BP183" s="47">
        <f>-IF($E183=BP$3,$G183,0)+IF($H183=BP$3,$J183,0)</f>
        <v/>
      </c>
      <c r="BQ183" s="47">
        <f>-IF($E183=BQ$3,$G183,0)+IF($H183=BQ$3,$J183,0)</f>
        <v/>
      </c>
      <c r="BR183" s="47">
        <f>-IF($E183=BR$3,$G183,0)+IF($H183=BR$3,$J183,0)</f>
        <v/>
      </c>
      <c r="BS183" s="47">
        <f>-IF($E183=BS$3,$G183,0)+IF($H183=BS$3,$J183,0)</f>
        <v/>
      </c>
      <c r="BT183" s="47">
        <f>-IF($E183=BT$3,$G183,0)+IF($H183=BT$3,$J183,0)</f>
        <v/>
      </c>
      <c r="BU183" s="46">
        <f>+G183-J183</f>
        <v/>
      </c>
      <c r="BV183" s="48">
        <f>-IF($E183=BV$3,$G183,0)+IF($H183=BV$3,$J183,0)</f>
        <v/>
      </c>
      <c r="BW183" s="3" t="n"/>
    </row>
    <row r="184" ht="15.75" customHeight="1" s="214">
      <c r="A184" s="7" t="n"/>
      <c r="B184" s="8" t="n"/>
      <c r="C184" s="9" t="n"/>
      <c r="D184" s="10" t="n"/>
      <c r="E184" s="247" t="n"/>
      <c r="F184" s="11">
        <f>IF(E184="","",IF(ISNA(VLOOKUP(E184,科目コード表!$C$4:$D$67,2,FALSE)),"該当科目なし",VLOOKUP(E184,科目コード表!$C$4:$D$67,2,FALSE)))</f>
        <v/>
      </c>
      <c r="G184" s="38" t="n"/>
      <c r="H184" s="248" t="n"/>
      <c r="I184" s="11">
        <f>IF(H184="","",IF(ISNA(VLOOKUP(H184,科目コード表!$C$4:$D$67,2,FALSE)),"該当科目なし",VLOOKUP(H184,科目コード表!$C$4:$D$67,2,FALSE)))</f>
        <v/>
      </c>
      <c r="J184" s="40" t="n"/>
      <c r="L184" s="46">
        <f>IF($E184=L$3,$G184,0)-IF($H184=L$3,$J184,0)</f>
        <v/>
      </c>
      <c r="M184" s="47">
        <f>IF($E184=M$3,$G184,0)-IF($H184=M$3,$J184,0)</f>
        <v/>
      </c>
      <c r="N184" s="47">
        <f>IF($E184=N$3,$G184,0)-IF($H184=N$3,$J184,0)</f>
        <v/>
      </c>
      <c r="O184" s="47">
        <f>IF($E184=O$3,$G184,0)-IF($H184=O$3,$J184,0)</f>
        <v/>
      </c>
      <c r="P184" s="47">
        <f>IF($E184=P$3,$G184,0)-IF($H184=P$3,$J184,0)</f>
        <v/>
      </c>
      <c r="Q184" s="47">
        <f>IF($E184=Q$3,$G184,0)-IF($H184=Q$3,$J184,0)</f>
        <v/>
      </c>
      <c r="R184" s="47">
        <f>IF($E184=R$3,$G184,0)-IF($H184=R$3,$J184,0)</f>
        <v/>
      </c>
      <c r="S184" s="47">
        <f>IF($E184=S$3,$G184,0)-IF($H184=S$3,$J184,0)</f>
        <v/>
      </c>
      <c r="T184" s="47">
        <f>IF($E184=T$3,$G184,0)-IF($H184=T$3,$J184,0)</f>
        <v/>
      </c>
      <c r="U184" s="47">
        <f>IF($E184=U$3,$G184,0)-IF($H184=U$3,$J184,0)</f>
        <v/>
      </c>
      <c r="V184" s="47">
        <f>IF($E184=V$3,$G184,0)-IF($H184=V$3,$J184,0)</f>
        <v/>
      </c>
      <c r="W184" s="47">
        <f>IF($E184=W$3,$G184,0)-IF($H184=W$3,$J184,0)</f>
        <v/>
      </c>
      <c r="X184" s="47">
        <f>IF($E184=X$3,$G184,0)-IF($H184=X$3,$J184,0)</f>
        <v/>
      </c>
      <c r="Y184" s="47">
        <f>IF($E184=Y$3,$G184,0)-IF($H184=Y$3,$J184,0)</f>
        <v/>
      </c>
      <c r="Z184" s="47">
        <f>IF($E184=Z$3,$G184,0)-IF($H184=Z$3,$J184,0)</f>
        <v/>
      </c>
      <c r="AA184" s="47">
        <f>IF($E184=AA$3,$G184,0)-IF($H184=AA$3,$J184,0)</f>
        <v/>
      </c>
      <c r="AB184" s="47">
        <f>IF($E184=AB$3,$G184,0)-IF($H184=AB$3,$J184,0)</f>
        <v/>
      </c>
      <c r="AC184" s="47">
        <f>IF($E184=AC$3,$G184,0)-IF($H184=AC$3,$J184,0)</f>
        <v/>
      </c>
      <c r="AD184" s="47">
        <f>IF($E184=AD$3,$G184,0)-IF($H184=AD$3,$J184,0)</f>
        <v/>
      </c>
      <c r="AE184" s="47">
        <f>IF($E184=AE$3,$G184,0)-IF($H184=AE$3,$J184,0)</f>
        <v/>
      </c>
      <c r="AF184" s="47">
        <f>IF($E184=AF$3,$G184,0)-IF($H184=AF$3,$J184,0)</f>
        <v/>
      </c>
      <c r="AG184" s="47">
        <f>IF($E184=AG$3,$G184,0)-IF($H184=AG$3,$J184,0)</f>
        <v/>
      </c>
      <c r="AH184" s="47">
        <f>IF($E184=AH$3,$G184,0)-IF($H184=AH$3,$J184,0)</f>
        <v/>
      </c>
      <c r="AI184" s="47">
        <f>IF($E184=AI$3,$G184,0)-IF($H184=AI$3,$J184,0)</f>
        <v/>
      </c>
      <c r="AJ184" s="47">
        <f>IF($E184=AJ$3,$G184,0)-IF($H184=AJ$3,$J184,0)</f>
        <v/>
      </c>
      <c r="AK184" s="47">
        <f>IF($E184=AK$3,$G184,0)-IF($H184=AK$3,$J184,0)</f>
        <v/>
      </c>
      <c r="AL184" s="48">
        <f>IF($E184=AL$3,$G184,0)-IF($H184=AL$3,$J184,0)</f>
        <v/>
      </c>
      <c r="AM184" s="46">
        <f>-IF($E184=AM$3,$G184,0)+IF($H184=AM$3,$J184,0)</f>
        <v/>
      </c>
      <c r="AN184" s="47">
        <f>-IF($E184=AN$3,$G184,0)+IF($H184=AN$3,$J184,0)</f>
        <v/>
      </c>
      <c r="AO184" s="48">
        <f>-IF($E184=AO$3,$G184,0)+IF($H184=AO$3,$J184,0)</f>
        <v/>
      </c>
      <c r="AP184" s="46">
        <f>IF($E184=AP$3,$G184,0)-IF($H184=AP$3,$J184,0)</f>
        <v/>
      </c>
      <c r="AQ184" s="47">
        <f>IF($E184=AQ$3,$G184,0)-IF($H184=AQ$3,$J184,0)</f>
        <v/>
      </c>
      <c r="AR184" s="47">
        <f>IF($E184=AR$3,$G184,0)-IF($H184=AR$3,$J184,0)</f>
        <v/>
      </c>
      <c r="AS184" s="47">
        <f>IF($E184=AS$3,$G184,0)-IF($H184=AS$3,$J184,0)</f>
        <v/>
      </c>
      <c r="AT184" s="47">
        <f>IF($E184=AT$3,$G184,0)-IF($H184=AT$3,$J184,0)</f>
        <v/>
      </c>
      <c r="AU184" s="47">
        <f>IF($E184=AU$3,$G184,0)-IF($H184=AU$3,$J184,0)</f>
        <v/>
      </c>
      <c r="AV184" s="47">
        <f>IF($E184=AV$3,$G184,0)-IF($H184=AV$3,$J184,0)</f>
        <v/>
      </c>
      <c r="AW184" s="47">
        <f>IF($E184=AW$3,$G184,0)-IF($H184=AW$3,$J184,0)</f>
        <v/>
      </c>
      <c r="AX184" s="47">
        <f>IF($E184=AX$3,$G184,0)-IF($H184=AX$3,$J184,0)</f>
        <v/>
      </c>
      <c r="AY184" s="47">
        <f>IF($E184=AY$3,$G184,0)-IF($H184=AY$3,$J184,0)</f>
        <v/>
      </c>
      <c r="AZ184" s="47">
        <f>IF($E184=AZ$3,$G184,0)-IF($H184=AZ$3,$J184,0)</f>
        <v/>
      </c>
      <c r="BA184" s="47">
        <f>IF($E184=BA$3,$G184,0)-IF($H184=BA$3,$J184,0)</f>
        <v/>
      </c>
      <c r="BB184" s="47">
        <f>IF($E184=BB$3,$G184,0)-IF($H184=BB$3,$J184,0)</f>
        <v/>
      </c>
      <c r="BC184" s="47">
        <f>IF($E184=BC$3,$G184,0)-IF($H184=BC$3,$J184,0)</f>
        <v/>
      </c>
      <c r="BD184" s="47">
        <f>IF($E184=BD$3,$G184,0)-IF($H184=BD$3,$J184,0)</f>
        <v/>
      </c>
      <c r="BE184" s="47">
        <f>IF($E184=BE$3,$G184,0)-IF($H184=BE$3,$J184,0)</f>
        <v/>
      </c>
      <c r="BF184" s="47">
        <f>IF($E184=BF$3,$G184,0)-IF($H184=BF$3,$J184,0)</f>
        <v/>
      </c>
      <c r="BG184" s="47">
        <f>IF($E184=BG$3,$G184,0)-IF($H184=BG$3,$J184,0)</f>
        <v/>
      </c>
      <c r="BH184" s="47">
        <f>IF($E184=BH$3,$G184,0)-IF($H184=BH$3,$J184,0)</f>
        <v/>
      </c>
      <c r="BI184" s="47">
        <f>IF($E184=BI$3,$G184,0)-IF($H184=BI$3,$J184,0)</f>
        <v/>
      </c>
      <c r="BJ184" s="47">
        <f>IF($E184=BJ$3,$G184,0)-IF($H184=BJ$3,$J184,0)</f>
        <v/>
      </c>
      <c r="BK184" s="47">
        <f>IF($E184=BK$3,$G184,0)-IF($H184=BK$3,$J184,0)</f>
        <v/>
      </c>
      <c r="BL184" s="46">
        <f>-IF($E184=BL$3,$G184,0)+IF($H184=BL$3,$J184,0)</f>
        <v/>
      </c>
      <c r="BM184" s="47">
        <f>-IF($E184=BM$3,$G184,0)+IF($H184=BM$3,$J184,0)</f>
        <v/>
      </c>
      <c r="BN184" s="47">
        <f>-IF($E184=BN$3,$G184,0)+IF($H184=BN$3,$J184,0)</f>
        <v/>
      </c>
      <c r="BO184" s="47">
        <f>-IF($E184=BO$3,$G184,0)+IF($H184=BO$3,$J184,0)</f>
        <v/>
      </c>
      <c r="BP184" s="47">
        <f>-IF($E184=BP$3,$G184,0)+IF($H184=BP$3,$J184,0)</f>
        <v/>
      </c>
      <c r="BQ184" s="47">
        <f>-IF($E184=BQ$3,$G184,0)+IF($H184=BQ$3,$J184,0)</f>
        <v/>
      </c>
      <c r="BR184" s="47">
        <f>-IF($E184=BR$3,$G184,0)+IF($H184=BR$3,$J184,0)</f>
        <v/>
      </c>
      <c r="BS184" s="47">
        <f>-IF($E184=BS$3,$G184,0)+IF($H184=BS$3,$J184,0)</f>
        <v/>
      </c>
      <c r="BT184" s="47">
        <f>-IF($E184=BT$3,$G184,0)+IF($H184=BT$3,$J184,0)</f>
        <v/>
      </c>
      <c r="BU184" s="46">
        <f>+G184-J184</f>
        <v/>
      </c>
      <c r="BV184" s="48">
        <f>-IF($E184=BV$3,$G184,0)+IF($H184=BV$3,$J184,0)</f>
        <v/>
      </c>
      <c r="BW184" s="3" t="n"/>
    </row>
    <row r="185" ht="15.75" customHeight="1" s="214">
      <c r="A185" s="7" t="n"/>
      <c r="B185" s="8" t="n"/>
      <c r="C185" s="9" t="n"/>
      <c r="D185" s="10" t="n"/>
      <c r="E185" s="247" t="n"/>
      <c r="F185" s="11">
        <f>IF(E185="","",IF(ISNA(VLOOKUP(E185,科目コード表!$C$4:$D$67,2,FALSE)),"該当科目なし",VLOOKUP(E185,科目コード表!$C$4:$D$67,2,FALSE)))</f>
        <v/>
      </c>
      <c r="G185" s="38" t="n"/>
      <c r="H185" s="248" t="n"/>
      <c r="I185" s="11">
        <f>IF(H185="","",IF(ISNA(VLOOKUP(H185,科目コード表!$C$4:$D$67,2,FALSE)),"該当科目なし",VLOOKUP(H185,科目コード表!$C$4:$D$67,2,FALSE)))</f>
        <v/>
      </c>
      <c r="J185" s="40" t="n"/>
      <c r="L185" s="46">
        <f>IF($E185=L$3,$G185,0)-IF($H185=L$3,$J185,0)</f>
        <v/>
      </c>
      <c r="M185" s="47">
        <f>IF($E185=M$3,$G185,0)-IF($H185=M$3,$J185,0)</f>
        <v/>
      </c>
      <c r="N185" s="47">
        <f>IF($E185=N$3,$G185,0)-IF($H185=N$3,$J185,0)</f>
        <v/>
      </c>
      <c r="O185" s="47">
        <f>IF($E185=O$3,$G185,0)-IF($H185=O$3,$J185,0)</f>
        <v/>
      </c>
      <c r="P185" s="47">
        <f>IF($E185=P$3,$G185,0)-IF($H185=P$3,$J185,0)</f>
        <v/>
      </c>
      <c r="Q185" s="47">
        <f>IF($E185=Q$3,$G185,0)-IF($H185=Q$3,$J185,0)</f>
        <v/>
      </c>
      <c r="R185" s="47">
        <f>IF($E185=R$3,$G185,0)-IF($H185=R$3,$J185,0)</f>
        <v/>
      </c>
      <c r="S185" s="47">
        <f>IF($E185=S$3,$G185,0)-IF($H185=S$3,$J185,0)</f>
        <v/>
      </c>
      <c r="T185" s="47">
        <f>IF($E185=T$3,$G185,0)-IF($H185=T$3,$J185,0)</f>
        <v/>
      </c>
      <c r="U185" s="47">
        <f>IF($E185=U$3,$G185,0)-IF($H185=U$3,$J185,0)</f>
        <v/>
      </c>
      <c r="V185" s="47">
        <f>IF($E185=V$3,$G185,0)-IF($H185=V$3,$J185,0)</f>
        <v/>
      </c>
      <c r="W185" s="47">
        <f>IF($E185=W$3,$G185,0)-IF($H185=W$3,$J185,0)</f>
        <v/>
      </c>
      <c r="X185" s="47">
        <f>IF($E185=X$3,$G185,0)-IF($H185=X$3,$J185,0)</f>
        <v/>
      </c>
      <c r="Y185" s="47">
        <f>IF($E185=Y$3,$G185,0)-IF($H185=Y$3,$J185,0)</f>
        <v/>
      </c>
      <c r="Z185" s="47">
        <f>IF($E185=Z$3,$G185,0)-IF($H185=Z$3,$J185,0)</f>
        <v/>
      </c>
      <c r="AA185" s="47">
        <f>IF($E185=AA$3,$G185,0)-IF($H185=AA$3,$J185,0)</f>
        <v/>
      </c>
      <c r="AB185" s="47">
        <f>IF($E185=AB$3,$G185,0)-IF($H185=AB$3,$J185,0)</f>
        <v/>
      </c>
      <c r="AC185" s="47">
        <f>IF($E185=AC$3,$G185,0)-IF($H185=AC$3,$J185,0)</f>
        <v/>
      </c>
      <c r="AD185" s="47">
        <f>IF($E185=AD$3,$G185,0)-IF($H185=AD$3,$J185,0)</f>
        <v/>
      </c>
      <c r="AE185" s="47">
        <f>IF($E185=AE$3,$G185,0)-IF($H185=AE$3,$J185,0)</f>
        <v/>
      </c>
      <c r="AF185" s="47">
        <f>IF($E185=AF$3,$G185,0)-IF($H185=AF$3,$J185,0)</f>
        <v/>
      </c>
      <c r="AG185" s="47">
        <f>IF($E185=AG$3,$G185,0)-IF($H185=AG$3,$J185,0)</f>
        <v/>
      </c>
      <c r="AH185" s="47">
        <f>IF($E185=AH$3,$G185,0)-IF($H185=AH$3,$J185,0)</f>
        <v/>
      </c>
      <c r="AI185" s="47">
        <f>IF($E185=AI$3,$G185,0)-IF($H185=AI$3,$J185,0)</f>
        <v/>
      </c>
      <c r="AJ185" s="47">
        <f>IF($E185=AJ$3,$G185,0)-IF($H185=AJ$3,$J185,0)</f>
        <v/>
      </c>
      <c r="AK185" s="47">
        <f>IF($E185=AK$3,$G185,0)-IF($H185=AK$3,$J185,0)</f>
        <v/>
      </c>
      <c r="AL185" s="48">
        <f>IF($E185=AL$3,$G185,0)-IF($H185=AL$3,$J185,0)</f>
        <v/>
      </c>
      <c r="AM185" s="46">
        <f>-IF($E185=AM$3,$G185,0)+IF($H185=AM$3,$J185,0)</f>
        <v/>
      </c>
      <c r="AN185" s="47">
        <f>-IF($E185=AN$3,$G185,0)+IF($H185=AN$3,$J185,0)</f>
        <v/>
      </c>
      <c r="AO185" s="48">
        <f>-IF($E185=AO$3,$G185,0)+IF($H185=AO$3,$J185,0)</f>
        <v/>
      </c>
      <c r="AP185" s="46">
        <f>IF($E185=AP$3,$G185,0)-IF($H185=AP$3,$J185,0)</f>
        <v/>
      </c>
      <c r="AQ185" s="47">
        <f>IF($E185=AQ$3,$G185,0)-IF($H185=AQ$3,$J185,0)</f>
        <v/>
      </c>
      <c r="AR185" s="47">
        <f>IF($E185=AR$3,$G185,0)-IF($H185=AR$3,$J185,0)</f>
        <v/>
      </c>
      <c r="AS185" s="47">
        <f>IF($E185=AS$3,$G185,0)-IF($H185=AS$3,$J185,0)</f>
        <v/>
      </c>
      <c r="AT185" s="47">
        <f>IF($E185=AT$3,$G185,0)-IF($H185=AT$3,$J185,0)</f>
        <v/>
      </c>
      <c r="AU185" s="47">
        <f>IF($E185=AU$3,$G185,0)-IF($H185=AU$3,$J185,0)</f>
        <v/>
      </c>
      <c r="AV185" s="47">
        <f>IF($E185=AV$3,$G185,0)-IF($H185=AV$3,$J185,0)</f>
        <v/>
      </c>
      <c r="AW185" s="47">
        <f>IF($E185=AW$3,$G185,0)-IF($H185=AW$3,$J185,0)</f>
        <v/>
      </c>
      <c r="AX185" s="47">
        <f>IF($E185=AX$3,$G185,0)-IF($H185=AX$3,$J185,0)</f>
        <v/>
      </c>
      <c r="AY185" s="47">
        <f>IF($E185=AY$3,$G185,0)-IF($H185=AY$3,$J185,0)</f>
        <v/>
      </c>
      <c r="AZ185" s="47">
        <f>IF($E185=AZ$3,$G185,0)-IF($H185=AZ$3,$J185,0)</f>
        <v/>
      </c>
      <c r="BA185" s="47">
        <f>IF($E185=BA$3,$G185,0)-IF($H185=BA$3,$J185,0)</f>
        <v/>
      </c>
      <c r="BB185" s="47">
        <f>IF($E185=BB$3,$G185,0)-IF($H185=BB$3,$J185,0)</f>
        <v/>
      </c>
      <c r="BC185" s="47">
        <f>IF($E185=BC$3,$G185,0)-IF($H185=BC$3,$J185,0)</f>
        <v/>
      </c>
      <c r="BD185" s="47">
        <f>IF($E185=BD$3,$G185,0)-IF($H185=BD$3,$J185,0)</f>
        <v/>
      </c>
      <c r="BE185" s="47">
        <f>IF($E185=BE$3,$G185,0)-IF($H185=BE$3,$J185,0)</f>
        <v/>
      </c>
      <c r="BF185" s="47">
        <f>IF($E185=BF$3,$G185,0)-IF($H185=BF$3,$J185,0)</f>
        <v/>
      </c>
      <c r="BG185" s="47">
        <f>IF($E185=BG$3,$G185,0)-IF($H185=BG$3,$J185,0)</f>
        <v/>
      </c>
      <c r="BH185" s="47">
        <f>IF($E185=BH$3,$G185,0)-IF($H185=BH$3,$J185,0)</f>
        <v/>
      </c>
      <c r="BI185" s="47">
        <f>IF($E185=BI$3,$G185,0)-IF($H185=BI$3,$J185,0)</f>
        <v/>
      </c>
      <c r="BJ185" s="47">
        <f>IF($E185=BJ$3,$G185,0)-IF($H185=BJ$3,$J185,0)</f>
        <v/>
      </c>
      <c r="BK185" s="47">
        <f>IF($E185=BK$3,$G185,0)-IF($H185=BK$3,$J185,0)</f>
        <v/>
      </c>
      <c r="BL185" s="46">
        <f>-IF($E185=BL$3,$G185,0)+IF($H185=BL$3,$J185,0)</f>
        <v/>
      </c>
      <c r="BM185" s="47">
        <f>-IF($E185=BM$3,$G185,0)+IF($H185=BM$3,$J185,0)</f>
        <v/>
      </c>
      <c r="BN185" s="47">
        <f>-IF($E185=BN$3,$G185,0)+IF($H185=BN$3,$J185,0)</f>
        <v/>
      </c>
      <c r="BO185" s="47">
        <f>-IF($E185=BO$3,$G185,0)+IF($H185=BO$3,$J185,0)</f>
        <v/>
      </c>
      <c r="BP185" s="47">
        <f>-IF($E185=BP$3,$G185,0)+IF($H185=BP$3,$J185,0)</f>
        <v/>
      </c>
      <c r="BQ185" s="47">
        <f>-IF($E185=BQ$3,$G185,0)+IF($H185=BQ$3,$J185,0)</f>
        <v/>
      </c>
      <c r="BR185" s="47">
        <f>-IF($E185=BR$3,$G185,0)+IF($H185=BR$3,$J185,0)</f>
        <v/>
      </c>
      <c r="BS185" s="47">
        <f>-IF($E185=BS$3,$G185,0)+IF($H185=BS$3,$J185,0)</f>
        <v/>
      </c>
      <c r="BT185" s="47">
        <f>-IF($E185=BT$3,$G185,0)+IF($H185=BT$3,$J185,0)</f>
        <v/>
      </c>
      <c r="BU185" s="46">
        <f>+G185-J185</f>
        <v/>
      </c>
      <c r="BV185" s="48">
        <f>-IF($E185=BV$3,$G185,0)+IF($H185=BV$3,$J185,0)</f>
        <v/>
      </c>
      <c r="BW185" s="3" t="n"/>
    </row>
    <row r="186" ht="15.75" customHeight="1" s="214">
      <c r="A186" s="7" t="n"/>
      <c r="B186" s="8" t="n"/>
      <c r="C186" s="9" t="n"/>
      <c r="D186" s="10" t="n"/>
      <c r="E186" s="247" t="n"/>
      <c r="F186" s="11">
        <f>IF(E186="","",IF(ISNA(VLOOKUP(E186,科目コード表!$C$4:$D$67,2,FALSE)),"該当科目なし",VLOOKUP(E186,科目コード表!$C$4:$D$67,2,FALSE)))</f>
        <v/>
      </c>
      <c r="G186" s="38" t="n"/>
      <c r="H186" s="248" t="n"/>
      <c r="I186" s="11">
        <f>IF(H186="","",IF(ISNA(VLOOKUP(H186,科目コード表!$C$4:$D$67,2,FALSE)),"該当科目なし",VLOOKUP(H186,科目コード表!$C$4:$D$67,2,FALSE)))</f>
        <v/>
      </c>
      <c r="J186" s="40" t="n"/>
      <c r="L186" s="46">
        <f>IF($E186=L$3,$G186,0)-IF($H186=L$3,$J186,0)</f>
        <v/>
      </c>
      <c r="M186" s="47">
        <f>IF($E186=M$3,$G186,0)-IF($H186=M$3,$J186,0)</f>
        <v/>
      </c>
      <c r="N186" s="47">
        <f>IF($E186=N$3,$G186,0)-IF($H186=N$3,$J186,0)</f>
        <v/>
      </c>
      <c r="O186" s="47">
        <f>IF($E186=O$3,$G186,0)-IF($H186=O$3,$J186,0)</f>
        <v/>
      </c>
      <c r="P186" s="47">
        <f>IF($E186=P$3,$G186,0)-IF($H186=P$3,$J186,0)</f>
        <v/>
      </c>
      <c r="Q186" s="47">
        <f>IF($E186=Q$3,$G186,0)-IF($H186=Q$3,$J186,0)</f>
        <v/>
      </c>
      <c r="R186" s="47">
        <f>IF($E186=R$3,$G186,0)-IF($H186=R$3,$J186,0)</f>
        <v/>
      </c>
      <c r="S186" s="47">
        <f>IF($E186=S$3,$G186,0)-IF($H186=S$3,$J186,0)</f>
        <v/>
      </c>
      <c r="T186" s="47">
        <f>IF($E186=T$3,$G186,0)-IF($H186=T$3,$J186,0)</f>
        <v/>
      </c>
      <c r="U186" s="47">
        <f>IF($E186=U$3,$G186,0)-IF($H186=U$3,$J186,0)</f>
        <v/>
      </c>
      <c r="V186" s="47">
        <f>IF($E186=V$3,$G186,0)-IF($H186=V$3,$J186,0)</f>
        <v/>
      </c>
      <c r="W186" s="47">
        <f>IF($E186=W$3,$G186,0)-IF($H186=W$3,$J186,0)</f>
        <v/>
      </c>
      <c r="X186" s="47">
        <f>IF($E186=X$3,$G186,0)-IF($H186=X$3,$J186,0)</f>
        <v/>
      </c>
      <c r="Y186" s="47">
        <f>IF($E186=Y$3,$G186,0)-IF($H186=Y$3,$J186,0)</f>
        <v/>
      </c>
      <c r="Z186" s="47">
        <f>IF($E186=Z$3,$G186,0)-IF($H186=Z$3,$J186,0)</f>
        <v/>
      </c>
      <c r="AA186" s="47">
        <f>IF($E186=AA$3,$G186,0)-IF($H186=AA$3,$J186,0)</f>
        <v/>
      </c>
      <c r="AB186" s="47">
        <f>IF($E186=AB$3,$G186,0)-IF($H186=AB$3,$J186,0)</f>
        <v/>
      </c>
      <c r="AC186" s="47">
        <f>IF($E186=AC$3,$G186,0)-IF($H186=AC$3,$J186,0)</f>
        <v/>
      </c>
      <c r="AD186" s="47">
        <f>IF($E186=AD$3,$G186,0)-IF($H186=AD$3,$J186,0)</f>
        <v/>
      </c>
      <c r="AE186" s="47">
        <f>IF($E186=AE$3,$G186,0)-IF($H186=AE$3,$J186,0)</f>
        <v/>
      </c>
      <c r="AF186" s="47">
        <f>IF($E186=AF$3,$G186,0)-IF($H186=AF$3,$J186,0)</f>
        <v/>
      </c>
      <c r="AG186" s="47">
        <f>IF($E186=AG$3,$G186,0)-IF($H186=AG$3,$J186,0)</f>
        <v/>
      </c>
      <c r="AH186" s="47">
        <f>IF($E186=AH$3,$G186,0)-IF($H186=AH$3,$J186,0)</f>
        <v/>
      </c>
      <c r="AI186" s="47">
        <f>IF($E186=AI$3,$G186,0)-IF($H186=AI$3,$J186,0)</f>
        <v/>
      </c>
      <c r="AJ186" s="47">
        <f>IF($E186=AJ$3,$G186,0)-IF($H186=AJ$3,$J186,0)</f>
        <v/>
      </c>
      <c r="AK186" s="47">
        <f>IF($E186=AK$3,$G186,0)-IF($H186=AK$3,$J186,0)</f>
        <v/>
      </c>
      <c r="AL186" s="48">
        <f>IF($E186=AL$3,$G186,0)-IF($H186=AL$3,$J186,0)</f>
        <v/>
      </c>
      <c r="AM186" s="46">
        <f>-IF($E186=AM$3,$G186,0)+IF($H186=AM$3,$J186,0)</f>
        <v/>
      </c>
      <c r="AN186" s="47">
        <f>-IF($E186=AN$3,$G186,0)+IF($H186=AN$3,$J186,0)</f>
        <v/>
      </c>
      <c r="AO186" s="48">
        <f>-IF($E186=AO$3,$G186,0)+IF($H186=AO$3,$J186,0)</f>
        <v/>
      </c>
      <c r="AP186" s="46">
        <f>IF($E186=AP$3,$G186,0)-IF($H186=AP$3,$J186,0)</f>
        <v/>
      </c>
      <c r="AQ186" s="47">
        <f>IF($E186=AQ$3,$G186,0)-IF($H186=AQ$3,$J186,0)</f>
        <v/>
      </c>
      <c r="AR186" s="47">
        <f>IF($E186=AR$3,$G186,0)-IF($H186=AR$3,$J186,0)</f>
        <v/>
      </c>
      <c r="AS186" s="47">
        <f>IF($E186=AS$3,$G186,0)-IF($H186=AS$3,$J186,0)</f>
        <v/>
      </c>
      <c r="AT186" s="47">
        <f>IF($E186=AT$3,$G186,0)-IF($H186=AT$3,$J186,0)</f>
        <v/>
      </c>
      <c r="AU186" s="47">
        <f>IF($E186=AU$3,$G186,0)-IF($H186=AU$3,$J186,0)</f>
        <v/>
      </c>
      <c r="AV186" s="47">
        <f>IF($E186=AV$3,$G186,0)-IF($H186=AV$3,$J186,0)</f>
        <v/>
      </c>
      <c r="AW186" s="47">
        <f>IF($E186=AW$3,$G186,0)-IF($H186=AW$3,$J186,0)</f>
        <v/>
      </c>
      <c r="AX186" s="47">
        <f>IF($E186=AX$3,$G186,0)-IF($H186=AX$3,$J186,0)</f>
        <v/>
      </c>
      <c r="AY186" s="47">
        <f>IF($E186=AY$3,$G186,0)-IF($H186=AY$3,$J186,0)</f>
        <v/>
      </c>
      <c r="AZ186" s="47">
        <f>IF($E186=AZ$3,$G186,0)-IF($H186=AZ$3,$J186,0)</f>
        <v/>
      </c>
      <c r="BA186" s="47">
        <f>IF($E186=BA$3,$G186,0)-IF($H186=BA$3,$J186,0)</f>
        <v/>
      </c>
      <c r="BB186" s="47">
        <f>IF($E186=BB$3,$G186,0)-IF($H186=BB$3,$J186,0)</f>
        <v/>
      </c>
      <c r="BC186" s="47">
        <f>IF($E186=BC$3,$G186,0)-IF($H186=BC$3,$J186,0)</f>
        <v/>
      </c>
      <c r="BD186" s="47">
        <f>IF($E186=BD$3,$G186,0)-IF($H186=BD$3,$J186,0)</f>
        <v/>
      </c>
      <c r="BE186" s="47">
        <f>IF($E186=BE$3,$G186,0)-IF($H186=BE$3,$J186,0)</f>
        <v/>
      </c>
      <c r="BF186" s="47">
        <f>IF($E186=BF$3,$G186,0)-IF($H186=BF$3,$J186,0)</f>
        <v/>
      </c>
      <c r="BG186" s="47">
        <f>IF($E186=BG$3,$G186,0)-IF($H186=BG$3,$J186,0)</f>
        <v/>
      </c>
      <c r="BH186" s="47">
        <f>IF($E186=BH$3,$G186,0)-IF($H186=BH$3,$J186,0)</f>
        <v/>
      </c>
      <c r="BI186" s="47">
        <f>IF($E186=BI$3,$G186,0)-IF($H186=BI$3,$J186,0)</f>
        <v/>
      </c>
      <c r="BJ186" s="47">
        <f>IF($E186=BJ$3,$G186,0)-IF($H186=BJ$3,$J186,0)</f>
        <v/>
      </c>
      <c r="BK186" s="47">
        <f>IF($E186=BK$3,$G186,0)-IF($H186=BK$3,$J186,0)</f>
        <v/>
      </c>
      <c r="BL186" s="46">
        <f>-IF($E186=BL$3,$G186,0)+IF($H186=BL$3,$J186,0)</f>
        <v/>
      </c>
      <c r="BM186" s="47">
        <f>-IF($E186=BM$3,$G186,0)+IF($H186=BM$3,$J186,0)</f>
        <v/>
      </c>
      <c r="BN186" s="47">
        <f>-IF($E186=BN$3,$G186,0)+IF($H186=BN$3,$J186,0)</f>
        <v/>
      </c>
      <c r="BO186" s="47">
        <f>-IF($E186=BO$3,$G186,0)+IF($H186=BO$3,$J186,0)</f>
        <v/>
      </c>
      <c r="BP186" s="47">
        <f>-IF($E186=BP$3,$G186,0)+IF($H186=BP$3,$J186,0)</f>
        <v/>
      </c>
      <c r="BQ186" s="47">
        <f>-IF($E186=BQ$3,$G186,0)+IF($H186=BQ$3,$J186,0)</f>
        <v/>
      </c>
      <c r="BR186" s="47">
        <f>-IF($E186=BR$3,$G186,0)+IF($H186=BR$3,$J186,0)</f>
        <v/>
      </c>
      <c r="BS186" s="47">
        <f>-IF($E186=BS$3,$G186,0)+IF($H186=BS$3,$J186,0)</f>
        <v/>
      </c>
      <c r="BT186" s="47">
        <f>-IF($E186=BT$3,$G186,0)+IF($H186=BT$3,$J186,0)</f>
        <v/>
      </c>
      <c r="BU186" s="46">
        <f>+G186-J186</f>
        <v/>
      </c>
      <c r="BV186" s="48">
        <f>-IF($E186=BV$3,$G186,0)+IF($H186=BV$3,$J186,0)</f>
        <v/>
      </c>
      <c r="BW186" s="3" t="n"/>
    </row>
    <row r="187" ht="15.75" customHeight="1" s="214">
      <c r="A187" s="7" t="n"/>
      <c r="B187" s="8" t="n"/>
      <c r="C187" s="9" t="n"/>
      <c r="D187" s="10" t="n"/>
      <c r="E187" s="247" t="n"/>
      <c r="F187" s="11">
        <f>IF(E187="","",IF(ISNA(VLOOKUP(E187,科目コード表!$C$4:$D$67,2,FALSE)),"該当科目なし",VLOOKUP(E187,科目コード表!$C$4:$D$67,2,FALSE)))</f>
        <v/>
      </c>
      <c r="G187" s="38" t="n"/>
      <c r="H187" s="248" t="n"/>
      <c r="I187" s="11">
        <f>IF(H187="","",IF(ISNA(VLOOKUP(H187,科目コード表!$C$4:$D$67,2,FALSE)),"該当科目なし",VLOOKUP(H187,科目コード表!$C$4:$D$67,2,FALSE)))</f>
        <v/>
      </c>
      <c r="J187" s="40" t="n"/>
      <c r="L187" s="46">
        <f>IF($E187=L$3,$G187,0)-IF($H187=L$3,$J187,0)</f>
        <v/>
      </c>
      <c r="M187" s="47">
        <f>IF($E187=M$3,$G187,0)-IF($H187=M$3,$J187,0)</f>
        <v/>
      </c>
      <c r="N187" s="47">
        <f>IF($E187=N$3,$G187,0)-IF($H187=N$3,$J187,0)</f>
        <v/>
      </c>
      <c r="O187" s="47">
        <f>IF($E187=O$3,$G187,0)-IF($H187=O$3,$J187,0)</f>
        <v/>
      </c>
      <c r="P187" s="47">
        <f>IF($E187=P$3,$G187,0)-IF($H187=P$3,$J187,0)</f>
        <v/>
      </c>
      <c r="Q187" s="47">
        <f>IF($E187=Q$3,$G187,0)-IF($H187=Q$3,$J187,0)</f>
        <v/>
      </c>
      <c r="R187" s="47">
        <f>IF($E187=R$3,$G187,0)-IF($H187=R$3,$J187,0)</f>
        <v/>
      </c>
      <c r="S187" s="47">
        <f>IF($E187=S$3,$G187,0)-IF($H187=S$3,$J187,0)</f>
        <v/>
      </c>
      <c r="T187" s="47">
        <f>IF($E187=T$3,$G187,0)-IF($H187=T$3,$J187,0)</f>
        <v/>
      </c>
      <c r="U187" s="47">
        <f>IF($E187=U$3,$G187,0)-IF($H187=U$3,$J187,0)</f>
        <v/>
      </c>
      <c r="V187" s="47">
        <f>IF($E187=V$3,$G187,0)-IF($H187=V$3,$J187,0)</f>
        <v/>
      </c>
      <c r="W187" s="47">
        <f>IF($E187=W$3,$G187,0)-IF($H187=W$3,$J187,0)</f>
        <v/>
      </c>
      <c r="X187" s="47">
        <f>IF($E187=X$3,$G187,0)-IF($H187=X$3,$J187,0)</f>
        <v/>
      </c>
      <c r="Y187" s="47">
        <f>IF($E187=Y$3,$G187,0)-IF($H187=Y$3,$J187,0)</f>
        <v/>
      </c>
      <c r="Z187" s="47">
        <f>IF($E187=Z$3,$G187,0)-IF($H187=Z$3,$J187,0)</f>
        <v/>
      </c>
      <c r="AA187" s="47">
        <f>IF($E187=AA$3,$G187,0)-IF($H187=AA$3,$J187,0)</f>
        <v/>
      </c>
      <c r="AB187" s="47">
        <f>IF($E187=AB$3,$G187,0)-IF($H187=AB$3,$J187,0)</f>
        <v/>
      </c>
      <c r="AC187" s="47">
        <f>IF($E187=AC$3,$G187,0)-IF($H187=AC$3,$J187,0)</f>
        <v/>
      </c>
      <c r="AD187" s="47">
        <f>IF($E187=AD$3,$G187,0)-IF($H187=AD$3,$J187,0)</f>
        <v/>
      </c>
      <c r="AE187" s="47">
        <f>IF($E187=AE$3,$G187,0)-IF($H187=AE$3,$J187,0)</f>
        <v/>
      </c>
      <c r="AF187" s="47">
        <f>IF($E187=AF$3,$G187,0)-IF($H187=AF$3,$J187,0)</f>
        <v/>
      </c>
      <c r="AG187" s="47">
        <f>IF($E187=AG$3,$G187,0)-IF($H187=AG$3,$J187,0)</f>
        <v/>
      </c>
      <c r="AH187" s="47">
        <f>IF($E187=AH$3,$G187,0)-IF($H187=AH$3,$J187,0)</f>
        <v/>
      </c>
      <c r="AI187" s="47">
        <f>IF($E187=AI$3,$G187,0)-IF($H187=AI$3,$J187,0)</f>
        <v/>
      </c>
      <c r="AJ187" s="47">
        <f>IF($E187=AJ$3,$G187,0)-IF($H187=AJ$3,$J187,0)</f>
        <v/>
      </c>
      <c r="AK187" s="47">
        <f>IF($E187=AK$3,$G187,0)-IF($H187=AK$3,$J187,0)</f>
        <v/>
      </c>
      <c r="AL187" s="48">
        <f>IF($E187=AL$3,$G187,0)-IF($H187=AL$3,$J187,0)</f>
        <v/>
      </c>
      <c r="AM187" s="46">
        <f>-IF($E187=AM$3,$G187,0)+IF($H187=AM$3,$J187,0)</f>
        <v/>
      </c>
      <c r="AN187" s="47">
        <f>-IF($E187=AN$3,$G187,0)+IF($H187=AN$3,$J187,0)</f>
        <v/>
      </c>
      <c r="AO187" s="48">
        <f>-IF($E187=AO$3,$G187,0)+IF($H187=AO$3,$J187,0)</f>
        <v/>
      </c>
      <c r="AP187" s="46">
        <f>IF($E187=AP$3,$G187,0)-IF($H187=AP$3,$J187,0)</f>
        <v/>
      </c>
      <c r="AQ187" s="47">
        <f>IF($E187=AQ$3,$G187,0)-IF($H187=AQ$3,$J187,0)</f>
        <v/>
      </c>
      <c r="AR187" s="47">
        <f>IF($E187=AR$3,$G187,0)-IF($H187=AR$3,$J187,0)</f>
        <v/>
      </c>
      <c r="AS187" s="47">
        <f>IF($E187=AS$3,$G187,0)-IF($H187=AS$3,$J187,0)</f>
        <v/>
      </c>
      <c r="AT187" s="47">
        <f>IF($E187=AT$3,$G187,0)-IF($H187=AT$3,$J187,0)</f>
        <v/>
      </c>
      <c r="AU187" s="47">
        <f>IF($E187=AU$3,$G187,0)-IF($H187=AU$3,$J187,0)</f>
        <v/>
      </c>
      <c r="AV187" s="47">
        <f>IF($E187=AV$3,$G187,0)-IF($H187=AV$3,$J187,0)</f>
        <v/>
      </c>
      <c r="AW187" s="47">
        <f>IF($E187=AW$3,$G187,0)-IF($H187=AW$3,$J187,0)</f>
        <v/>
      </c>
      <c r="AX187" s="47">
        <f>IF($E187=AX$3,$G187,0)-IF($H187=AX$3,$J187,0)</f>
        <v/>
      </c>
      <c r="AY187" s="47">
        <f>IF($E187=AY$3,$G187,0)-IF($H187=AY$3,$J187,0)</f>
        <v/>
      </c>
      <c r="AZ187" s="47">
        <f>IF($E187=AZ$3,$G187,0)-IF($H187=AZ$3,$J187,0)</f>
        <v/>
      </c>
      <c r="BA187" s="47">
        <f>IF($E187=BA$3,$G187,0)-IF($H187=BA$3,$J187,0)</f>
        <v/>
      </c>
      <c r="BB187" s="47">
        <f>IF($E187=BB$3,$G187,0)-IF($H187=BB$3,$J187,0)</f>
        <v/>
      </c>
      <c r="BC187" s="47">
        <f>IF($E187=BC$3,$G187,0)-IF($H187=BC$3,$J187,0)</f>
        <v/>
      </c>
      <c r="BD187" s="47">
        <f>IF($E187=BD$3,$G187,0)-IF($H187=BD$3,$J187,0)</f>
        <v/>
      </c>
      <c r="BE187" s="47">
        <f>IF($E187=BE$3,$G187,0)-IF($H187=BE$3,$J187,0)</f>
        <v/>
      </c>
      <c r="BF187" s="47">
        <f>IF($E187=BF$3,$G187,0)-IF($H187=BF$3,$J187,0)</f>
        <v/>
      </c>
      <c r="BG187" s="47">
        <f>IF($E187=BG$3,$G187,0)-IF($H187=BG$3,$J187,0)</f>
        <v/>
      </c>
      <c r="BH187" s="47">
        <f>IF($E187=BH$3,$G187,0)-IF($H187=BH$3,$J187,0)</f>
        <v/>
      </c>
      <c r="BI187" s="47">
        <f>IF($E187=BI$3,$G187,0)-IF($H187=BI$3,$J187,0)</f>
        <v/>
      </c>
      <c r="BJ187" s="47">
        <f>IF($E187=BJ$3,$G187,0)-IF($H187=BJ$3,$J187,0)</f>
        <v/>
      </c>
      <c r="BK187" s="47">
        <f>IF($E187=BK$3,$G187,0)-IF($H187=BK$3,$J187,0)</f>
        <v/>
      </c>
      <c r="BL187" s="46">
        <f>-IF($E187=BL$3,$G187,0)+IF($H187=BL$3,$J187,0)</f>
        <v/>
      </c>
      <c r="BM187" s="47">
        <f>-IF($E187=BM$3,$G187,0)+IF($H187=BM$3,$J187,0)</f>
        <v/>
      </c>
      <c r="BN187" s="47">
        <f>-IF($E187=BN$3,$G187,0)+IF($H187=BN$3,$J187,0)</f>
        <v/>
      </c>
      <c r="BO187" s="47">
        <f>-IF($E187=BO$3,$G187,0)+IF($H187=BO$3,$J187,0)</f>
        <v/>
      </c>
      <c r="BP187" s="47">
        <f>-IF($E187=BP$3,$G187,0)+IF($H187=BP$3,$J187,0)</f>
        <v/>
      </c>
      <c r="BQ187" s="47">
        <f>-IF($E187=BQ$3,$G187,0)+IF($H187=BQ$3,$J187,0)</f>
        <v/>
      </c>
      <c r="BR187" s="47">
        <f>-IF($E187=BR$3,$G187,0)+IF($H187=BR$3,$J187,0)</f>
        <v/>
      </c>
      <c r="BS187" s="47">
        <f>-IF($E187=BS$3,$G187,0)+IF($H187=BS$3,$J187,0)</f>
        <v/>
      </c>
      <c r="BT187" s="47">
        <f>-IF($E187=BT$3,$G187,0)+IF($H187=BT$3,$J187,0)</f>
        <v/>
      </c>
      <c r="BU187" s="46">
        <f>+G187-J187</f>
        <v/>
      </c>
      <c r="BV187" s="48">
        <f>-IF($E187=BV$3,$G187,0)+IF($H187=BV$3,$J187,0)</f>
        <v/>
      </c>
      <c r="BW187" s="3" t="n"/>
    </row>
    <row r="188" ht="15.75" customHeight="1" s="214">
      <c r="A188" s="7" t="n"/>
      <c r="B188" s="8" t="n"/>
      <c r="C188" s="9" t="n"/>
      <c r="D188" s="10" t="n"/>
      <c r="E188" s="247" t="n"/>
      <c r="F188" s="11">
        <f>IF(E188="","",IF(ISNA(VLOOKUP(E188,科目コード表!$C$4:$D$67,2,FALSE)),"該当科目なし",VLOOKUP(E188,科目コード表!$C$4:$D$67,2,FALSE)))</f>
        <v/>
      </c>
      <c r="G188" s="38" t="n"/>
      <c r="H188" s="248" t="n"/>
      <c r="I188" s="11">
        <f>IF(H188="","",IF(ISNA(VLOOKUP(H188,科目コード表!$C$4:$D$67,2,FALSE)),"該当科目なし",VLOOKUP(H188,科目コード表!$C$4:$D$67,2,FALSE)))</f>
        <v/>
      </c>
      <c r="J188" s="40" t="n"/>
      <c r="L188" s="46">
        <f>IF($E188=L$3,$G188,0)-IF($H188=L$3,$J188,0)</f>
        <v/>
      </c>
      <c r="M188" s="47">
        <f>IF($E188=M$3,$G188,0)-IF($H188=M$3,$J188,0)</f>
        <v/>
      </c>
      <c r="N188" s="47">
        <f>IF($E188=N$3,$G188,0)-IF($H188=N$3,$J188,0)</f>
        <v/>
      </c>
      <c r="O188" s="47">
        <f>IF($E188=O$3,$G188,0)-IF($H188=O$3,$J188,0)</f>
        <v/>
      </c>
      <c r="P188" s="47">
        <f>IF($E188=P$3,$G188,0)-IF($H188=P$3,$J188,0)</f>
        <v/>
      </c>
      <c r="Q188" s="47">
        <f>IF($E188=Q$3,$G188,0)-IF($H188=Q$3,$J188,0)</f>
        <v/>
      </c>
      <c r="R188" s="47">
        <f>IF($E188=R$3,$G188,0)-IF($H188=R$3,$J188,0)</f>
        <v/>
      </c>
      <c r="S188" s="47">
        <f>IF($E188=S$3,$G188,0)-IF($H188=S$3,$J188,0)</f>
        <v/>
      </c>
      <c r="T188" s="47">
        <f>IF($E188=T$3,$G188,0)-IF($H188=T$3,$J188,0)</f>
        <v/>
      </c>
      <c r="U188" s="47">
        <f>IF($E188=U$3,$G188,0)-IF($H188=U$3,$J188,0)</f>
        <v/>
      </c>
      <c r="V188" s="47">
        <f>IF($E188=V$3,$G188,0)-IF($H188=V$3,$J188,0)</f>
        <v/>
      </c>
      <c r="W188" s="47">
        <f>IF($E188=W$3,$G188,0)-IF($H188=W$3,$J188,0)</f>
        <v/>
      </c>
      <c r="X188" s="47">
        <f>IF($E188=X$3,$G188,0)-IF($H188=X$3,$J188,0)</f>
        <v/>
      </c>
      <c r="Y188" s="47">
        <f>IF($E188=Y$3,$G188,0)-IF($H188=Y$3,$J188,0)</f>
        <v/>
      </c>
      <c r="Z188" s="47">
        <f>IF($E188=Z$3,$G188,0)-IF($H188=Z$3,$J188,0)</f>
        <v/>
      </c>
      <c r="AA188" s="47">
        <f>IF($E188=AA$3,$G188,0)-IF($H188=AA$3,$J188,0)</f>
        <v/>
      </c>
      <c r="AB188" s="47">
        <f>IF($E188=AB$3,$G188,0)-IF($H188=AB$3,$J188,0)</f>
        <v/>
      </c>
      <c r="AC188" s="47">
        <f>IF($E188=AC$3,$G188,0)-IF($H188=AC$3,$J188,0)</f>
        <v/>
      </c>
      <c r="AD188" s="47">
        <f>IF($E188=AD$3,$G188,0)-IF($H188=AD$3,$J188,0)</f>
        <v/>
      </c>
      <c r="AE188" s="47">
        <f>IF($E188=AE$3,$G188,0)-IF($H188=AE$3,$J188,0)</f>
        <v/>
      </c>
      <c r="AF188" s="47">
        <f>IF($E188=AF$3,$G188,0)-IF($H188=AF$3,$J188,0)</f>
        <v/>
      </c>
      <c r="AG188" s="47">
        <f>IF($E188=AG$3,$G188,0)-IF($H188=AG$3,$J188,0)</f>
        <v/>
      </c>
      <c r="AH188" s="47">
        <f>IF($E188=AH$3,$G188,0)-IF($H188=AH$3,$J188,0)</f>
        <v/>
      </c>
      <c r="AI188" s="47">
        <f>IF($E188=AI$3,$G188,0)-IF($H188=AI$3,$J188,0)</f>
        <v/>
      </c>
      <c r="AJ188" s="47">
        <f>IF($E188=AJ$3,$G188,0)-IF($H188=AJ$3,$J188,0)</f>
        <v/>
      </c>
      <c r="AK188" s="47">
        <f>IF($E188=AK$3,$G188,0)-IF($H188=AK$3,$J188,0)</f>
        <v/>
      </c>
      <c r="AL188" s="48">
        <f>IF($E188=AL$3,$G188,0)-IF($H188=AL$3,$J188,0)</f>
        <v/>
      </c>
      <c r="AM188" s="46">
        <f>-IF($E188=AM$3,$G188,0)+IF($H188=AM$3,$J188,0)</f>
        <v/>
      </c>
      <c r="AN188" s="47">
        <f>-IF($E188=AN$3,$G188,0)+IF($H188=AN$3,$J188,0)</f>
        <v/>
      </c>
      <c r="AO188" s="48">
        <f>-IF($E188=AO$3,$G188,0)+IF($H188=AO$3,$J188,0)</f>
        <v/>
      </c>
      <c r="AP188" s="46">
        <f>IF($E188=AP$3,$G188,0)-IF($H188=AP$3,$J188,0)</f>
        <v/>
      </c>
      <c r="AQ188" s="47">
        <f>IF($E188=AQ$3,$G188,0)-IF($H188=AQ$3,$J188,0)</f>
        <v/>
      </c>
      <c r="AR188" s="47">
        <f>IF($E188=AR$3,$G188,0)-IF($H188=AR$3,$J188,0)</f>
        <v/>
      </c>
      <c r="AS188" s="47">
        <f>IF($E188=AS$3,$G188,0)-IF($H188=AS$3,$J188,0)</f>
        <v/>
      </c>
      <c r="AT188" s="47">
        <f>IF($E188=AT$3,$G188,0)-IF($H188=AT$3,$J188,0)</f>
        <v/>
      </c>
      <c r="AU188" s="47">
        <f>IF($E188=AU$3,$G188,0)-IF($H188=AU$3,$J188,0)</f>
        <v/>
      </c>
      <c r="AV188" s="47">
        <f>IF($E188=AV$3,$G188,0)-IF($H188=AV$3,$J188,0)</f>
        <v/>
      </c>
      <c r="AW188" s="47">
        <f>IF($E188=AW$3,$G188,0)-IF($H188=AW$3,$J188,0)</f>
        <v/>
      </c>
      <c r="AX188" s="47">
        <f>IF($E188=AX$3,$G188,0)-IF($H188=AX$3,$J188,0)</f>
        <v/>
      </c>
      <c r="AY188" s="47">
        <f>IF($E188=AY$3,$G188,0)-IF($H188=AY$3,$J188,0)</f>
        <v/>
      </c>
      <c r="AZ188" s="47">
        <f>IF($E188=AZ$3,$G188,0)-IF($H188=AZ$3,$J188,0)</f>
        <v/>
      </c>
      <c r="BA188" s="47">
        <f>IF($E188=BA$3,$G188,0)-IF($H188=BA$3,$J188,0)</f>
        <v/>
      </c>
      <c r="BB188" s="47">
        <f>IF($E188=BB$3,$G188,0)-IF($H188=BB$3,$J188,0)</f>
        <v/>
      </c>
      <c r="BC188" s="47">
        <f>IF($E188=BC$3,$G188,0)-IF($H188=BC$3,$J188,0)</f>
        <v/>
      </c>
      <c r="BD188" s="47">
        <f>IF($E188=BD$3,$G188,0)-IF($H188=BD$3,$J188,0)</f>
        <v/>
      </c>
      <c r="BE188" s="47">
        <f>IF($E188=BE$3,$G188,0)-IF($H188=BE$3,$J188,0)</f>
        <v/>
      </c>
      <c r="BF188" s="47">
        <f>IF($E188=BF$3,$G188,0)-IF($H188=BF$3,$J188,0)</f>
        <v/>
      </c>
      <c r="BG188" s="47">
        <f>IF($E188=BG$3,$G188,0)-IF($H188=BG$3,$J188,0)</f>
        <v/>
      </c>
      <c r="BH188" s="47">
        <f>IF($E188=BH$3,$G188,0)-IF($H188=BH$3,$J188,0)</f>
        <v/>
      </c>
      <c r="BI188" s="47">
        <f>IF($E188=BI$3,$G188,0)-IF($H188=BI$3,$J188,0)</f>
        <v/>
      </c>
      <c r="BJ188" s="47">
        <f>IF($E188=BJ$3,$G188,0)-IF($H188=BJ$3,$J188,0)</f>
        <v/>
      </c>
      <c r="BK188" s="47">
        <f>IF($E188=BK$3,$G188,0)-IF($H188=BK$3,$J188,0)</f>
        <v/>
      </c>
      <c r="BL188" s="46">
        <f>-IF($E188=BL$3,$G188,0)+IF($H188=BL$3,$J188,0)</f>
        <v/>
      </c>
      <c r="BM188" s="47">
        <f>-IF($E188=BM$3,$G188,0)+IF($H188=BM$3,$J188,0)</f>
        <v/>
      </c>
      <c r="BN188" s="47">
        <f>-IF($E188=BN$3,$G188,0)+IF($H188=BN$3,$J188,0)</f>
        <v/>
      </c>
      <c r="BO188" s="47">
        <f>-IF($E188=BO$3,$G188,0)+IF($H188=BO$3,$J188,0)</f>
        <v/>
      </c>
      <c r="BP188" s="47">
        <f>-IF($E188=BP$3,$G188,0)+IF($H188=BP$3,$J188,0)</f>
        <v/>
      </c>
      <c r="BQ188" s="47">
        <f>-IF($E188=BQ$3,$G188,0)+IF($H188=BQ$3,$J188,0)</f>
        <v/>
      </c>
      <c r="BR188" s="47">
        <f>-IF($E188=BR$3,$G188,0)+IF($H188=BR$3,$J188,0)</f>
        <v/>
      </c>
      <c r="BS188" s="47">
        <f>-IF($E188=BS$3,$G188,0)+IF($H188=BS$3,$J188,0)</f>
        <v/>
      </c>
      <c r="BT188" s="47">
        <f>-IF($E188=BT$3,$G188,0)+IF($H188=BT$3,$J188,0)</f>
        <v/>
      </c>
      <c r="BU188" s="46">
        <f>+G188-J188</f>
        <v/>
      </c>
      <c r="BV188" s="48">
        <f>-IF($E188=BV$3,$G188,0)+IF($H188=BV$3,$J188,0)</f>
        <v/>
      </c>
      <c r="BW188" s="3" t="n"/>
    </row>
    <row r="189" ht="15.75" customHeight="1" s="214">
      <c r="A189" s="7" t="n"/>
      <c r="B189" s="8" t="n"/>
      <c r="C189" s="9" t="n"/>
      <c r="D189" s="10" t="n"/>
      <c r="E189" s="247" t="n"/>
      <c r="F189" s="11">
        <f>IF(E189="","",IF(ISNA(VLOOKUP(E189,科目コード表!$C$4:$D$67,2,FALSE)),"該当科目なし",VLOOKUP(E189,科目コード表!$C$4:$D$67,2,FALSE)))</f>
        <v/>
      </c>
      <c r="G189" s="38" t="n"/>
      <c r="H189" s="248" t="n"/>
      <c r="I189" s="11">
        <f>IF(H189="","",IF(ISNA(VLOOKUP(H189,科目コード表!$C$4:$D$67,2,FALSE)),"該当科目なし",VLOOKUP(H189,科目コード表!$C$4:$D$67,2,FALSE)))</f>
        <v/>
      </c>
      <c r="J189" s="40" t="n"/>
      <c r="L189" s="46">
        <f>IF($E189=L$3,$G189,0)-IF($H189=L$3,$J189,0)</f>
        <v/>
      </c>
      <c r="M189" s="47">
        <f>IF($E189=M$3,$G189,0)-IF($H189=M$3,$J189,0)</f>
        <v/>
      </c>
      <c r="N189" s="47">
        <f>IF($E189=N$3,$G189,0)-IF($H189=N$3,$J189,0)</f>
        <v/>
      </c>
      <c r="O189" s="47">
        <f>IF($E189=O$3,$G189,0)-IF($H189=O$3,$J189,0)</f>
        <v/>
      </c>
      <c r="P189" s="47">
        <f>IF($E189=P$3,$G189,0)-IF($H189=P$3,$J189,0)</f>
        <v/>
      </c>
      <c r="Q189" s="47">
        <f>IF($E189=Q$3,$G189,0)-IF($H189=Q$3,$J189,0)</f>
        <v/>
      </c>
      <c r="R189" s="47">
        <f>IF($E189=R$3,$G189,0)-IF($H189=R$3,$J189,0)</f>
        <v/>
      </c>
      <c r="S189" s="47">
        <f>IF($E189=S$3,$G189,0)-IF($H189=S$3,$J189,0)</f>
        <v/>
      </c>
      <c r="T189" s="47">
        <f>IF($E189=T$3,$G189,0)-IF($H189=T$3,$J189,0)</f>
        <v/>
      </c>
      <c r="U189" s="47">
        <f>IF($E189=U$3,$G189,0)-IF($H189=U$3,$J189,0)</f>
        <v/>
      </c>
      <c r="V189" s="47">
        <f>IF($E189=V$3,$G189,0)-IF($H189=V$3,$J189,0)</f>
        <v/>
      </c>
      <c r="W189" s="47">
        <f>IF($E189=W$3,$G189,0)-IF($H189=W$3,$J189,0)</f>
        <v/>
      </c>
      <c r="X189" s="47">
        <f>IF($E189=X$3,$G189,0)-IF($H189=X$3,$J189,0)</f>
        <v/>
      </c>
      <c r="Y189" s="47">
        <f>IF($E189=Y$3,$G189,0)-IF($H189=Y$3,$J189,0)</f>
        <v/>
      </c>
      <c r="Z189" s="47">
        <f>IF($E189=Z$3,$G189,0)-IF($H189=Z$3,$J189,0)</f>
        <v/>
      </c>
      <c r="AA189" s="47">
        <f>IF($E189=AA$3,$G189,0)-IF($H189=AA$3,$J189,0)</f>
        <v/>
      </c>
      <c r="AB189" s="47">
        <f>IF($E189=AB$3,$G189,0)-IF($H189=AB$3,$J189,0)</f>
        <v/>
      </c>
      <c r="AC189" s="47">
        <f>IF($E189=AC$3,$G189,0)-IF($H189=AC$3,$J189,0)</f>
        <v/>
      </c>
      <c r="AD189" s="47">
        <f>IF($E189=AD$3,$G189,0)-IF($H189=AD$3,$J189,0)</f>
        <v/>
      </c>
      <c r="AE189" s="47">
        <f>IF($E189=AE$3,$G189,0)-IF($H189=AE$3,$J189,0)</f>
        <v/>
      </c>
      <c r="AF189" s="47">
        <f>IF($E189=AF$3,$G189,0)-IF($H189=AF$3,$J189,0)</f>
        <v/>
      </c>
      <c r="AG189" s="47">
        <f>IF($E189=AG$3,$G189,0)-IF($H189=AG$3,$J189,0)</f>
        <v/>
      </c>
      <c r="AH189" s="47">
        <f>IF($E189=AH$3,$G189,0)-IF($H189=AH$3,$J189,0)</f>
        <v/>
      </c>
      <c r="AI189" s="47">
        <f>IF($E189=AI$3,$G189,0)-IF($H189=AI$3,$J189,0)</f>
        <v/>
      </c>
      <c r="AJ189" s="47">
        <f>IF($E189=AJ$3,$G189,0)-IF($H189=AJ$3,$J189,0)</f>
        <v/>
      </c>
      <c r="AK189" s="47">
        <f>IF($E189=AK$3,$G189,0)-IF($H189=AK$3,$J189,0)</f>
        <v/>
      </c>
      <c r="AL189" s="48">
        <f>IF($E189=AL$3,$G189,0)-IF($H189=AL$3,$J189,0)</f>
        <v/>
      </c>
      <c r="AM189" s="46">
        <f>-IF($E189=AM$3,$G189,0)+IF($H189=AM$3,$J189,0)</f>
        <v/>
      </c>
      <c r="AN189" s="47">
        <f>-IF($E189=AN$3,$G189,0)+IF($H189=AN$3,$J189,0)</f>
        <v/>
      </c>
      <c r="AO189" s="48">
        <f>-IF($E189=AO$3,$G189,0)+IF($H189=AO$3,$J189,0)</f>
        <v/>
      </c>
      <c r="AP189" s="46">
        <f>IF($E189=AP$3,$G189,0)-IF($H189=AP$3,$J189,0)</f>
        <v/>
      </c>
      <c r="AQ189" s="47">
        <f>IF($E189=AQ$3,$G189,0)-IF($H189=AQ$3,$J189,0)</f>
        <v/>
      </c>
      <c r="AR189" s="47">
        <f>IF($E189=AR$3,$G189,0)-IF($H189=AR$3,$J189,0)</f>
        <v/>
      </c>
      <c r="AS189" s="47">
        <f>IF($E189=AS$3,$G189,0)-IF($H189=AS$3,$J189,0)</f>
        <v/>
      </c>
      <c r="AT189" s="47">
        <f>IF($E189=AT$3,$G189,0)-IF($H189=AT$3,$J189,0)</f>
        <v/>
      </c>
      <c r="AU189" s="47">
        <f>IF($E189=AU$3,$G189,0)-IF($H189=AU$3,$J189,0)</f>
        <v/>
      </c>
      <c r="AV189" s="47">
        <f>IF($E189=AV$3,$G189,0)-IF($H189=AV$3,$J189,0)</f>
        <v/>
      </c>
      <c r="AW189" s="47">
        <f>IF($E189=AW$3,$G189,0)-IF($H189=AW$3,$J189,0)</f>
        <v/>
      </c>
      <c r="AX189" s="47">
        <f>IF($E189=AX$3,$G189,0)-IF($H189=AX$3,$J189,0)</f>
        <v/>
      </c>
      <c r="AY189" s="47">
        <f>IF($E189=AY$3,$G189,0)-IF($H189=AY$3,$J189,0)</f>
        <v/>
      </c>
      <c r="AZ189" s="47">
        <f>IF($E189=AZ$3,$G189,0)-IF($H189=AZ$3,$J189,0)</f>
        <v/>
      </c>
      <c r="BA189" s="47">
        <f>IF($E189=BA$3,$G189,0)-IF($H189=BA$3,$J189,0)</f>
        <v/>
      </c>
      <c r="BB189" s="47">
        <f>IF($E189=BB$3,$G189,0)-IF($H189=BB$3,$J189,0)</f>
        <v/>
      </c>
      <c r="BC189" s="47">
        <f>IF($E189=BC$3,$G189,0)-IF($H189=BC$3,$J189,0)</f>
        <v/>
      </c>
      <c r="BD189" s="47">
        <f>IF($E189=BD$3,$G189,0)-IF($H189=BD$3,$J189,0)</f>
        <v/>
      </c>
      <c r="BE189" s="47">
        <f>IF($E189=BE$3,$G189,0)-IF($H189=BE$3,$J189,0)</f>
        <v/>
      </c>
      <c r="BF189" s="47">
        <f>IF($E189=BF$3,$G189,0)-IF($H189=BF$3,$J189,0)</f>
        <v/>
      </c>
      <c r="BG189" s="47">
        <f>IF($E189=BG$3,$G189,0)-IF($H189=BG$3,$J189,0)</f>
        <v/>
      </c>
      <c r="BH189" s="47">
        <f>IF($E189=BH$3,$G189,0)-IF($H189=BH$3,$J189,0)</f>
        <v/>
      </c>
      <c r="BI189" s="47">
        <f>IF($E189=BI$3,$G189,0)-IF($H189=BI$3,$J189,0)</f>
        <v/>
      </c>
      <c r="BJ189" s="47">
        <f>IF($E189=BJ$3,$G189,0)-IF($H189=BJ$3,$J189,0)</f>
        <v/>
      </c>
      <c r="BK189" s="47">
        <f>IF($E189=BK$3,$G189,0)-IF($H189=BK$3,$J189,0)</f>
        <v/>
      </c>
      <c r="BL189" s="46">
        <f>-IF($E189=BL$3,$G189,0)+IF($H189=BL$3,$J189,0)</f>
        <v/>
      </c>
      <c r="BM189" s="47">
        <f>-IF($E189=BM$3,$G189,0)+IF($H189=BM$3,$J189,0)</f>
        <v/>
      </c>
      <c r="BN189" s="47">
        <f>-IF($E189=BN$3,$G189,0)+IF($H189=BN$3,$J189,0)</f>
        <v/>
      </c>
      <c r="BO189" s="47">
        <f>-IF($E189=BO$3,$G189,0)+IF($H189=BO$3,$J189,0)</f>
        <v/>
      </c>
      <c r="BP189" s="47">
        <f>-IF($E189=BP$3,$G189,0)+IF($H189=BP$3,$J189,0)</f>
        <v/>
      </c>
      <c r="BQ189" s="47">
        <f>-IF($E189=BQ$3,$G189,0)+IF($H189=BQ$3,$J189,0)</f>
        <v/>
      </c>
      <c r="BR189" s="47">
        <f>-IF($E189=BR$3,$G189,0)+IF($H189=BR$3,$J189,0)</f>
        <v/>
      </c>
      <c r="BS189" s="47">
        <f>-IF($E189=BS$3,$G189,0)+IF($H189=BS$3,$J189,0)</f>
        <v/>
      </c>
      <c r="BT189" s="47">
        <f>-IF($E189=BT$3,$G189,0)+IF($H189=BT$3,$J189,0)</f>
        <v/>
      </c>
      <c r="BU189" s="46">
        <f>+G189-J189</f>
        <v/>
      </c>
      <c r="BV189" s="48">
        <f>-IF($E189=BV$3,$G189,0)+IF($H189=BV$3,$J189,0)</f>
        <v/>
      </c>
      <c r="BW189" s="3" t="n"/>
    </row>
    <row r="190" ht="15.75" customHeight="1" s="214">
      <c r="A190" s="7" t="n"/>
      <c r="B190" s="8" t="n"/>
      <c r="C190" s="9" t="n"/>
      <c r="D190" s="10" t="n"/>
      <c r="E190" s="247" t="n"/>
      <c r="F190" s="11">
        <f>IF(E190="","",IF(ISNA(VLOOKUP(E190,科目コード表!$C$4:$D$67,2,FALSE)),"該当科目なし",VLOOKUP(E190,科目コード表!$C$4:$D$67,2,FALSE)))</f>
        <v/>
      </c>
      <c r="G190" s="38" t="n"/>
      <c r="H190" s="248" t="n"/>
      <c r="I190" s="11">
        <f>IF(H190="","",IF(ISNA(VLOOKUP(H190,科目コード表!$C$4:$D$67,2,FALSE)),"該当科目なし",VLOOKUP(H190,科目コード表!$C$4:$D$67,2,FALSE)))</f>
        <v/>
      </c>
      <c r="J190" s="40" t="n"/>
      <c r="L190" s="46">
        <f>IF($E190=L$3,$G190,0)-IF($H190=L$3,$J190,0)</f>
        <v/>
      </c>
      <c r="M190" s="47">
        <f>IF($E190=M$3,$G190,0)-IF($H190=M$3,$J190,0)</f>
        <v/>
      </c>
      <c r="N190" s="47">
        <f>IF($E190=N$3,$G190,0)-IF($H190=N$3,$J190,0)</f>
        <v/>
      </c>
      <c r="O190" s="47">
        <f>IF($E190=O$3,$G190,0)-IF($H190=O$3,$J190,0)</f>
        <v/>
      </c>
      <c r="P190" s="47">
        <f>IF($E190=P$3,$G190,0)-IF($H190=P$3,$J190,0)</f>
        <v/>
      </c>
      <c r="Q190" s="47">
        <f>IF($E190=Q$3,$G190,0)-IF($H190=Q$3,$J190,0)</f>
        <v/>
      </c>
      <c r="R190" s="47">
        <f>IF($E190=R$3,$G190,0)-IF($H190=R$3,$J190,0)</f>
        <v/>
      </c>
      <c r="S190" s="47">
        <f>IF($E190=S$3,$G190,0)-IF($H190=S$3,$J190,0)</f>
        <v/>
      </c>
      <c r="T190" s="47">
        <f>IF($E190=T$3,$G190,0)-IF($H190=T$3,$J190,0)</f>
        <v/>
      </c>
      <c r="U190" s="47">
        <f>IF($E190=U$3,$G190,0)-IF($H190=U$3,$J190,0)</f>
        <v/>
      </c>
      <c r="V190" s="47">
        <f>IF($E190=V$3,$G190,0)-IF($H190=V$3,$J190,0)</f>
        <v/>
      </c>
      <c r="W190" s="47">
        <f>IF($E190=W$3,$G190,0)-IF($H190=W$3,$J190,0)</f>
        <v/>
      </c>
      <c r="X190" s="47">
        <f>IF($E190=X$3,$G190,0)-IF($H190=X$3,$J190,0)</f>
        <v/>
      </c>
      <c r="Y190" s="47">
        <f>IF($E190=Y$3,$G190,0)-IF($H190=Y$3,$J190,0)</f>
        <v/>
      </c>
      <c r="Z190" s="47">
        <f>IF($E190=Z$3,$G190,0)-IF($H190=Z$3,$J190,0)</f>
        <v/>
      </c>
      <c r="AA190" s="47">
        <f>IF($E190=AA$3,$G190,0)-IF($H190=AA$3,$J190,0)</f>
        <v/>
      </c>
      <c r="AB190" s="47">
        <f>IF($E190=AB$3,$G190,0)-IF($H190=AB$3,$J190,0)</f>
        <v/>
      </c>
      <c r="AC190" s="47">
        <f>IF($E190=AC$3,$G190,0)-IF($H190=AC$3,$J190,0)</f>
        <v/>
      </c>
      <c r="AD190" s="47">
        <f>IF($E190=AD$3,$G190,0)-IF($H190=AD$3,$J190,0)</f>
        <v/>
      </c>
      <c r="AE190" s="47">
        <f>IF($E190=AE$3,$G190,0)-IF($H190=AE$3,$J190,0)</f>
        <v/>
      </c>
      <c r="AF190" s="47">
        <f>IF($E190=AF$3,$G190,0)-IF($H190=AF$3,$J190,0)</f>
        <v/>
      </c>
      <c r="AG190" s="47">
        <f>IF($E190=AG$3,$G190,0)-IF($H190=AG$3,$J190,0)</f>
        <v/>
      </c>
      <c r="AH190" s="47">
        <f>IF($E190=AH$3,$G190,0)-IF($H190=AH$3,$J190,0)</f>
        <v/>
      </c>
      <c r="AI190" s="47">
        <f>IF($E190=AI$3,$G190,0)-IF($H190=AI$3,$J190,0)</f>
        <v/>
      </c>
      <c r="AJ190" s="47">
        <f>IF($E190=AJ$3,$G190,0)-IF($H190=AJ$3,$J190,0)</f>
        <v/>
      </c>
      <c r="AK190" s="47">
        <f>IF($E190=AK$3,$G190,0)-IF($H190=AK$3,$J190,0)</f>
        <v/>
      </c>
      <c r="AL190" s="48">
        <f>IF($E190=AL$3,$G190,0)-IF($H190=AL$3,$J190,0)</f>
        <v/>
      </c>
      <c r="AM190" s="46">
        <f>-IF($E190=AM$3,$G190,0)+IF($H190=AM$3,$J190,0)</f>
        <v/>
      </c>
      <c r="AN190" s="47">
        <f>-IF($E190=AN$3,$G190,0)+IF($H190=AN$3,$J190,0)</f>
        <v/>
      </c>
      <c r="AO190" s="48">
        <f>-IF($E190=AO$3,$G190,0)+IF($H190=AO$3,$J190,0)</f>
        <v/>
      </c>
      <c r="AP190" s="46">
        <f>IF($E190=AP$3,$G190,0)-IF($H190=AP$3,$J190,0)</f>
        <v/>
      </c>
      <c r="AQ190" s="47">
        <f>IF($E190=AQ$3,$G190,0)-IF($H190=AQ$3,$J190,0)</f>
        <v/>
      </c>
      <c r="AR190" s="47">
        <f>IF($E190=AR$3,$G190,0)-IF($H190=AR$3,$J190,0)</f>
        <v/>
      </c>
      <c r="AS190" s="47">
        <f>IF($E190=AS$3,$G190,0)-IF($H190=AS$3,$J190,0)</f>
        <v/>
      </c>
      <c r="AT190" s="47">
        <f>IF($E190=AT$3,$G190,0)-IF($H190=AT$3,$J190,0)</f>
        <v/>
      </c>
      <c r="AU190" s="47">
        <f>IF($E190=AU$3,$G190,0)-IF($H190=AU$3,$J190,0)</f>
        <v/>
      </c>
      <c r="AV190" s="47">
        <f>IF($E190=AV$3,$G190,0)-IF($H190=AV$3,$J190,0)</f>
        <v/>
      </c>
      <c r="AW190" s="47">
        <f>IF($E190=AW$3,$G190,0)-IF($H190=AW$3,$J190,0)</f>
        <v/>
      </c>
      <c r="AX190" s="47">
        <f>IF($E190=AX$3,$G190,0)-IF($H190=AX$3,$J190,0)</f>
        <v/>
      </c>
      <c r="AY190" s="47">
        <f>IF($E190=AY$3,$G190,0)-IF($H190=AY$3,$J190,0)</f>
        <v/>
      </c>
      <c r="AZ190" s="47">
        <f>IF($E190=AZ$3,$G190,0)-IF($H190=AZ$3,$J190,0)</f>
        <v/>
      </c>
      <c r="BA190" s="47">
        <f>IF($E190=BA$3,$G190,0)-IF($H190=BA$3,$J190,0)</f>
        <v/>
      </c>
      <c r="BB190" s="47">
        <f>IF($E190=BB$3,$G190,0)-IF($H190=BB$3,$J190,0)</f>
        <v/>
      </c>
      <c r="BC190" s="47">
        <f>IF($E190=BC$3,$G190,0)-IF($H190=BC$3,$J190,0)</f>
        <v/>
      </c>
      <c r="BD190" s="47">
        <f>IF($E190=BD$3,$G190,0)-IF($H190=BD$3,$J190,0)</f>
        <v/>
      </c>
      <c r="BE190" s="47">
        <f>IF($E190=BE$3,$G190,0)-IF($H190=BE$3,$J190,0)</f>
        <v/>
      </c>
      <c r="BF190" s="47">
        <f>IF($E190=BF$3,$G190,0)-IF($H190=BF$3,$J190,0)</f>
        <v/>
      </c>
      <c r="BG190" s="47">
        <f>IF($E190=BG$3,$G190,0)-IF($H190=BG$3,$J190,0)</f>
        <v/>
      </c>
      <c r="BH190" s="47">
        <f>IF($E190=BH$3,$G190,0)-IF($H190=BH$3,$J190,0)</f>
        <v/>
      </c>
      <c r="BI190" s="47">
        <f>IF($E190=BI$3,$G190,0)-IF($H190=BI$3,$J190,0)</f>
        <v/>
      </c>
      <c r="BJ190" s="47">
        <f>IF($E190=BJ$3,$G190,0)-IF($H190=BJ$3,$J190,0)</f>
        <v/>
      </c>
      <c r="BK190" s="47">
        <f>IF($E190=BK$3,$G190,0)-IF($H190=BK$3,$J190,0)</f>
        <v/>
      </c>
      <c r="BL190" s="46">
        <f>-IF($E190=BL$3,$G190,0)+IF($H190=BL$3,$J190,0)</f>
        <v/>
      </c>
      <c r="BM190" s="47">
        <f>-IF($E190=BM$3,$G190,0)+IF($H190=BM$3,$J190,0)</f>
        <v/>
      </c>
      <c r="BN190" s="47">
        <f>-IF($E190=BN$3,$G190,0)+IF($H190=BN$3,$J190,0)</f>
        <v/>
      </c>
      <c r="BO190" s="47">
        <f>-IF($E190=BO$3,$G190,0)+IF($H190=BO$3,$J190,0)</f>
        <v/>
      </c>
      <c r="BP190" s="47">
        <f>-IF($E190=BP$3,$G190,0)+IF($H190=BP$3,$J190,0)</f>
        <v/>
      </c>
      <c r="BQ190" s="47">
        <f>-IF($E190=BQ$3,$G190,0)+IF($H190=BQ$3,$J190,0)</f>
        <v/>
      </c>
      <c r="BR190" s="47">
        <f>-IF($E190=BR$3,$G190,0)+IF($H190=BR$3,$J190,0)</f>
        <v/>
      </c>
      <c r="BS190" s="47">
        <f>-IF($E190=BS$3,$G190,0)+IF($H190=BS$3,$J190,0)</f>
        <v/>
      </c>
      <c r="BT190" s="47">
        <f>-IF($E190=BT$3,$G190,0)+IF($H190=BT$3,$J190,0)</f>
        <v/>
      </c>
      <c r="BU190" s="46">
        <f>+G190-J190</f>
        <v/>
      </c>
      <c r="BV190" s="48">
        <f>-IF($E190=BV$3,$G190,0)+IF($H190=BV$3,$J190,0)</f>
        <v/>
      </c>
      <c r="BW190" s="3" t="n"/>
    </row>
    <row r="191" ht="15.75" customHeight="1" s="214">
      <c r="A191" s="7" t="n"/>
      <c r="B191" s="8" t="n"/>
      <c r="C191" s="9" t="n"/>
      <c r="D191" s="10" t="n"/>
      <c r="E191" s="247" t="n"/>
      <c r="F191" s="11">
        <f>IF(E191="","",IF(ISNA(VLOOKUP(E191,科目コード表!$C$4:$D$67,2,FALSE)),"該当科目なし",VLOOKUP(E191,科目コード表!$C$4:$D$67,2,FALSE)))</f>
        <v/>
      </c>
      <c r="G191" s="38" t="n"/>
      <c r="H191" s="248" t="n"/>
      <c r="I191" s="11">
        <f>IF(H191="","",IF(ISNA(VLOOKUP(H191,科目コード表!$C$4:$D$67,2,FALSE)),"該当科目なし",VLOOKUP(H191,科目コード表!$C$4:$D$67,2,FALSE)))</f>
        <v/>
      </c>
      <c r="J191" s="40" t="n"/>
      <c r="L191" s="46">
        <f>IF($E191=L$3,$G191,0)-IF($H191=L$3,$J191,0)</f>
        <v/>
      </c>
      <c r="M191" s="47">
        <f>IF($E191=M$3,$G191,0)-IF($H191=M$3,$J191,0)</f>
        <v/>
      </c>
      <c r="N191" s="47">
        <f>IF($E191=N$3,$G191,0)-IF($H191=N$3,$J191,0)</f>
        <v/>
      </c>
      <c r="O191" s="47">
        <f>IF($E191=O$3,$G191,0)-IF($H191=O$3,$J191,0)</f>
        <v/>
      </c>
      <c r="P191" s="47">
        <f>IF($E191=P$3,$G191,0)-IF($H191=P$3,$J191,0)</f>
        <v/>
      </c>
      <c r="Q191" s="47">
        <f>IF($E191=Q$3,$G191,0)-IF($H191=Q$3,$J191,0)</f>
        <v/>
      </c>
      <c r="R191" s="47">
        <f>IF($E191=R$3,$G191,0)-IF($H191=R$3,$J191,0)</f>
        <v/>
      </c>
      <c r="S191" s="47">
        <f>IF($E191=S$3,$G191,0)-IF($H191=S$3,$J191,0)</f>
        <v/>
      </c>
      <c r="T191" s="47">
        <f>IF($E191=T$3,$G191,0)-IF($H191=T$3,$J191,0)</f>
        <v/>
      </c>
      <c r="U191" s="47">
        <f>IF($E191=U$3,$G191,0)-IF($H191=U$3,$J191,0)</f>
        <v/>
      </c>
      <c r="V191" s="47">
        <f>IF($E191=V$3,$G191,0)-IF($H191=V$3,$J191,0)</f>
        <v/>
      </c>
      <c r="W191" s="47">
        <f>IF($E191=W$3,$G191,0)-IF($H191=W$3,$J191,0)</f>
        <v/>
      </c>
      <c r="X191" s="47">
        <f>IF($E191=X$3,$G191,0)-IF($H191=X$3,$J191,0)</f>
        <v/>
      </c>
      <c r="Y191" s="47">
        <f>IF($E191=Y$3,$G191,0)-IF($H191=Y$3,$J191,0)</f>
        <v/>
      </c>
      <c r="Z191" s="47">
        <f>IF($E191=Z$3,$G191,0)-IF($H191=Z$3,$J191,0)</f>
        <v/>
      </c>
      <c r="AA191" s="47">
        <f>IF($E191=AA$3,$G191,0)-IF($H191=AA$3,$J191,0)</f>
        <v/>
      </c>
      <c r="AB191" s="47">
        <f>IF($E191=AB$3,$G191,0)-IF($H191=AB$3,$J191,0)</f>
        <v/>
      </c>
      <c r="AC191" s="47">
        <f>IF($E191=AC$3,$G191,0)-IF($H191=AC$3,$J191,0)</f>
        <v/>
      </c>
      <c r="AD191" s="47">
        <f>IF($E191=AD$3,$G191,0)-IF($H191=AD$3,$J191,0)</f>
        <v/>
      </c>
      <c r="AE191" s="47">
        <f>IF($E191=AE$3,$G191,0)-IF($H191=AE$3,$J191,0)</f>
        <v/>
      </c>
      <c r="AF191" s="47">
        <f>IF($E191=AF$3,$G191,0)-IF($H191=AF$3,$J191,0)</f>
        <v/>
      </c>
      <c r="AG191" s="47">
        <f>IF($E191=AG$3,$G191,0)-IF($H191=AG$3,$J191,0)</f>
        <v/>
      </c>
      <c r="AH191" s="47">
        <f>IF($E191=AH$3,$G191,0)-IF($H191=AH$3,$J191,0)</f>
        <v/>
      </c>
      <c r="AI191" s="47">
        <f>IF($E191=AI$3,$G191,0)-IF($H191=AI$3,$J191,0)</f>
        <v/>
      </c>
      <c r="AJ191" s="47">
        <f>IF($E191=AJ$3,$G191,0)-IF($H191=AJ$3,$J191,0)</f>
        <v/>
      </c>
      <c r="AK191" s="47">
        <f>IF($E191=AK$3,$G191,0)-IF($H191=AK$3,$J191,0)</f>
        <v/>
      </c>
      <c r="AL191" s="48">
        <f>IF($E191=AL$3,$G191,0)-IF($H191=AL$3,$J191,0)</f>
        <v/>
      </c>
      <c r="AM191" s="46">
        <f>-IF($E191=AM$3,$G191,0)+IF($H191=AM$3,$J191,0)</f>
        <v/>
      </c>
      <c r="AN191" s="47">
        <f>-IF($E191=AN$3,$G191,0)+IF($H191=AN$3,$J191,0)</f>
        <v/>
      </c>
      <c r="AO191" s="48">
        <f>-IF($E191=AO$3,$G191,0)+IF($H191=AO$3,$J191,0)</f>
        <v/>
      </c>
      <c r="AP191" s="46">
        <f>IF($E191=AP$3,$G191,0)-IF($H191=AP$3,$J191,0)</f>
        <v/>
      </c>
      <c r="AQ191" s="47">
        <f>IF($E191=AQ$3,$G191,0)-IF($H191=AQ$3,$J191,0)</f>
        <v/>
      </c>
      <c r="AR191" s="47">
        <f>IF($E191=AR$3,$G191,0)-IF($H191=AR$3,$J191,0)</f>
        <v/>
      </c>
      <c r="AS191" s="47">
        <f>IF($E191=AS$3,$G191,0)-IF($H191=AS$3,$J191,0)</f>
        <v/>
      </c>
      <c r="AT191" s="47">
        <f>IF($E191=AT$3,$G191,0)-IF($H191=AT$3,$J191,0)</f>
        <v/>
      </c>
      <c r="AU191" s="47">
        <f>IF($E191=AU$3,$G191,0)-IF($H191=AU$3,$J191,0)</f>
        <v/>
      </c>
      <c r="AV191" s="47">
        <f>IF($E191=AV$3,$G191,0)-IF($H191=AV$3,$J191,0)</f>
        <v/>
      </c>
      <c r="AW191" s="47">
        <f>IF($E191=AW$3,$G191,0)-IF($H191=AW$3,$J191,0)</f>
        <v/>
      </c>
      <c r="AX191" s="47">
        <f>IF($E191=AX$3,$G191,0)-IF($H191=AX$3,$J191,0)</f>
        <v/>
      </c>
      <c r="AY191" s="47">
        <f>IF($E191=AY$3,$G191,0)-IF($H191=AY$3,$J191,0)</f>
        <v/>
      </c>
      <c r="AZ191" s="47">
        <f>IF($E191=AZ$3,$G191,0)-IF($H191=AZ$3,$J191,0)</f>
        <v/>
      </c>
      <c r="BA191" s="47">
        <f>IF($E191=BA$3,$G191,0)-IF($H191=BA$3,$J191,0)</f>
        <v/>
      </c>
      <c r="BB191" s="47">
        <f>IF($E191=BB$3,$G191,0)-IF($H191=BB$3,$J191,0)</f>
        <v/>
      </c>
      <c r="BC191" s="47">
        <f>IF($E191=BC$3,$G191,0)-IF($H191=BC$3,$J191,0)</f>
        <v/>
      </c>
      <c r="BD191" s="47">
        <f>IF($E191=BD$3,$G191,0)-IF($H191=BD$3,$J191,0)</f>
        <v/>
      </c>
      <c r="BE191" s="47">
        <f>IF($E191=BE$3,$G191,0)-IF($H191=BE$3,$J191,0)</f>
        <v/>
      </c>
      <c r="BF191" s="47">
        <f>IF($E191=BF$3,$G191,0)-IF($H191=BF$3,$J191,0)</f>
        <v/>
      </c>
      <c r="BG191" s="47">
        <f>IF($E191=BG$3,$G191,0)-IF($H191=BG$3,$J191,0)</f>
        <v/>
      </c>
      <c r="BH191" s="47">
        <f>IF($E191=BH$3,$G191,0)-IF($H191=BH$3,$J191,0)</f>
        <v/>
      </c>
      <c r="BI191" s="47">
        <f>IF($E191=BI$3,$G191,0)-IF($H191=BI$3,$J191,0)</f>
        <v/>
      </c>
      <c r="BJ191" s="47">
        <f>IF($E191=BJ$3,$G191,0)-IF($H191=BJ$3,$J191,0)</f>
        <v/>
      </c>
      <c r="BK191" s="47">
        <f>IF($E191=BK$3,$G191,0)-IF($H191=BK$3,$J191,0)</f>
        <v/>
      </c>
      <c r="BL191" s="46">
        <f>-IF($E191=BL$3,$G191,0)+IF($H191=BL$3,$J191,0)</f>
        <v/>
      </c>
      <c r="BM191" s="47">
        <f>-IF($E191=BM$3,$G191,0)+IF($H191=BM$3,$J191,0)</f>
        <v/>
      </c>
      <c r="BN191" s="47">
        <f>-IF($E191=BN$3,$G191,0)+IF($H191=BN$3,$J191,0)</f>
        <v/>
      </c>
      <c r="BO191" s="47">
        <f>-IF($E191=BO$3,$G191,0)+IF($H191=BO$3,$J191,0)</f>
        <v/>
      </c>
      <c r="BP191" s="47">
        <f>-IF($E191=BP$3,$G191,0)+IF($H191=BP$3,$J191,0)</f>
        <v/>
      </c>
      <c r="BQ191" s="47">
        <f>-IF($E191=BQ$3,$G191,0)+IF($H191=BQ$3,$J191,0)</f>
        <v/>
      </c>
      <c r="BR191" s="47">
        <f>-IF($E191=BR$3,$G191,0)+IF($H191=BR$3,$J191,0)</f>
        <v/>
      </c>
      <c r="BS191" s="47">
        <f>-IF($E191=BS$3,$G191,0)+IF($H191=BS$3,$J191,0)</f>
        <v/>
      </c>
      <c r="BT191" s="47">
        <f>-IF($E191=BT$3,$G191,0)+IF($H191=BT$3,$J191,0)</f>
        <v/>
      </c>
      <c r="BU191" s="46">
        <f>+G191-J191</f>
        <v/>
      </c>
      <c r="BV191" s="48">
        <f>-IF($E191=BV$3,$G191,0)+IF($H191=BV$3,$J191,0)</f>
        <v/>
      </c>
      <c r="BW191" s="3" t="n"/>
    </row>
    <row r="192" ht="15.75" customHeight="1" s="214">
      <c r="A192" s="7" t="n"/>
      <c r="B192" s="8" t="n"/>
      <c r="C192" s="9" t="n"/>
      <c r="D192" s="10" t="n"/>
      <c r="E192" s="247" t="n"/>
      <c r="F192" s="11">
        <f>IF(E192="","",IF(ISNA(VLOOKUP(E192,科目コード表!$C$4:$D$67,2,FALSE)),"該当科目なし",VLOOKUP(E192,科目コード表!$C$4:$D$67,2,FALSE)))</f>
        <v/>
      </c>
      <c r="G192" s="38" t="n"/>
      <c r="H192" s="248" t="n"/>
      <c r="I192" s="11">
        <f>IF(H192="","",IF(ISNA(VLOOKUP(H192,科目コード表!$C$4:$D$67,2,FALSE)),"該当科目なし",VLOOKUP(H192,科目コード表!$C$4:$D$67,2,FALSE)))</f>
        <v/>
      </c>
      <c r="J192" s="40" t="n"/>
      <c r="L192" s="46">
        <f>IF($E192=L$3,$G192,0)-IF($H192=L$3,$J192,0)</f>
        <v/>
      </c>
      <c r="M192" s="47">
        <f>IF($E192=M$3,$G192,0)-IF($H192=M$3,$J192,0)</f>
        <v/>
      </c>
      <c r="N192" s="47">
        <f>IF($E192=N$3,$G192,0)-IF($H192=N$3,$J192,0)</f>
        <v/>
      </c>
      <c r="O192" s="47">
        <f>IF($E192=O$3,$G192,0)-IF($H192=O$3,$J192,0)</f>
        <v/>
      </c>
      <c r="P192" s="47">
        <f>IF($E192=P$3,$G192,0)-IF($H192=P$3,$J192,0)</f>
        <v/>
      </c>
      <c r="Q192" s="47">
        <f>IF($E192=Q$3,$G192,0)-IF($H192=Q$3,$J192,0)</f>
        <v/>
      </c>
      <c r="R192" s="47">
        <f>IF($E192=R$3,$G192,0)-IF($H192=R$3,$J192,0)</f>
        <v/>
      </c>
      <c r="S192" s="47">
        <f>IF($E192=S$3,$G192,0)-IF($H192=S$3,$J192,0)</f>
        <v/>
      </c>
      <c r="T192" s="47">
        <f>IF($E192=T$3,$G192,0)-IF($H192=T$3,$J192,0)</f>
        <v/>
      </c>
      <c r="U192" s="47">
        <f>IF($E192=U$3,$G192,0)-IF($H192=U$3,$J192,0)</f>
        <v/>
      </c>
      <c r="V192" s="47">
        <f>IF($E192=V$3,$G192,0)-IF($H192=V$3,$J192,0)</f>
        <v/>
      </c>
      <c r="W192" s="47">
        <f>IF($E192=W$3,$G192,0)-IF($H192=W$3,$J192,0)</f>
        <v/>
      </c>
      <c r="X192" s="47">
        <f>IF($E192=X$3,$G192,0)-IF($H192=X$3,$J192,0)</f>
        <v/>
      </c>
      <c r="Y192" s="47">
        <f>IF($E192=Y$3,$G192,0)-IF($H192=Y$3,$J192,0)</f>
        <v/>
      </c>
      <c r="Z192" s="47">
        <f>IF($E192=Z$3,$G192,0)-IF($H192=Z$3,$J192,0)</f>
        <v/>
      </c>
      <c r="AA192" s="47">
        <f>IF($E192=AA$3,$G192,0)-IF($H192=AA$3,$J192,0)</f>
        <v/>
      </c>
      <c r="AB192" s="47">
        <f>IF($E192=AB$3,$G192,0)-IF($H192=AB$3,$J192,0)</f>
        <v/>
      </c>
      <c r="AC192" s="47">
        <f>IF($E192=AC$3,$G192,0)-IF($H192=AC$3,$J192,0)</f>
        <v/>
      </c>
      <c r="AD192" s="47">
        <f>IF($E192=AD$3,$G192,0)-IF($H192=AD$3,$J192,0)</f>
        <v/>
      </c>
      <c r="AE192" s="47">
        <f>IF($E192=AE$3,$G192,0)-IF($H192=AE$3,$J192,0)</f>
        <v/>
      </c>
      <c r="AF192" s="47">
        <f>IF($E192=AF$3,$G192,0)-IF($H192=AF$3,$J192,0)</f>
        <v/>
      </c>
      <c r="AG192" s="47">
        <f>IF($E192=AG$3,$G192,0)-IF($H192=AG$3,$J192,0)</f>
        <v/>
      </c>
      <c r="AH192" s="47">
        <f>IF($E192=AH$3,$G192,0)-IF($H192=AH$3,$J192,0)</f>
        <v/>
      </c>
      <c r="AI192" s="47">
        <f>IF($E192=AI$3,$G192,0)-IF($H192=AI$3,$J192,0)</f>
        <v/>
      </c>
      <c r="AJ192" s="47">
        <f>IF($E192=AJ$3,$G192,0)-IF($H192=AJ$3,$J192,0)</f>
        <v/>
      </c>
      <c r="AK192" s="47">
        <f>IF($E192=AK$3,$G192,0)-IF($H192=AK$3,$J192,0)</f>
        <v/>
      </c>
      <c r="AL192" s="48">
        <f>IF($E192=AL$3,$G192,0)-IF($H192=AL$3,$J192,0)</f>
        <v/>
      </c>
      <c r="AM192" s="46">
        <f>-IF($E192=AM$3,$G192,0)+IF($H192=AM$3,$J192,0)</f>
        <v/>
      </c>
      <c r="AN192" s="47">
        <f>-IF($E192=AN$3,$G192,0)+IF($H192=AN$3,$J192,0)</f>
        <v/>
      </c>
      <c r="AO192" s="48">
        <f>-IF($E192=AO$3,$G192,0)+IF($H192=AO$3,$J192,0)</f>
        <v/>
      </c>
      <c r="AP192" s="46">
        <f>IF($E192=AP$3,$G192,0)-IF($H192=AP$3,$J192,0)</f>
        <v/>
      </c>
      <c r="AQ192" s="47">
        <f>IF($E192=AQ$3,$G192,0)-IF($H192=AQ$3,$J192,0)</f>
        <v/>
      </c>
      <c r="AR192" s="47">
        <f>IF($E192=AR$3,$G192,0)-IF($H192=AR$3,$J192,0)</f>
        <v/>
      </c>
      <c r="AS192" s="47">
        <f>IF($E192=AS$3,$G192,0)-IF($H192=AS$3,$J192,0)</f>
        <v/>
      </c>
      <c r="AT192" s="47">
        <f>IF($E192=AT$3,$G192,0)-IF($H192=AT$3,$J192,0)</f>
        <v/>
      </c>
      <c r="AU192" s="47">
        <f>IF($E192=AU$3,$G192,0)-IF($H192=AU$3,$J192,0)</f>
        <v/>
      </c>
      <c r="AV192" s="47">
        <f>IF($E192=AV$3,$G192,0)-IF($H192=AV$3,$J192,0)</f>
        <v/>
      </c>
      <c r="AW192" s="47">
        <f>IF($E192=AW$3,$G192,0)-IF($H192=AW$3,$J192,0)</f>
        <v/>
      </c>
      <c r="AX192" s="47">
        <f>IF($E192=AX$3,$G192,0)-IF($H192=AX$3,$J192,0)</f>
        <v/>
      </c>
      <c r="AY192" s="47">
        <f>IF($E192=AY$3,$G192,0)-IF($H192=AY$3,$J192,0)</f>
        <v/>
      </c>
      <c r="AZ192" s="47">
        <f>IF($E192=AZ$3,$G192,0)-IF($H192=AZ$3,$J192,0)</f>
        <v/>
      </c>
      <c r="BA192" s="47">
        <f>IF($E192=BA$3,$G192,0)-IF($H192=BA$3,$J192,0)</f>
        <v/>
      </c>
      <c r="BB192" s="47">
        <f>IF($E192=BB$3,$G192,0)-IF($H192=BB$3,$J192,0)</f>
        <v/>
      </c>
      <c r="BC192" s="47">
        <f>IF($E192=BC$3,$G192,0)-IF($H192=BC$3,$J192,0)</f>
        <v/>
      </c>
      <c r="BD192" s="47">
        <f>IF($E192=BD$3,$G192,0)-IF($H192=BD$3,$J192,0)</f>
        <v/>
      </c>
      <c r="BE192" s="47">
        <f>IF($E192=BE$3,$G192,0)-IF($H192=BE$3,$J192,0)</f>
        <v/>
      </c>
      <c r="BF192" s="47">
        <f>IF($E192=BF$3,$G192,0)-IF($H192=BF$3,$J192,0)</f>
        <v/>
      </c>
      <c r="BG192" s="47">
        <f>IF($E192=BG$3,$G192,0)-IF($H192=BG$3,$J192,0)</f>
        <v/>
      </c>
      <c r="BH192" s="47">
        <f>IF($E192=BH$3,$G192,0)-IF($H192=BH$3,$J192,0)</f>
        <v/>
      </c>
      <c r="BI192" s="47">
        <f>IF($E192=BI$3,$G192,0)-IF($H192=BI$3,$J192,0)</f>
        <v/>
      </c>
      <c r="BJ192" s="47">
        <f>IF($E192=BJ$3,$G192,0)-IF($H192=BJ$3,$J192,0)</f>
        <v/>
      </c>
      <c r="BK192" s="47">
        <f>IF($E192=BK$3,$G192,0)-IF($H192=BK$3,$J192,0)</f>
        <v/>
      </c>
      <c r="BL192" s="46">
        <f>-IF($E192=BL$3,$G192,0)+IF($H192=BL$3,$J192,0)</f>
        <v/>
      </c>
      <c r="BM192" s="47">
        <f>-IF($E192=BM$3,$G192,0)+IF($H192=BM$3,$J192,0)</f>
        <v/>
      </c>
      <c r="BN192" s="47">
        <f>-IF($E192=BN$3,$G192,0)+IF($H192=BN$3,$J192,0)</f>
        <v/>
      </c>
      <c r="BO192" s="47">
        <f>-IF($E192=BO$3,$G192,0)+IF($H192=BO$3,$J192,0)</f>
        <v/>
      </c>
      <c r="BP192" s="47">
        <f>-IF($E192=BP$3,$G192,0)+IF($H192=BP$3,$J192,0)</f>
        <v/>
      </c>
      <c r="BQ192" s="47">
        <f>-IF($E192=BQ$3,$G192,0)+IF($H192=BQ$3,$J192,0)</f>
        <v/>
      </c>
      <c r="BR192" s="47">
        <f>-IF($E192=BR$3,$G192,0)+IF($H192=BR$3,$J192,0)</f>
        <v/>
      </c>
      <c r="BS192" s="47">
        <f>-IF($E192=BS$3,$G192,0)+IF($H192=BS$3,$J192,0)</f>
        <v/>
      </c>
      <c r="BT192" s="47">
        <f>-IF($E192=BT$3,$G192,0)+IF($H192=BT$3,$J192,0)</f>
        <v/>
      </c>
      <c r="BU192" s="46">
        <f>+G192-J192</f>
        <v/>
      </c>
      <c r="BV192" s="48">
        <f>-IF($E192=BV$3,$G192,0)+IF($H192=BV$3,$J192,0)</f>
        <v/>
      </c>
      <c r="BW192" s="3" t="n"/>
    </row>
    <row r="193" ht="15.75" customHeight="1" s="214">
      <c r="A193" s="7" t="n"/>
      <c r="B193" s="8" t="n"/>
      <c r="C193" s="9" t="n"/>
      <c r="D193" s="10" t="n"/>
      <c r="E193" s="247" t="n"/>
      <c r="F193" s="11">
        <f>IF(E193="","",IF(ISNA(VLOOKUP(E193,科目コード表!$C$4:$D$67,2,FALSE)),"該当科目なし",VLOOKUP(E193,科目コード表!$C$4:$D$67,2,FALSE)))</f>
        <v/>
      </c>
      <c r="G193" s="38" t="n"/>
      <c r="H193" s="248" t="n"/>
      <c r="I193" s="11">
        <f>IF(H193="","",IF(ISNA(VLOOKUP(H193,科目コード表!$C$4:$D$67,2,FALSE)),"該当科目なし",VLOOKUP(H193,科目コード表!$C$4:$D$67,2,FALSE)))</f>
        <v/>
      </c>
      <c r="J193" s="40" t="n"/>
      <c r="L193" s="46">
        <f>IF($E193=L$3,$G193,0)-IF($H193=L$3,$J193,0)</f>
        <v/>
      </c>
      <c r="M193" s="47">
        <f>IF($E193=M$3,$G193,0)-IF($H193=M$3,$J193,0)</f>
        <v/>
      </c>
      <c r="N193" s="47">
        <f>IF($E193=N$3,$G193,0)-IF($H193=N$3,$J193,0)</f>
        <v/>
      </c>
      <c r="O193" s="47">
        <f>IF($E193=O$3,$G193,0)-IF($H193=O$3,$J193,0)</f>
        <v/>
      </c>
      <c r="P193" s="47">
        <f>IF($E193=P$3,$G193,0)-IF($H193=P$3,$J193,0)</f>
        <v/>
      </c>
      <c r="Q193" s="47">
        <f>IF($E193=Q$3,$G193,0)-IF($H193=Q$3,$J193,0)</f>
        <v/>
      </c>
      <c r="R193" s="47">
        <f>IF($E193=R$3,$G193,0)-IF($H193=R$3,$J193,0)</f>
        <v/>
      </c>
      <c r="S193" s="47">
        <f>IF($E193=S$3,$G193,0)-IF($H193=S$3,$J193,0)</f>
        <v/>
      </c>
      <c r="T193" s="47">
        <f>IF($E193=T$3,$G193,0)-IF($H193=T$3,$J193,0)</f>
        <v/>
      </c>
      <c r="U193" s="47">
        <f>IF($E193=U$3,$G193,0)-IF($H193=U$3,$J193,0)</f>
        <v/>
      </c>
      <c r="V193" s="47">
        <f>IF($E193=V$3,$G193,0)-IF($H193=V$3,$J193,0)</f>
        <v/>
      </c>
      <c r="W193" s="47">
        <f>IF($E193=W$3,$G193,0)-IF($H193=W$3,$J193,0)</f>
        <v/>
      </c>
      <c r="X193" s="47">
        <f>IF($E193=X$3,$G193,0)-IF($H193=X$3,$J193,0)</f>
        <v/>
      </c>
      <c r="Y193" s="47">
        <f>IF($E193=Y$3,$G193,0)-IF($H193=Y$3,$J193,0)</f>
        <v/>
      </c>
      <c r="Z193" s="47">
        <f>IF($E193=Z$3,$G193,0)-IF($H193=Z$3,$J193,0)</f>
        <v/>
      </c>
      <c r="AA193" s="47">
        <f>IF($E193=AA$3,$G193,0)-IF($H193=AA$3,$J193,0)</f>
        <v/>
      </c>
      <c r="AB193" s="47">
        <f>IF($E193=AB$3,$G193,0)-IF($H193=AB$3,$J193,0)</f>
        <v/>
      </c>
      <c r="AC193" s="47">
        <f>IF($E193=AC$3,$G193,0)-IF($H193=AC$3,$J193,0)</f>
        <v/>
      </c>
      <c r="AD193" s="47">
        <f>IF($E193=AD$3,$G193,0)-IF($H193=AD$3,$J193,0)</f>
        <v/>
      </c>
      <c r="AE193" s="47">
        <f>IF($E193=AE$3,$G193,0)-IF($H193=AE$3,$J193,0)</f>
        <v/>
      </c>
      <c r="AF193" s="47">
        <f>IF($E193=AF$3,$G193,0)-IF($H193=AF$3,$J193,0)</f>
        <v/>
      </c>
      <c r="AG193" s="47">
        <f>IF($E193=AG$3,$G193,0)-IF($H193=AG$3,$J193,0)</f>
        <v/>
      </c>
      <c r="AH193" s="47">
        <f>IF($E193=AH$3,$G193,0)-IF($H193=AH$3,$J193,0)</f>
        <v/>
      </c>
      <c r="AI193" s="47">
        <f>IF($E193=AI$3,$G193,0)-IF($H193=AI$3,$J193,0)</f>
        <v/>
      </c>
      <c r="AJ193" s="47">
        <f>IF($E193=AJ$3,$G193,0)-IF($H193=AJ$3,$J193,0)</f>
        <v/>
      </c>
      <c r="AK193" s="47">
        <f>IF($E193=AK$3,$G193,0)-IF($H193=AK$3,$J193,0)</f>
        <v/>
      </c>
      <c r="AL193" s="48">
        <f>IF($E193=AL$3,$G193,0)-IF($H193=AL$3,$J193,0)</f>
        <v/>
      </c>
      <c r="AM193" s="46">
        <f>-IF($E193=AM$3,$G193,0)+IF($H193=AM$3,$J193,0)</f>
        <v/>
      </c>
      <c r="AN193" s="47">
        <f>-IF($E193=AN$3,$G193,0)+IF($H193=AN$3,$J193,0)</f>
        <v/>
      </c>
      <c r="AO193" s="48">
        <f>-IF($E193=AO$3,$G193,0)+IF($H193=AO$3,$J193,0)</f>
        <v/>
      </c>
      <c r="AP193" s="46">
        <f>IF($E193=AP$3,$G193,0)-IF($H193=AP$3,$J193,0)</f>
        <v/>
      </c>
      <c r="AQ193" s="47">
        <f>IF($E193=AQ$3,$G193,0)-IF($H193=AQ$3,$J193,0)</f>
        <v/>
      </c>
      <c r="AR193" s="47">
        <f>IF($E193=AR$3,$G193,0)-IF($H193=AR$3,$J193,0)</f>
        <v/>
      </c>
      <c r="AS193" s="47">
        <f>IF($E193=AS$3,$G193,0)-IF($H193=AS$3,$J193,0)</f>
        <v/>
      </c>
      <c r="AT193" s="47">
        <f>IF($E193=AT$3,$G193,0)-IF($H193=AT$3,$J193,0)</f>
        <v/>
      </c>
      <c r="AU193" s="47">
        <f>IF($E193=AU$3,$G193,0)-IF($H193=AU$3,$J193,0)</f>
        <v/>
      </c>
      <c r="AV193" s="47">
        <f>IF($E193=AV$3,$G193,0)-IF($H193=AV$3,$J193,0)</f>
        <v/>
      </c>
      <c r="AW193" s="47">
        <f>IF($E193=AW$3,$G193,0)-IF($H193=AW$3,$J193,0)</f>
        <v/>
      </c>
      <c r="AX193" s="47">
        <f>IF($E193=AX$3,$G193,0)-IF($H193=AX$3,$J193,0)</f>
        <v/>
      </c>
      <c r="AY193" s="47">
        <f>IF($E193=AY$3,$G193,0)-IF($H193=AY$3,$J193,0)</f>
        <v/>
      </c>
      <c r="AZ193" s="47">
        <f>IF($E193=AZ$3,$G193,0)-IF($H193=AZ$3,$J193,0)</f>
        <v/>
      </c>
      <c r="BA193" s="47">
        <f>IF($E193=BA$3,$G193,0)-IF($H193=BA$3,$J193,0)</f>
        <v/>
      </c>
      <c r="BB193" s="47">
        <f>IF($E193=BB$3,$G193,0)-IF($H193=BB$3,$J193,0)</f>
        <v/>
      </c>
      <c r="BC193" s="47">
        <f>IF($E193=BC$3,$G193,0)-IF($H193=BC$3,$J193,0)</f>
        <v/>
      </c>
      <c r="BD193" s="47">
        <f>IF($E193=BD$3,$G193,0)-IF($H193=BD$3,$J193,0)</f>
        <v/>
      </c>
      <c r="BE193" s="47">
        <f>IF($E193=BE$3,$G193,0)-IF($H193=BE$3,$J193,0)</f>
        <v/>
      </c>
      <c r="BF193" s="47">
        <f>IF($E193=BF$3,$G193,0)-IF($H193=BF$3,$J193,0)</f>
        <v/>
      </c>
      <c r="BG193" s="47">
        <f>IF($E193=BG$3,$G193,0)-IF($H193=BG$3,$J193,0)</f>
        <v/>
      </c>
      <c r="BH193" s="47">
        <f>IF($E193=BH$3,$G193,0)-IF($H193=BH$3,$J193,0)</f>
        <v/>
      </c>
      <c r="BI193" s="47">
        <f>IF($E193=BI$3,$G193,0)-IF($H193=BI$3,$J193,0)</f>
        <v/>
      </c>
      <c r="BJ193" s="47">
        <f>IF($E193=BJ$3,$G193,0)-IF($H193=BJ$3,$J193,0)</f>
        <v/>
      </c>
      <c r="BK193" s="47">
        <f>IF($E193=BK$3,$G193,0)-IF($H193=BK$3,$J193,0)</f>
        <v/>
      </c>
      <c r="BL193" s="46">
        <f>-IF($E193=BL$3,$G193,0)+IF($H193=BL$3,$J193,0)</f>
        <v/>
      </c>
      <c r="BM193" s="47">
        <f>-IF($E193=BM$3,$G193,0)+IF($H193=BM$3,$J193,0)</f>
        <v/>
      </c>
      <c r="BN193" s="47">
        <f>-IF($E193=BN$3,$G193,0)+IF($H193=BN$3,$J193,0)</f>
        <v/>
      </c>
      <c r="BO193" s="47">
        <f>-IF($E193=BO$3,$G193,0)+IF($H193=BO$3,$J193,0)</f>
        <v/>
      </c>
      <c r="BP193" s="47">
        <f>-IF($E193=BP$3,$G193,0)+IF($H193=BP$3,$J193,0)</f>
        <v/>
      </c>
      <c r="BQ193" s="47">
        <f>-IF($E193=BQ$3,$G193,0)+IF($H193=BQ$3,$J193,0)</f>
        <v/>
      </c>
      <c r="BR193" s="47">
        <f>-IF($E193=BR$3,$G193,0)+IF($H193=BR$3,$J193,0)</f>
        <v/>
      </c>
      <c r="BS193" s="47">
        <f>-IF($E193=BS$3,$G193,0)+IF($H193=BS$3,$J193,0)</f>
        <v/>
      </c>
      <c r="BT193" s="47">
        <f>-IF($E193=BT$3,$G193,0)+IF($H193=BT$3,$J193,0)</f>
        <v/>
      </c>
      <c r="BU193" s="46">
        <f>+G193-J193</f>
        <v/>
      </c>
      <c r="BV193" s="48">
        <f>-IF($E193=BV$3,$G193,0)+IF($H193=BV$3,$J193,0)</f>
        <v/>
      </c>
      <c r="BW193" s="3" t="n"/>
    </row>
    <row r="194" ht="15.75" customHeight="1" s="214">
      <c r="A194" s="7" t="n"/>
      <c r="B194" s="8" t="n"/>
      <c r="C194" s="9" t="n"/>
      <c r="D194" s="10" t="n"/>
      <c r="E194" s="247" t="n"/>
      <c r="F194" s="11">
        <f>IF(E194="","",IF(ISNA(VLOOKUP(E194,科目コード表!$C$4:$D$67,2,FALSE)),"該当科目なし",VLOOKUP(E194,科目コード表!$C$4:$D$67,2,FALSE)))</f>
        <v/>
      </c>
      <c r="G194" s="38" t="n"/>
      <c r="H194" s="248" t="n"/>
      <c r="I194" s="11">
        <f>IF(H194="","",IF(ISNA(VLOOKUP(H194,科目コード表!$C$4:$D$67,2,FALSE)),"該当科目なし",VLOOKUP(H194,科目コード表!$C$4:$D$67,2,FALSE)))</f>
        <v/>
      </c>
      <c r="J194" s="40" t="n"/>
      <c r="L194" s="46">
        <f>IF($E194=L$3,$G194,0)-IF($H194=L$3,$J194,0)</f>
        <v/>
      </c>
      <c r="M194" s="47">
        <f>IF($E194=M$3,$G194,0)-IF($H194=M$3,$J194,0)</f>
        <v/>
      </c>
      <c r="N194" s="47">
        <f>IF($E194=N$3,$G194,0)-IF($H194=N$3,$J194,0)</f>
        <v/>
      </c>
      <c r="O194" s="47">
        <f>IF($E194=O$3,$G194,0)-IF($H194=O$3,$J194,0)</f>
        <v/>
      </c>
      <c r="P194" s="47">
        <f>IF($E194=P$3,$G194,0)-IF($H194=P$3,$J194,0)</f>
        <v/>
      </c>
      <c r="Q194" s="47">
        <f>IF($E194=Q$3,$G194,0)-IF($H194=Q$3,$J194,0)</f>
        <v/>
      </c>
      <c r="R194" s="47">
        <f>IF($E194=R$3,$G194,0)-IF($H194=R$3,$J194,0)</f>
        <v/>
      </c>
      <c r="S194" s="47">
        <f>IF($E194=S$3,$G194,0)-IF($H194=S$3,$J194,0)</f>
        <v/>
      </c>
      <c r="T194" s="47">
        <f>IF($E194=T$3,$G194,0)-IF($H194=T$3,$J194,0)</f>
        <v/>
      </c>
      <c r="U194" s="47">
        <f>IF($E194=U$3,$G194,0)-IF($H194=U$3,$J194,0)</f>
        <v/>
      </c>
      <c r="V194" s="47">
        <f>IF($E194=V$3,$G194,0)-IF($H194=V$3,$J194,0)</f>
        <v/>
      </c>
      <c r="W194" s="47">
        <f>IF($E194=W$3,$G194,0)-IF($H194=W$3,$J194,0)</f>
        <v/>
      </c>
      <c r="X194" s="47">
        <f>IF($E194=X$3,$G194,0)-IF($H194=X$3,$J194,0)</f>
        <v/>
      </c>
      <c r="Y194" s="47">
        <f>IF($E194=Y$3,$G194,0)-IF($H194=Y$3,$J194,0)</f>
        <v/>
      </c>
      <c r="Z194" s="47">
        <f>IF($E194=Z$3,$G194,0)-IF($H194=Z$3,$J194,0)</f>
        <v/>
      </c>
      <c r="AA194" s="47">
        <f>IF($E194=AA$3,$G194,0)-IF($H194=AA$3,$J194,0)</f>
        <v/>
      </c>
      <c r="AB194" s="47">
        <f>IF($E194=AB$3,$G194,0)-IF($H194=AB$3,$J194,0)</f>
        <v/>
      </c>
      <c r="AC194" s="47">
        <f>IF($E194=AC$3,$G194,0)-IF($H194=AC$3,$J194,0)</f>
        <v/>
      </c>
      <c r="AD194" s="47">
        <f>IF($E194=AD$3,$G194,0)-IF($H194=AD$3,$J194,0)</f>
        <v/>
      </c>
      <c r="AE194" s="47">
        <f>IF($E194=AE$3,$G194,0)-IF($H194=AE$3,$J194,0)</f>
        <v/>
      </c>
      <c r="AF194" s="47">
        <f>IF($E194=AF$3,$G194,0)-IF($H194=AF$3,$J194,0)</f>
        <v/>
      </c>
      <c r="AG194" s="47">
        <f>IF($E194=AG$3,$G194,0)-IF($H194=AG$3,$J194,0)</f>
        <v/>
      </c>
      <c r="AH194" s="47">
        <f>IF($E194=AH$3,$G194,0)-IF($H194=AH$3,$J194,0)</f>
        <v/>
      </c>
      <c r="AI194" s="47">
        <f>IF($E194=AI$3,$G194,0)-IF($H194=AI$3,$J194,0)</f>
        <v/>
      </c>
      <c r="AJ194" s="47">
        <f>IF($E194=AJ$3,$G194,0)-IF($H194=AJ$3,$J194,0)</f>
        <v/>
      </c>
      <c r="AK194" s="47">
        <f>IF($E194=AK$3,$G194,0)-IF($H194=AK$3,$J194,0)</f>
        <v/>
      </c>
      <c r="AL194" s="48">
        <f>IF($E194=AL$3,$G194,0)-IF($H194=AL$3,$J194,0)</f>
        <v/>
      </c>
      <c r="AM194" s="46">
        <f>-IF($E194=AM$3,$G194,0)+IF($H194=AM$3,$J194,0)</f>
        <v/>
      </c>
      <c r="AN194" s="47">
        <f>-IF($E194=AN$3,$G194,0)+IF($H194=AN$3,$J194,0)</f>
        <v/>
      </c>
      <c r="AO194" s="48">
        <f>-IF($E194=AO$3,$G194,0)+IF($H194=AO$3,$J194,0)</f>
        <v/>
      </c>
      <c r="AP194" s="46">
        <f>IF($E194=AP$3,$G194,0)-IF($H194=AP$3,$J194,0)</f>
        <v/>
      </c>
      <c r="AQ194" s="47">
        <f>IF($E194=AQ$3,$G194,0)-IF($H194=AQ$3,$J194,0)</f>
        <v/>
      </c>
      <c r="AR194" s="47">
        <f>IF($E194=AR$3,$G194,0)-IF($H194=AR$3,$J194,0)</f>
        <v/>
      </c>
      <c r="AS194" s="47">
        <f>IF($E194=AS$3,$G194,0)-IF($H194=AS$3,$J194,0)</f>
        <v/>
      </c>
      <c r="AT194" s="47">
        <f>IF($E194=AT$3,$G194,0)-IF($H194=AT$3,$J194,0)</f>
        <v/>
      </c>
      <c r="AU194" s="47">
        <f>IF($E194=AU$3,$G194,0)-IF($H194=AU$3,$J194,0)</f>
        <v/>
      </c>
      <c r="AV194" s="47">
        <f>IF($E194=AV$3,$G194,0)-IF($H194=AV$3,$J194,0)</f>
        <v/>
      </c>
      <c r="AW194" s="47">
        <f>IF($E194=AW$3,$G194,0)-IF($H194=AW$3,$J194,0)</f>
        <v/>
      </c>
      <c r="AX194" s="47">
        <f>IF($E194=AX$3,$G194,0)-IF($H194=AX$3,$J194,0)</f>
        <v/>
      </c>
      <c r="AY194" s="47">
        <f>IF($E194=AY$3,$G194,0)-IF($H194=AY$3,$J194,0)</f>
        <v/>
      </c>
      <c r="AZ194" s="47">
        <f>IF($E194=AZ$3,$G194,0)-IF($H194=AZ$3,$J194,0)</f>
        <v/>
      </c>
      <c r="BA194" s="47">
        <f>IF($E194=BA$3,$G194,0)-IF($H194=BA$3,$J194,0)</f>
        <v/>
      </c>
      <c r="BB194" s="47">
        <f>IF($E194=BB$3,$G194,0)-IF($H194=BB$3,$J194,0)</f>
        <v/>
      </c>
      <c r="BC194" s="47">
        <f>IF($E194=BC$3,$G194,0)-IF($H194=BC$3,$J194,0)</f>
        <v/>
      </c>
      <c r="BD194" s="47">
        <f>IF($E194=BD$3,$G194,0)-IF($H194=BD$3,$J194,0)</f>
        <v/>
      </c>
      <c r="BE194" s="47">
        <f>IF($E194=BE$3,$G194,0)-IF($H194=BE$3,$J194,0)</f>
        <v/>
      </c>
      <c r="BF194" s="47">
        <f>IF($E194=BF$3,$G194,0)-IF($H194=BF$3,$J194,0)</f>
        <v/>
      </c>
      <c r="BG194" s="47">
        <f>IF($E194=BG$3,$G194,0)-IF($H194=BG$3,$J194,0)</f>
        <v/>
      </c>
      <c r="BH194" s="47">
        <f>IF($E194=BH$3,$G194,0)-IF($H194=BH$3,$J194,0)</f>
        <v/>
      </c>
      <c r="BI194" s="47">
        <f>IF($E194=BI$3,$G194,0)-IF($H194=BI$3,$J194,0)</f>
        <v/>
      </c>
      <c r="BJ194" s="47">
        <f>IF($E194=BJ$3,$G194,0)-IF($H194=BJ$3,$J194,0)</f>
        <v/>
      </c>
      <c r="BK194" s="47">
        <f>IF($E194=BK$3,$G194,0)-IF($H194=BK$3,$J194,0)</f>
        <v/>
      </c>
      <c r="BL194" s="46">
        <f>-IF($E194=BL$3,$G194,0)+IF($H194=BL$3,$J194,0)</f>
        <v/>
      </c>
      <c r="BM194" s="47">
        <f>-IF($E194=BM$3,$G194,0)+IF($H194=BM$3,$J194,0)</f>
        <v/>
      </c>
      <c r="BN194" s="47">
        <f>-IF($E194=BN$3,$G194,0)+IF($H194=BN$3,$J194,0)</f>
        <v/>
      </c>
      <c r="BO194" s="47">
        <f>-IF($E194=BO$3,$G194,0)+IF($H194=BO$3,$J194,0)</f>
        <v/>
      </c>
      <c r="BP194" s="47">
        <f>-IF($E194=BP$3,$G194,0)+IF($H194=BP$3,$J194,0)</f>
        <v/>
      </c>
      <c r="BQ194" s="47">
        <f>-IF($E194=BQ$3,$G194,0)+IF($H194=BQ$3,$J194,0)</f>
        <v/>
      </c>
      <c r="BR194" s="47">
        <f>-IF($E194=BR$3,$G194,0)+IF($H194=BR$3,$J194,0)</f>
        <v/>
      </c>
      <c r="BS194" s="47">
        <f>-IF($E194=BS$3,$G194,0)+IF($H194=BS$3,$J194,0)</f>
        <v/>
      </c>
      <c r="BT194" s="47">
        <f>-IF($E194=BT$3,$G194,0)+IF($H194=BT$3,$J194,0)</f>
        <v/>
      </c>
      <c r="BU194" s="46">
        <f>+G194-J194</f>
        <v/>
      </c>
      <c r="BV194" s="48">
        <f>-IF($E194=BV$3,$G194,0)+IF($H194=BV$3,$J194,0)</f>
        <v/>
      </c>
      <c r="BW194" s="3" t="n"/>
    </row>
    <row r="195" ht="15.75" customHeight="1" s="214">
      <c r="A195" s="7" t="n"/>
      <c r="B195" s="8" t="n"/>
      <c r="C195" s="9" t="n"/>
      <c r="D195" s="10" t="n"/>
      <c r="E195" s="247" t="n"/>
      <c r="F195" s="11">
        <f>IF(E195="","",IF(ISNA(VLOOKUP(E195,科目コード表!$C$4:$D$67,2,FALSE)),"該当科目なし",VLOOKUP(E195,科目コード表!$C$4:$D$67,2,FALSE)))</f>
        <v/>
      </c>
      <c r="G195" s="38" t="n"/>
      <c r="H195" s="248" t="n"/>
      <c r="I195" s="11">
        <f>IF(H195="","",IF(ISNA(VLOOKUP(H195,科目コード表!$C$4:$D$67,2,FALSE)),"該当科目なし",VLOOKUP(H195,科目コード表!$C$4:$D$67,2,FALSE)))</f>
        <v/>
      </c>
      <c r="J195" s="40" t="n"/>
      <c r="L195" s="46">
        <f>IF($E195=L$3,$G195,0)-IF($H195=L$3,$J195,0)</f>
        <v/>
      </c>
      <c r="M195" s="47">
        <f>IF($E195=M$3,$G195,0)-IF($H195=M$3,$J195,0)</f>
        <v/>
      </c>
      <c r="N195" s="47">
        <f>IF($E195=N$3,$G195,0)-IF($H195=N$3,$J195,0)</f>
        <v/>
      </c>
      <c r="O195" s="47">
        <f>IF($E195=O$3,$G195,0)-IF($H195=O$3,$J195,0)</f>
        <v/>
      </c>
      <c r="P195" s="47">
        <f>IF($E195=P$3,$G195,0)-IF($H195=P$3,$J195,0)</f>
        <v/>
      </c>
      <c r="Q195" s="47">
        <f>IF($E195=Q$3,$G195,0)-IF($H195=Q$3,$J195,0)</f>
        <v/>
      </c>
      <c r="R195" s="47">
        <f>IF($E195=R$3,$G195,0)-IF($H195=R$3,$J195,0)</f>
        <v/>
      </c>
      <c r="S195" s="47">
        <f>IF($E195=S$3,$G195,0)-IF($H195=S$3,$J195,0)</f>
        <v/>
      </c>
      <c r="T195" s="47">
        <f>IF($E195=T$3,$G195,0)-IF($H195=T$3,$J195,0)</f>
        <v/>
      </c>
      <c r="U195" s="47">
        <f>IF($E195=U$3,$G195,0)-IF($H195=U$3,$J195,0)</f>
        <v/>
      </c>
      <c r="V195" s="47">
        <f>IF($E195=V$3,$G195,0)-IF($H195=V$3,$J195,0)</f>
        <v/>
      </c>
      <c r="W195" s="47">
        <f>IF($E195=W$3,$G195,0)-IF($H195=W$3,$J195,0)</f>
        <v/>
      </c>
      <c r="X195" s="47">
        <f>IF($E195=X$3,$G195,0)-IF($H195=X$3,$J195,0)</f>
        <v/>
      </c>
      <c r="Y195" s="47">
        <f>IF($E195=Y$3,$G195,0)-IF($H195=Y$3,$J195,0)</f>
        <v/>
      </c>
      <c r="Z195" s="47">
        <f>IF($E195=Z$3,$G195,0)-IF($H195=Z$3,$J195,0)</f>
        <v/>
      </c>
      <c r="AA195" s="47">
        <f>IF($E195=AA$3,$G195,0)-IF($H195=AA$3,$J195,0)</f>
        <v/>
      </c>
      <c r="AB195" s="47">
        <f>IF($E195=AB$3,$G195,0)-IF($H195=AB$3,$J195,0)</f>
        <v/>
      </c>
      <c r="AC195" s="47">
        <f>IF($E195=AC$3,$G195,0)-IF($H195=AC$3,$J195,0)</f>
        <v/>
      </c>
      <c r="AD195" s="47">
        <f>IF($E195=AD$3,$G195,0)-IF($H195=AD$3,$J195,0)</f>
        <v/>
      </c>
      <c r="AE195" s="47">
        <f>IF($E195=AE$3,$G195,0)-IF($H195=AE$3,$J195,0)</f>
        <v/>
      </c>
      <c r="AF195" s="47">
        <f>IF($E195=AF$3,$G195,0)-IF($H195=AF$3,$J195,0)</f>
        <v/>
      </c>
      <c r="AG195" s="47">
        <f>IF($E195=AG$3,$G195,0)-IF($H195=AG$3,$J195,0)</f>
        <v/>
      </c>
      <c r="AH195" s="47">
        <f>IF($E195=AH$3,$G195,0)-IF($H195=AH$3,$J195,0)</f>
        <v/>
      </c>
      <c r="AI195" s="47">
        <f>IF($E195=AI$3,$G195,0)-IF($H195=AI$3,$J195,0)</f>
        <v/>
      </c>
      <c r="AJ195" s="47">
        <f>IF($E195=AJ$3,$G195,0)-IF($H195=AJ$3,$J195,0)</f>
        <v/>
      </c>
      <c r="AK195" s="47">
        <f>IF($E195=AK$3,$G195,0)-IF($H195=AK$3,$J195,0)</f>
        <v/>
      </c>
      <c r="AL195" s="48">
        <f>IF($E195=AL$3,$G195,0)-IF($H195=AL$3,$J195,0)</f>
        <v/>
      </c>
      <c r="AM195" s="46">
        <f>-IF($E195=AM$3,$G195,0)+IF($H195=AM$3,$J195,0)</f>
        <v/>
      </c>
      <c r="AN195" s="47">
        <f>-IF($E195=AN$3,$G195,0)+IF($H195=AN$3,$J195,0)</f>
        <v/>
      </c>
      <c r="AO195" s="48">
        <f>-IF($E195=AO$3,$G195,0)+IF($H195=AO$3,$J195,0)</f>
        <v/>
      </c>
      <c r="AP195" s="46">
        <f>IF($E195=AP$3,$G195,0)-IF($H195=AP$3,$J195,0)</f>
        <v/>
      </c>
      <c r="AQ195" s="47">
        <f>IF($E195=AQ$3,$G195,0)-IF($H195=AQ$3,$J195,0)</f>
        <v/>
      </c>
      <c r="AR195" s="47">
        <f>IF($E195=AR$3,$G195,0)-IF($H195=AR$3,$J195,0)</f>
        <v/>
      </c>
      <c r="AS195" s="47">
        <f>IF($E195=AS$3,$G195,0)-IF($H195=AS$3,$J195,0)</f>
        <v/>
      </c>
      <c r="AT195" s="47">
        <f>IF($E195=AT$3,$G195,0)-IF($H195=AT$3,$J195,0)</f>
        <v/>
      </c>
      <c r="AU195" s="47">
        <f>IF($E195=AU$3,$G195,0)-IF($H195=AU$3,$J195,0)</f>
        <v/>
      </c>
      <c r="AV195" s="47">
        <f>IF($E195=AV$3,$G195,0)-IF($H195=AV$3,$J195,0)</f>
        <v/>
      </c>
      <c r="AW195" s="47">
        <f>IF($E195=AW$3,$G195,0)-IF($H195=AW$3,$J195,0)</f>
        <v/>
      </c>
      <c r="AX195" s="47">
        <f>IF($E195=AX$3,$G195,0)-IF($H195=AX$3,$J195,0)</f>
        <v/>
      </c>
      <c r="AY195" s="47">
        <f>IF($E195=AY$3,$G195,0)-IF($H195=AY$3,$J195,0)</f>
        <v/>
      </c>
      <c r="AZ195" s="47">
        <f>IF($E195=AZ$3,$G195,0)-IF($H195=AZ$3,$J195,0)</f>
        <v/>
      </c>
      <c r="BA195" s="47">
        <f>IF($E195=BA$3,$G195,0)-IF($H195=BA$3,$J195,0)</f>
        <v/>
      </c>
      <c r="BB195" s="47">
        <f>IF($E195=BB$3,$G195,0)-IF($H195=BB$3,$J195,0)</f>
        <v/>
      </c>
      <c r="BC195" s="47">
        <f>IF($E195=BC$3,$G195,0)-IF($H195=BC$3,$J195,0)</f>
        <v/>
      </c>
      <c r="BD195" s="47">
        <f>IF($E195=BD$3,$G195,0)-IF($H195=BD$3,$J195,0)</f>
        <v/>
      </c>
      <c r="BE195" s="47">
        <f>IF($E195=BE$3,$G195,0)-IF($H195=BE$3,$J195,0)</f>
        <v/>
      </c>
      <c r="BF195" s="47">
        <f>IF($E195=BF$3,$G195,0)-IF($H195=BF$3,$J195,0)</f>
        <v/>
      </c>
      <c r="BG195" s="47">
        <f>IF($E195=BG$3,$G195,0)-IF($H195=BG$3,$J195,0)</f>
        <v/>
      </c>
      <c r="BH195" s="47">
        <f>IF($E195=BH$3,$G195,0)-IF($H195=BH$3,$J195,0)</f>
        <v/>
      </c>
      <c r="BI195" s="47">
        <f>IF($E195=BI$3,$G195,0)-IF($H195=BI$3,$J195,0)</f>
        <v/>
      </c>
      <c r="BJ195" s="47">
        <f>IF($E195=BJ$3,$G195,0)-IF($H195=BJ$3,$J195,0)</f>
        <v/>
      </c>
      <c r="BK195" s="47">
        <f>IF($E195=BK$3,$G195,0)-IF($H195=BK$3,$J195,0)</f>
        <v/>
      </c>
      <c r="BL195" s="46">
        <f>-IF($E195=BL$3,$G195,0)+IF($H195=BL$3,$J195,0)</f>
        <v/>
      </c>
      <c r="BM195" s="47">
        <f>-IF($E195=BM$3,$G195,0)+IF($H195=BM$3,$J195,0)</f>
        <v/>
      </c>
      <c r="BN195" s="47">
        <f>-IF($E195=BN$3,$G195,0)+IF($H195=BN$3,$J195,0)</f>
        <v/>
      </c>
      <c r="BO195" s="47">
        <f>-IF($E195=BO$3,$G195,0)+IF($H195=BO$3,$J195,0)</f>
        <v/>
      </c>
      <c r="BP195" s="47">
        <f>-IF($E195=BP$3,$G195,0)+IF($H195=BP$3,$J195,0)</f>
        <v/>
      </c>
      <c r="BQ195" s="47">
        <f>-IF($E195=BQ$3,$G195,0)+IF($H195=BQ$3,$J195,0)</f>
        <v/>
      </c>
      <c r="BR195" s="47">
        <f>-IF($E195=BR$3,$G195,0)+IF($H195=BR$3,$J195,0)</f>
        <v/>
      </c>
      <c r="BS195" s="47">
        <f>-IF($E195=BS$3,$G195,0)+IF($H195=BS$3,$J195,0)</f>
        <v/>
      </c>
      <c r="BT195" s="47">
        <f>-IF($E195=BT$3,$G195,0)+IF($H195=BT$3,$J195,0)</f>
        <v/>
      </c>
      <c r="BU195" s="46">
        <f>+G195-J195</f>
        <v/>
      </c>
      <c r="BV195" s="48">
        <f>-IF($E195=BV$3,$G195,0)+IF($H195=BV$3,$J195,0)</f>
        <v/>
      </c>
      <c r="BW195" s="3" t="n"/>
    </row>
    <row r="196" ht="15.75" customHeight="1" s="214">
      <c r="A196" s="7" t="n"/>
      <c r="B196" s="8" t="n"/>
      <c r="C196" s="9" t="n"/>
      <c r="D196" s="10" t="n"/>
      <c r="E196" s="247" t="n"/>
      <c r="F196" s="11">
        <f>IF(E196="","",IF(ISNA(VLOOKUP(E196,科目コード表!$C$4:$D$67,2,FALSE)),"該当科目なし",VLOOKUP(E196,科目コード表!$C$4:$D$67,2,FALSE)))</f>
        <v/>
      </c>
      <c r="G196" s="38" t="n"/>
      <c r="H196" s="248" t="n"/>
      <c r="I196" s="11">
        <f>IF(H196="","",IF(ISNA(VLOOKUP(H196,科目コード表!$C$4:$D$67,2,FALSE)),"該当科目なし",VLOOKUP(H196,科目コード表!$C$4:$D$67,2,FALSE)))</f>
        <v/>
      </c>
      <c r="J196" s="40" t="n"/>
      <c r="L196" s="46">
        <f>IF($E196=L$3,$G196,0)-IF($H196=L$3,$J196,0)</f>
        <v/>
      </c>
      <c r="M196" s="47">
        <f>IF($E196=M$3,$G196,0)-IF($H196=M$3,$J196,0)</f>
        <v/>
      </c>
      <c r="N196" s="47">
        <f>IF($E196=N$3,$G196,0)-IF($H196=N$3,$J196,0)</f>
        <v/>
      </c>
      <c r="O196" s="47">
        <f>IF($E196=O$3,$G196,0)-IF($H196=O$3,$J196,0)</f>
        <v/>
      </c>
      <c r="P196" s="47">
        <f>IF($E196=P$3,$G196,0)-IF($H196=P$3,$J196,0)</f>
        <v/>
      </c>
      <c r="Q196" s="47">
        <f>IF($E196=Q$3,$G196,0)-IF($H196=Q$3,$J196,0)</f>
        <v/>
      </c>
      <c r="R196" s="47">
        <f>IF($E196=R$3,$G196,0)-IF($H196=R$3,$J196,0)</f>
        <v/>
      </c>
      <c r="S196" s="47">
        <f>IF($E196=S$3,$G196,0)-IF($H196=S$3,$J196,0)</f>
        <v/>
      </c>
      <c r="T196" s="47">
        <f>IF($E196=T$3,$G196,0)-IF($H196=T$3,$J196,0)</f>
        <v/>
      </c>
      <c r="U196" s="47">
        <f>IF($E196=U$3,$G196,0)-IF($H196=U$3,$J196,0)</f>
        <v/>
      </c>
      <c r="V196" s="47">
        <f>IF($E196=V$3,$G196,0)-IF($H196=V$3,$J196,0)</f>
        <v/>
      </c>
      <c r="W196" s="47">
        <f>IF($E196=W$3,$G196,0)-IF($H196=W$3,$J196,0)</f>
        <v/>
      </c>
      <c r="X196" s="47">
        <f>IF($E196=X$3,$G196,0)-IF($H196=X$3,$J196,0)</f>
        <v/>
      </c>
      <c r="Y196" s="47">
        <f>IF($E196=Y$3,$G196,0)-IF($H196=Y$3,$J196,0)</f>
        <v/>
      </c>
      <c r="Z196" s="47">
        <f>IF($E196=Z$3,$G196,0)-IF($H196=Z$3,$J196,0)</f>
        <v/>
      </c>
      <c r="AA196" s="47">
        <f>IF($E196=AA$3,$G196,0)-IF($H196=AA$3,$J196,0)</f>
        <v/>
      </c>
      <c r="AB196" s="47">
        <f>IF($E196=AB$3,$G196,0)-IF($H196=AB$3,$J196,0)</f>
        <v/>
      </c>
      <c r="AC196" s="47">
        <f>IF($E196=AC$3,$G196,0)-IF($H196=AC$3,$J196,0)</f>
        <v/>
      </c>
      <c r="AD196" s="47">
        <f>IF($E196=AD$3,$G196,0)-IF($H196=AD$3,$J196,0)</f>
        <v/>
      </c>
      <c r="AE196" s="47">
        <f>IF($E196=AE$3,$G196,0)-IF($H196=AE$3,$J196,0)</f>
        <v/>
      </c>
      <c r="AF196" s="47">
        <f>IF($E196=AF$3,$G196,0)-IF($H196=AF$3,$J196,0)</f>
        <v/>
      </c>
      <c r="AG196" s="47">
        <f>IF($E196=AG$3,$G196,0)-IF($H196=AG$3,$J196,0)</f>
        <v/>
      </c>
      <c r="AH196" s="47">
        <f>IF($E196=AH$3,$G196,0)-IF($H196=AH$3,$J196,0)</f>
        <v/>
      </c>
      <c r="AI196" s="47">
        <f>IF($E196=AI$3,$G196,0)-IF($H196=AI$3,$J196,0)</f>
        <v/>
      </c>
      <c r="AJ196" s="47">
        <f>IF($E196=AJ$3,$G196,0)-IF($H196=AJ$3,$J196,0)</f>
        <v/>
      </c>
      <c r="AK196" s="47">
        <f>IF($E196=AK$3,$G196,0)-IF($H196=AK$3,$J196,0)</f>
        <v/>
      </c>
      <c r="AL196" s="48">
        <f>IF($E196=AL$3,$G196,0)-IF($H196=AL$3,$J196,0)</f>
        <v/>
      </c>
      <c r="AM196" s="46">
        <f>-IF($E196=AM$3,$G196,0)+IF($H196=AM$3,$J196,0)</f>
        <v/>
      </c>
      <c r="AN196" s="47">
        <f>-IF($E196=AN$3,$G196,0)+IF($H196=AN$3,$J196,0)</f>
        <v/>
      </c>
      <c r="AO196" s="48">
        <f>-IF($E196=AO$3,$G196,0)+IF($H196=AO$3,$J196,0)</f>
        <v/>
      </c>
      <c r="AP196" s="46">
        <f>IF($E196=AP$3,$G196,0)-IF($H196=AP$3,$J196,0)</f>
        <v/>
      </c>
      <c r="AQ196" s="47">
        <f>IF($E196=AQ$3,$G196,0)-IF($H196=AQ$3,$J196,0)</f>
        <v/>
      </c>
      <c r="AR196" s="47">
        <f>IF($E196=AR$3,$G196,0)-IF($H196=AR$3,$J196,0)</f>
        <v/>
      </c>
      <c r="AS196" s="47">
        <f>IF($E196=AS$3,$G196,0)-IF($H196=AS$3,$J196,0)</f>
        <v/>
      </c>
      <c r="AT196" s="47">
        <f>IF($E196=AT$3,$G196,0)-IF($H196=AT$3,$J196,0)</f>
        <v/>
      </c>
      <c r="AU196" s="47">
        <f>IF($E196=AU$3,$G196,0)-IF($H196=AU$3,$J196,0)</f>
        <v/>
      </c>
      <c r="AV196" s="47">
        <f>IF($E196=AV$3,$G196,0)-IF($H196=AV$3,$J196,0)</f>
        <v/>
      </c>
      <c r="AW196" s="47">
        <f>IF($E196=AW$3,$G196,0)-IF($H196=AW$3,$J196,0)</f>
        <v/>
      </c>
      <c r="AX196" s="47">
        <f>IF($E196=AX$3,$G196,0)-IF($H196=AX$3,$J196,0)</f>
        <v/>
      </c>
      <c r="AY196" s="47">
        <f>IF($E196=AY$3,$G196,0)-IF($H196=AY$3,$J196,0)</f>
        <v/>
      </c>
      <c r="AZ196" s="47">
        <f>IF($E196=AZ$3,$G196,0)-IF($H196=AZ$3,$J196,0)</f>
        <v/>
      </c>
      <c r="BA196" s="47">
        <f>IF($E196=BA$3,$G196,0)-IF($H196=BA$3,$J196,0)</f>
        <v/>
      </c>
      <c r="BB196" s="47">
        <f>IF($E196=BB$3,$G196,0)-IF($H196=BB$3,$J196,0)</f>
        <v/>
      </c>
      <c r="BC196" s="47">
        <f>IF($E196=BC$3,$G196,0)-IF($H196=BC$3,$J196,0)</f>
        <v/>
      </c>
      <c r="BD196" s="47">
        <f>IF($E196=BD$3,$G196,0)-IF($H196=BD$3,$J196,0)</f>
        <v/>
      </c>
      <c r="BE196" s="47">
        <f>IF($E196=BE$3,$G196,0)-IF($H196=BE$3,$J196,0)</f>
        <v/>
      </c>
      <c r="BF196" s="47">
        <f>IF($E196=BF$3,$G196,0)-IF($H196=BF$3,$J196,0)</f>
        <v/>
      </c>
      <c r="BG196" s="47">
        <f>IF($E196=BG$3,$G196,0)-IF($H196=BG$3,$J196,0)</f>
        <v/>
      </c>
      <c r="BH196" s="47">
        <f>IF($E196=BH$3,$G196,0)-IF($H196=BH$3,$J196,0)</f>
        <v/>
      </c>
      <c r="BI196" s="47">
        <f>IF($E196=BI$3,$G196,0)-IF($H196=BI$3,$J196,0)</f>
        <v/>
      </c>
      <c r="BJ196" s="47">
        <f>IF($E196=BJ$3,$G196,0)-IF($H196=BJ$3,$J196,0)</f>
        <v/>
      </c>
      <c r="BK196" s="47">
        <f>IF($E196=BK$3,$G196,0)-IF($H196=BK$3,$J196,0)</f>
        <v/>
      </c>
      <c r="BL196" s="46">
        <f>-IF($E196=BL$3,$G196,0)+IF($H196=BL$3,$J196,0)</f>
        <v/>
      </c>
      <c r="BM196" s="47">
        <f>-IF($E196=BM$3,$G196,0)+IF($H196=BM$3,$J196,0)</f>
        <v/>
      </c>
      <c r="BN196" s="47">
        <f>-IF($E196=BN$3,$G196,0)+IF($H196=BN$3,$J196,0)</f>
        <v/>
      </c>
      <c r="BO196" s="47">
        <f>-IF($E196=BO$3,$G196,0)+IF($H196=BO$3,$J196,0)</f>
        <v/>
      </c>
      <c r="BP196" s="47">
        <f>-IF($E196=BP$3,$G196,0)+IF($H196=BP$3,$J196,0)</f>
        <v/>
      </c>
      <c r="BQ196" s="47">
        <f>-IF($E196=BQ$3,$G196,0)+IF($H196=BQ$3,$J196,0)</f>
        <v/>
      </c>
      <c r="BR196" s="47">
        <f>-IF($E196=BR$3,$G196,0)+IF($H196=BR$3,$J196,0)</f>
        <v/>
      </c>
      <c r="BS196" s="47">
        <f>-IF($E196=BS$3,$G196,0)+IF($H196=BS$3,$J196,0)</f>
        <v/>
      </c>
      <c r="BT196" s="47">
        <f>-IF($E196=BT$3,$G196,0)+IF($H196=BT$3,$J196,0)</f>
        <v/>
      </c>
      <c r="BU196" s="46">
        <f>+G196-J196</f>
        <v/>
      </c>
      <c r="BV196" s="48">
        <f>-IF($E196=BV$3,$G196,0)+IF($H196=BV$3,$J196,0)</f>
        <v/>
      </c>
      <c r="BW196" s="3" t="n"/>
    </row>
    <row r="197" ht="15.75" customHeight="1" s="214">
      <c r="A197" s="7" t="n"/>
      <c r="B197" s="8" t="n"/>
      <c r="C197" s="9" t="n"/>
      <c r="D197" s="10" t="n"/>
      <c r="E197" s="247" t="n"/>
      <c r="F197" s="11">
        <f>IF(E197="","",IF(ISNA(VLOOKUP(E197,科目コード表!$C$4:$D$67,2,FALSE)),"該当科目なし",VLOOKUP(E197,科目コード表!$C$4:$D$67,2,FALSE)))</f>
        <v/>
      </c>
      <c r="G197" s="38" t="n"/>
      <c r="H197" s="248" t="n"/>
      <c r="I197" s="11">
        <f>IF(H197="","",IF(ISNA(VLOOKUP(H197,科目コード表!$C$4:$D$67,2,FALSE)),"該当科目なし",VLOOKUP(H197,科目コード表!$C$4:$D$67,2,FALSE)))</f>
        <v/>
      </c>
      <c r="J197" s="40" t="n"/>
      <c r="L197" s="46">
        <f>IF($E197=L$3,$G197,0)-IF($H197=L$3,$J197,0)</f>
        <v/>
      </c>
      <c r="M197" s="47">
        <f>IF($E197=M$3,$G197,0)-IF($H197=M$3,$J197,0)</f>
        <v/>
      </c>
      <c r="N197" s="47">
        <f>IF($E197=N$3,$G197,0)-IF($H197=N$3,$J197,0)</f>
        <v/>
      </c>
      <c r="O197" s="47">
        <f>IF($E197=O$3,$G197,0)-IF($H197=O$3,$J197,0)</f>
        <v/>
      </c>
      <c r="P197" s="47">
        <f>IF($E197=P$3,$G197,0)-IF($H197=P$3,$J197,0)</f>
        <v/>
      </c>
      <c r="Q197" s="47">
        <f>IF($E197=Q$3,$G197,0)-IF($H197=Q$3,$J197,0)</f>
        <v/>
      </c>
      <c r="R197" s="47">
        <f>IF($E197=R$3,$G197,0)-IF($H197=R$3,$J197,0)</f>
        <v/>
      </c>
      <c r="S197" s="47">
        <f>IF($E197=S$3,$G197,0)-IF($H197=S$3,$J197,0)</f>
        <v/>
      </c>
      <c r="T197" s="47">
        <f>IF($E197=T$3,$G197,0)-IF($H197=T$3,$J197,0)</f>
        <v/>
      </c>
      <c r="U197" s="47">
        <f>IF($E197=U$3,$G197,0)-IF($H197=U$3,$J197,0)</f>
        <v/>
      </c>
      <c r="V197" s="47">
        <f>IF($E197=V$3,$G197,0)-IF($H197=V$3,$J197,0)</f>
        <v/>
      </c>
      <c r="W197" s="47">
        <f>IF($E197=W$3,$G197,0)-IF($H197=W$3,$J197,0)</f>
        <v/>
      </c>
      <c r="X197" s="47">
        <f>IF($E197=X$3,$G197,0)-IF($H197=X$3,$J197,0)</f>
        <v/>
      </c>
      <c r="Y197" s="47">
        <f>IF($E197=Y$3,$G197,0)-IF($H197=Y$3,$J197,0)</f>
        <v/>
      </c>
      <c r="Z197" s="47">
        <f>IF($E197=Z$3,$G197,0)-IF($H197=Z$3,$J197,0)</f>
        <v/>
      </c>
      <c r="AA197" s="47">
        <f>IF($E197=AA$3,$G197,0)-IF($H197=AA$3,$J197,0)</f>
        <v/>
      </c>
      <c r="AB197" s="47">
        <f>IF($E197=AB$3,$G197,0)-IF($H197=AB$3,$J197,0)</f>
        <v/>
      </c>
      <c r="AC197" s="47">
        <f>IF($E197=AC$3,$G197,0)-IF($H197=AC$3,$J197,0)</f>
        <v/>
      </c>
      <c r="AD197" s="47">
        <f>IF($E197=AD$3,$G197,0)-IF($H197=AD$3,$J197,0)</f>
        <v/>
      </c>
      <c r="AE197" s="47">
        <f>IF($E197=AE$3,$G197,0)-IF($H197=AE$3,$J197,0)</f>
        <v/>
      </c>
      <c r="AF197" s="47">
        <f>IF($E197=AF$3,$G197,0)-IF($H197=AF$3,$J197,0)</f>
        <v/>
      </c>
      <c r="AG197" s="47">
        <f>IF($E197=AG$3,$G197,0)-IF($H197=AG$3,$J197,0)</f>
        <v/>
      </c>
      <c r="AH197" s="47">
        <f>IF($E197=AH$3,$G197,0)-IF($H197=AH$3,$J197,0)</f>
        <v/>
      </c>
      <c r="AI197" s="47">
        <f>IF($E197=AI$3,$G197,0)-IF($H197=AI$3,$J197,0)</f>
        <v/>
      </c>
      <c r="AJ197" s="47">
        <f>IF($E197=AJ$3,$G197,0)-IF($H197=AJ$3,$J197,0)</f>
        <v/>
      </c>
      <c r="AK197" s="47">
        <f>IF($E197=AK$3,$G197,0)-IF($H197=AK$3,$J197,0)</f>
        <v/>
      </c>
      <c r="AL197" s="48">
        <f>IF($E197=AL$3,$G197,0)-IF($H197=AL$3,$J197,0)</f>
        <v/>
      </c>
      <c r="AM197" s="46">
        <f>-IF($E197=AM$3,$G197,0)+IF($H197=AM$3,$J197,0)</f>
        <v/>
      </c>
      <c r="AN197" s="47">
        <f>-IF($E197=AN$3,$G197,0)+IF($H197=AN$3,$J197,0)</f>
        <v/>
      </c>
      <c r="AO197" s="48">
        <f>-IF($E197=AO$3,$G197,0)+IF($H197=AO$3,$J197,0)</f>
        <v/>
      </c>
      <c r="AP197" s="46">
        <f>IF($E197=AP$3,$G197,0)-IF($H197=AP$3,$J197,0)</f>
        <v/>
      </c>
      <c r="AQ197" s="47">
        <f>IF($E197=AQ$3,$G197,0)-IF($H197=AQ$3,$J197,0)</f>
        <v/>
      </c>
      <c r="AR197" s="47">
        <f>IF($E197=AR$3,$G197,0)-IF($H197=AR$3,$J197,0)</f>
        <v/>
      </c>
      <c r="AS197" s="47">
        <f>IF($E197=AS$3,$G197,0)-IF($H197=AS$3,$J197,0)</f>
        <v/>
      </c>
      <c r="AT197" s="47">
        <f>IF($E197=AT$3,$G197,0)-IF($H197=AT$3,$J197,0)</f>
        <v/>
      </c>
      <c r="AU197" s="47">
        <f>IF($E197=AU$3,$G197,0)-IF($H197=AU$3,$J197,0)</f>
        <v/>
      </c>
      <c r="AV197" s="47">
        <f>IF($E197=AV$3,$G197,0)-IF($H197=AV$3,$J197,0)</f>
        <v/>
      </c>
      <c r="AW197" s="47">
        <f>IF($E197=AW$3,$G197,0)-IF($H197=AW$3,$J197,0)</f>
        <v/>
      </c>
      <c r="AX197" s="47">
        <f>IF($E197=AX$3,$G197,0)-IF($H197=AX$3,$J197,0)</f>
        <v/>
      </c>
      <c r="AY197" s="47">
        <f>IF($E197=AY$3,$G197,0)-IF($H197=AY$3,$J197,0)</f>
        <v/>
      </c>
      <c r="AZ197" s="47">
        <f>IF($E197=AZ$3,$G197,0)-IF($H197=AZ$3,$J197,0)</f>
        <v/>
      </c>
      <c r="BA197" s="47">
        <f>IF($E197=BA$3,$G197,0)-IF($H197=BA$3,$J197,0)</f>
        <v/>
      </c>
      <c r="BB197" s="47">
        <f>IF($E197=BB$3,$G197,0)-IF($H197=BB$3,$J197,0)</f>
        <v/>
      </c>
      <c r="BC197" s="47">
        <f>IF($E197=BC$3,$G197,0)-IF($H197=BC$3,$J197,0)</f>
        <v/>
      </c>
      <c r="BD197" s="47">
        <f>IF($E197=BD$3,$G197,0)-IF($H197=BD$3,$J197,0)</f>
        <v/>
      </c>
      <c r="BE197" s="47">
        <f>IF($E197=BE$3,$G197,0)-IF($H197=BE$3,$J197,0)</f>
        <v/>
      </c>
      <c r="BF197" s="47">
        <f>IF($E197=BF$3,$G197,0)-IF($H197=BF$3,$J197,0)</f>
        <v/>
      </c>
      <c r="BG197" s="47">
        <f>IF($E197=BG$3,$G197,0)-IF($H197=BG$3,$J197,0)</f>
        <v/>
      </c>
      <c r="BH197" s="47">
        <f>IF($E197=BH$3,$G197,0)-IF($H197=BH$3,$J197,0)</f>
        <v/>
      </c>
      <c r="BI197" s="47">
        <f>IF($E197=BI$3,$G197,0)-IF($H197=BI$3,$J197,0)</f>
        <v/>
      </c>
      <c r="BJ197" s="47">
        <f>IF($E197=BJ$3,$G197,0)-IF($H197=BJ$3,$J197,0)</f>
        <v/>
      </c>
      <c r="BK197" s="47">
        <f>IF($E197=BK$3,$G197,0)-IF($H197=BK$3,$J197,0)</f>
        <v/>
      </c>
      <c r="BL197" s="46">
        <f>-IF($E197=BL$3,$G197,0)+IF($H197=BL$3,$J197,0)</f>
        <v/>
      </c>
      <c r="BM197" s="47">
        <f>-IF($E197=BM$3,$G197,0)+IF($H197=BM$3,$J197,0)</f>
        <v/>
      </c>
      <c r="BN197" s="47">
        <f>-IF($E197=BN$3,$G197,0)+IF($H197=BN$3,$J197,0)</f>
        <v/>
      </c>
      <c r="BO197" s="47">
        <f>-IF($E197=BO$3,$G197,0)+IF($H197=BO$3,$J197,0)</f>
        <v/>
      </c>
      <c r="BP197" s="47">
        <f>-IF($E197=BP$3,$G197,0)+IF($H197=BP$3,$J197,0)</f>
        <v/>
      </c>
      <c r="BQ197" s="47">
        <f>-IF($E197=BQ$3,$G197,0)+IF($H197=BQ$3,$J197,0)</f>
        <v/>
      </c>
      <c r="BR197" s="47">
        <f>-IF($E197=BR$3,$G197,0)+IF($H197=BR$3,$J197,0)</f>
        <v/>
      </c>
      <c r="BS197" s="47">
        <f>-IF($E197=BS$3,$G197,0)+IF($H197=BS$3,$J197,0)</f>
        <v/>
      </c>
      <c r="BT197" s="47">
        <f>-IF($E197=BT$3,$G197,0)+IF($H197=BT$3,$J197,0)</f>
        <v/>
      </c>
      <c r="BU197" s="46">
        <f>+G197-J197</f>
        <v/>
      </c>
      <c r="BV197" s="48">
        <f>-IF($E197=BV$3,$G197,0)+IF($H197=BV$3,$J197,0)</f>
        <v/>
      </c>
      <c r="BW197" s="3" t="n"/>
    </row>
    <row r="198" ht="15.75" customHeight="1" s="214">
      <c r="A198" s="7" t="n"/>
      <c r="B198" s="8" t="n"/>
      <c r="C198" s="9" t="n"/>
      <c r="D198" s="10" t="n"/>
      <c r="E198" s="247" t="n"/>
      <c r="F198" s="11">
        <f>IF(E198="","",IF(ISNA(VLOOKUP(E198,科目コード表!$C$4:$D$67,2,FALSE)),"該当科目なし",VLOOKUP(E198,科目コード表!$C$4:$D$67,2,FALSE)))</f>
        <v/>
      </c>
      <c r="G198" s="38" t="n"/>
      <c r="H198" s="248" t="n"/>
      <c r="I198" s="11">
        <f>IF(H198="","",IF(ISNA(VLOOKUP(H198,科目コード表!$C$4:$D$67,2,FALSE)),"該当科目なし",VLOOKUP(H198,科目コード表!$C$4:$D$67,2,FALSE)))</f>
        <v/>
      </c>
      <c r="J198" s="40" t="n"/>
      <c r="L198" s="46">
        <f>IF($E198=L$3,$G198,0)-IF($H198=L$3,$J198,0)</f>
        <v/>
      </c>
      <c r="M198" s="47">
        <f>IF($E198=M$3,$G198,0)-IF($H198=M$3,$J198,0)</f>
        <v/>
      </c>
      <c r="N198" s="47">
        <f>IF($E198=N$3,$G198,0)-IF($H198=N$3,$J198,0)</f>
        <v/>
      </c>
      <c r="O198" s="47">
        <f>IF($E198=O$3,$G198,0)-IF($H198=O$3,$J198,0)</f>
        <v/>
      </c>
      <c r="P198" s="47">
        <f>IF($E198=P$3,$G198,0)-IF($H198=P$3,$J198,0)</f>
        <v/>
      </c>
      <c r="Q198" s="47">
        <f>IF($E198=Q$3,$G198,0)-IF($H198=Q$3,$J198,0)</f>
        <v/>
      </c>
      <c r="R198" s="47">
        <f>IF($E198=R$3,$G198,0)-IF($H198=R$3,$J198,0)</f>
        <v/>
      </c>
      <c r="S198" s="47">
        <f>IF($E198=S$3,$G198,0)-IF($H198=S$3,$J198,0)</f>
        <v/>
      </c>
      <c r="T198" s="47">
        <f>IF($E198=T$3,$G198,0)-IF($H198=T$3,$J198,0)</f>
        <v/>
      </c>
      <c r="U198" s="47">
        <f>IF($E198=U$3,$G198,0)-IF($H198=U$3,$J198,0)</f>
        <v/>
      </c>
      <c r="V198" s="47">
        <f>IF($E198=V$3,$G198,0)-IF($H198=V$3,$J198,0)</f>
        <v/>
      </c>
      <c r="W198" s="47">
        <f>IF($E198=W$3,$G198,0)-IF($H198=W$3,$J198,0)</f>
        <v/>
      </c>
      <c r="X198" s="47">
        <f>IF($E198=X$3,$G198,0)-IF($H198=X$3,$J198,0)</f>
        <v/>
      </c>
      <c r="Y198" s="47">
        <f>IF($E198=Y$3,$G198,0)-IF($H198=Y$3,$J198,0)</f>
        <v/>
      </c>
      <c r="Z198" s="47">
        <f>IF($E198=Z$3,$G198,0)-IF($H198=Z$3,$J198,0)</f>
        <v/>
      </c>
      <c r="AA198" s="47">
        <f>IF($E198=AA$3,$G198,0)-IF($H198=AA$3,$J198,0)</f>
        <v/>
      </c>
      <c r="AB198" s="47">
        <f>IF($E198=AB$3,$G198,0)-IF($H198=AB$3,$J198,0)</f>
        <v/>
      </c>
      <c r="AC198" s="47">
        <f>IF($E198=AC$3,$G198,0)-IF($H198=AC$3,$J198,0)</f>
        <v/>
      </c>
      <c r="AD198" s="47">
        <f>IF($E198=AD$3,$G198,0)-IF($H198=AD$3,$J198,0)</f>
        <v/>
      </c>
      <c r="AE198" s="47">
        <f>IF($E198=AE$3,$G198,0)-IF($H198=AE$3,$J198,0)</f>
        <v/>
      </c>
      <c r="AF198" s="47">
        <f>IF($E198=AF$3,$G198,0)-IF($H198=AF$3,$J198,0)</f>
        <v/>
      </c>
      <c r="AG198" s="47">
        <f>IF($E198=AG$3,$G198,0)-IF($H198=AG$3,$J198,0)</f>
        <v/>
      </c>
      <c r="AH198" s="47">
        <f>IF($E198=AH$3,$G198,0)-IF($H198=AH$3,$J198,0)</f>
        <v/>
      </c>
      <c r="AI198" s="47">
        <f>IF($E198=AI$3,$G198,0)-IF($H198=AI$3,$J198,0)</f>
        <v/>
      </c>
      <c r="AJ198" s="47">
        <f>IF($E198=AJ$3,$G198,0)-IF($H198=AJ$3,$J198,0)</f>
        <v/>
      </c>
      <c r="AK198" s="47">
        <f>IF($E198=AK$3,$G198,0)-IF($H198=AK$3,$J198,0)</f>
        <v/>
      </c>
      <c r="AL198" s="48">
        <f>IF($E198=AL$3,$G198,0)-IF($H198=AL$3,$J198,0)</f>
        <v/>
      </c>
      <c r="AM198" s="46">
        <f>-IF($E198=AM$3,$G198,0)+IF($H198=AM$3,$J198,0)</f>
        <v/>
      </c>
      <c r="AN198" s="47">
        <f>-IF($E198=AN$3,$G198,0)+IF($H198=AN$3,$J198,0)</f>
        <v/>
      </c>
      <c r="AO198" s="48">
        <f>-IF($E198=AO$3,$G198,0)+IF($H198=AO$3,$J198,0)</f>
        <v/>
      </c>
      <c r="AP198" s="46">
        <f>IF($E198=AP$3,$G198,0)-IF($H198=AP$3,$J198,0)</f>
        <v/>
      </c>
      <c r="AQ198" s="47">
        <f>IF($E198=AQ$3,$G198,0)-IF($H198=AQ$3,$J198,0)</f>
        <v/>
      </c>
      <c r="AR198" s="47">
        <f>IF($E198=AR$3,$G198,0)-IF($H198=AR$3,$J198,0)</f>
        <v/>
      </c>
      <c r="AS198" s="47">
        <f>IF($E198=AS$3,$G198,0)-IF($H198=AS$3,$J198,0)</f>
        <v/>
      </c>
      <c r="AT198" s="47">
        <f>IF($E198=AT$3,$G198,0)-IF($H198=AT$3,$J198,0)</f>
        <v/>
      </c>
      <c r="AU198" s="47">
        <f>IF($E198=AU$3,$G198,0)-IF($H198=AU$3,$J198,0)</f>
        <v/>
      </c>
      <c r="AV198" s="47">
        <f>IF($E198=AV$3,$G198,0)-IF($H198=AV$3,$J198,0)</f>
        <v/>
      </c>
      <c r="AW198" s="47">
        <f>IF($E198=AW$3,$G198,0)-IF($H198=AW$3,$J198,0)</f>
        <v/>
      </c>
      <c r="AX198" s="47">
        <f>IF($E198=AX$3,$G198,0)-IF($H198=AX$3,$J198,0)</f>
        <v/>
      </c>
      <c r="AY198" s="47">
        <f>IF($E198=AY$3,$G198,0)-IF($H198=AY$3,$J198,0)</f>
        <v/>
      </c>
      <c r="AZ198" s="47">
        <f>IF($E198=AZ$3,$G198,0)-IF($H198=AZ$3,$J198,0)</f>
        <v/>
      </c>
      <c r="BA198" s="47">
        <f>IF($E198=BA$3,$G198,0)-IF($H198=BA$3,$J198,0)</f>
        <v/>
      </c>
      <c r="BB198" s="47">
        <f>IF($E198=BB$3,$G198,0)-IF($H198=BB$3,$J198,0)</f>
        <v/>
      </c>
      <c r="BC198" s="47">
        <f>IF($E198=BC$3,$G198,0)-IF($H198=BC$3,$J198,0)</f>
        <v/>
      </c>
      <c r="BD198" s="47">
        <f>IF($E198=BD$3,$G198,0)-IF($H198=BD$3,$J198,0)</f>
        <v/>
      </c>
      <c r="BE198" s="47">
        <f>IF($E198=BE$3,$G198,0)-IF($H198=BE$3,$J198,0)</f>
        <v/>
      </c>
      <c r="BF198" s="47">
        <f>IF($E198=BF$3,$G198,0)-IF($H198=BF$3,$J198,0)</f>
        <v/>
      </c>
      <c r="BG198" s="47">
        <f>IF($E198=BG$3,$G198,0)-IF($H198=BG$3,$J198,0)</f>
        <v/>
      </c>
      <c r="BH198" s="47">
        <f>IF($E198=BH$3,$G198,0)-IF($H198=BH$3,$J198,0)</f>
        <v/>
      </c>
      <c r="BI198" s="47">
        <f>IF($E198=BI$3,$G198,0)-IF($H198=BI$3,$J198,0)</f>
        <v/>
      </c>
      <c r="BJ198" s="47">
        <f>IF($E198=BJ$3,$G198,0)-IF($H198=BJ$3,$J198,0)</f>
        <v/>
      </c>
      <c r="BK198" s="47">
        <f>IF($E198=BK$3,$G198,0)-IF($H198=BK$3,$J198,0)</f>
        <v/>
      </c>
      <c r="BL198" s="46">
        <f>-IF($E198=BL$3,$G198,0)+IF($H198=BL$3,$J198,0)</f>
        <v/>
      </c>
      <c r="BM198" s="47">
        <f>-IF($E198=BM$3,$G198,0)+IF($H198=BM$3,$J198,0)</f>
        <v/>
      </c>
      <c r="BN198" s="47">
        <f>-IF($E198=BN$3,$G198,0)+IF($H198=BN$3,$J198,0)</f>
        <v/>
      </c>
      <c r="BO198" s="47">
        <f>-IF($E198=BO$3,$G198,0)+IF($H198=BO$3,$J198,0)</f>
        <v/>
      </c>
      <c r="BP198" s="47">
        <f>-IF($E198=BP$3,$G198,0)+IF($H198=BP$3,$J198,0)</f>
        <v/>
      </c>
      <c r="BQ198" s="47">
        <f>-IF($E198=BQ$3,$G198,0)+IF($H198=BQ$3,$J198,0)</f>
        <v/>
      </c>
      <c r="BR198" s="47">
        <f>-IF($E198=BR$3,$G198,0)+IF($H198=BR$3,$J198,0)</f>
        <v/>
      </c>
      <c r="BS198" s="47">
        <f>-IF($E198=BS$3,$G198,0)+IF($H198=BS$3,$J198,0)</f>
        <v/>
      </c>
      <c r="BT198" s="47">
        <f>-IF($E198=BT$3,$G198,0)+IF($H198=BT$3,$J198,0)</f>
        <v/>
      </c>
      <c r="BU198" s="46">
        <f>+G198-J198</f>
        <v/>
      </c>
      <c r="BV198" s="48">
        <f>-IF($E198=BV$3,$G198,0)+IF($H198=BV$3,$J198,0)</f>
        <v/>
      </c>
      <c r="BW198" s="3" t="n"/>
    </row>
    <row r="199" ht="15.75" customHeight="1" s="214">
      <c r="A199" s="7" t="n"/>
      <c r="B199" s="8" t="n"/>
      <c r="C199" s="9" t="n"/>
      <c r="D199" s="10" t="n"/>
      <c r="E199" s="247" t="n"/>
      <c r="F199" s="11">
        <f>IF(E199="","",IF(ISNA(VLOOKUP(E199,科目コード表!$C$4:$D$67,2,FALSE)),"該当科目なし",VLOOKUP(E199,科目コード表!$C$4:$D$67,2,FALSE)))</f>
        <v/>
      </c>
      <c r="G199" s="38" t="n"/>
      <c r="H199" s="248" t="n"/>
      <c r="I199" s="11">
        <f>IF(H199="","",IF(ISNA(VLOOKUP(H199,科目コード表!$C$4:$D$67,2,FALSE)),"該当科目なし",VLOOKUP(H199,科目コード表!$C$4:$D$67,2,FALSE)))</f>
        <v/>
      </c>
      <c r="J199" s="40" t="n"/>
      <c r="L199" s="46">
        <f>IF($E199=L$3,$G199,0)-IF($H199=L$3,$J199,0)</f>
        <v/>
      </c>
      <c r="M199" s="47">
        <f>IF($E199=M$3,$G199,0)-IF($H199=M$3,$J199,0)</f>
        <v/>
      </c>
      <c r="N199" s="47">
        <f>IF($E199=N$3,$G199,0)-IF($H199=N$3,$J199,0)</f>
        <v/>
      </c>
      <c r="O199" s="47">
        <f>IF($E199=O$3,$G199,0)-IF($H199=O$3,$J199,0)</f>
        <v/>
      </c>
      <c r="P199" s="47">
        <f>IF($E199=P$3,$G199,0)-IF($H199=P$3,$J199,0)</f>
        <v/>
      </c>
      <c r="Q199" s="47">
        <f>IF($E199=Q$3,$G199,0)-IF($H199=Q$3,$J199,0)</f>
        <v/>
      </c>
      <c r="R199" s="47">
        <f>IF($E199=R$3,$G199,0)-IF($H199=R$3,$J199,0)</f>
        <v/>
      </c>
      <c r="S199" s="47">
        <f>IF($E199=S$3,$G199,0)-IF($H199=S$3,$J199,0)</f>
        <v/>
      </c>
      <c r="T199" s="47">
        <f>IF($E199=T$3,$G199,0)-IF($H199=T$3,$J199,0)</f>
        <v/>
      </c>
      <c r="U199" s="47">
        <f>IF($E199=U$3,$G199,0)-IF($H199=U$3,$J199,0)</f>
        <v/>
      </c>
      <c r="V199" s="47">
        <f>IF($E199=V$3,$G199,0)-IF($H199=V$3,$J199,0)</f>
        <v/>
      </c>
      <c r="W199" s="47">
        <f>IF($E199=W$3,$G199,0)-IF($H199=W$3,$J199,0)</f>
        <v/>
      </c>
      <c r="X199" s="47">
        <f>IF($E199=X$3,$G199,0)-IF($H199=X$3,$J199,0)</f>
        <v/>
      </c>
      <c r="Y199" s="47">
        <f>IF($E199=Y$3,$G199,0)-IF($H199=Y$3,$J199,0)</f>
        <v/>
      </c>
      <c r="Z199" s="47">
        <f>IF($E199=Z$3,$G199,0)-IF($H199=Z$3,$J199,0)</f>
        <v/>
      </c>
      <c r="AA199" s="47">
        <f>IF($E199=AA$3,$G199,0)-IF($H199=AA$3,$J199,0)</f>
        <v/>
      </c>
      <c r="AB199" s="47">
        <f>IF($E199=AB$3,$G199,0)-IF($H199=AB$3,$J199,0)</f>
        <v/>
      </c>
      <c r="AC199" s="47">
        <f>IF($E199=AC$3,$G199,0)-IF($H199=AC$3,$J199,0)</f>
        <v/>
      </c>
      <c r="AD199" s="47">
        <f>IF($E199=AD$3,$G199,0)-IF($H199=AD$3,$J199,0)</f>
        <v/>
      </c>
      <c r="AE199" s="47">
        <f>IF($E199=AE$3,$G199,0)-IF($H199=AE$3,$J199,0)</f>
        <v/>
      </c>
      <c r="AF199" s="47">
        <f>IF($E199=AF$3,$G199,0)-IF($H199=AF$3,$J199,0)</f>
        <v/>
      </c>
      <c r="AG199" s="47">
        <f>IF($E199=AG$3,$G199,0)-IF($H199=AG$3,$J199,0)</f>
        <v/>
      </c>
      <c r="AH199" s="47">
        <f>IF($E199=AH$3,$G199,0)-IF($H199=AH$3,$J199,0)</f>
        <v/>
      </c>
      <c r="AI199" s="47">
        <f>IF($E199=AI$3,$G199,0)-IF($H199=AI$3,$J199,0)</f>
        <v/>
      </c>
      <c r="AJ199" s="47">
        <f>IF($E199=AJ$3,$G199,0)-IF($H199=AJ$3,$J199,0)</f>
        <v/>
      </c>
      <c r="AK199" s="47">
        <f>IF($E199=AK$3,$G199,0)-IF($H199=AK$3,$J199,0)</f>
        <v/>
      </c>
      <c r="AL199" s="48">
        <f>IF($E199=AL$3,$G199,0)-IF($H199=AL$3,$J199,0)</f>
        <v/>
      </c>
      <c r="AM199" s="46">
        <f>-IF($E199=AM$3,$G199,0)+IF($H199=AM$3,$J199,0)</f>
        <v/>
      </c>
      <c r="AN199" s="47">
        <f>-IF($E199=AN$3,$G199,0)+IF($H199=AN$3,$J199,0)</f>
        <v/>
      </c>
      <c r="AO199" s="48">
        <f>-IF($E199=AO$3,$G199,0)+IF($H199=AO$3,$J199,0)</f>
        <v/>
      </c>
      <c r="AP199" s="46">
        <f>IF($E199=AP$3,$G199,0)-IF($H199=AP$3,$J199,0)</f>
        <v/>
      </c>
      <c r="AQ199" s="47">
        <f>IF($E199=AQ$3,$G199,0)-IF($H199=AQ$3,$J199,0)</f>
        <v/>
      </c>
      <c r="AR199" s="47">
        <f>IF($E199=AR$3,$G199,0)-IF($H199=AR$3,$J199,0)</f>
        <v/>
      </c>
      <c r="AS199" s="47">
        <f>IF($E199=AS$3,$G199,0)-IF($H199=AS$3,$J199,0)</f>
        <v/>
      </c>
      <c r="AT199" s="47">
        <f>IF($E199=AT$3,$G199,0)-IF($H199=AT$3,$J199,0)</f>
        <v/>
      </c>
      <c r="AU199" s="47">
        <f>IF($E199=AU$3,$G199,0)-IF($H199=AU$3,$J199,0)</f>
        <v/>
      </c>
      <c r="AV199" s="47">
        <f>IF($E199=AV$3,$G199,0)-IF($H199=AV$3,$J199,0)</f>
        <v/>
      </c>
      <c r="AW199" s="47">
        <f>IF($E199=AW$3,$G199,0)-IF($H199=AW$3,$J199,0)</f>
        <v/>
      </c>
      <c r="AX199" s="47">
        <f>IF($E199=AX$3,$G199,0)-IF($H199=AX$3,$J199,0)</f>
        <v/>
      </c>
      <c r="AY199" s="47">
        <f>IF($E199=AY$3,$G199,0)-IF($H199=AY$3,$J199,0)</f>
        <v/>
      </c>
      <c r="AZ199" s="47">
        <f>IF($E199=AZ$3,$G199,0)-IF($H199=AZ$3,$J199,0)</f>
        <v/>
      </c>
      <c r="BA199" s="47">
        <f>IF($E199=BA$3,$G199,0)-IF($H199=BA$3,$J199,0)</f>
        <v/>
      </c>
      <c r="BB199" s="47">
        <f>IF($E199=BB$3,$G199,0)-IF($H199=BB$3,$J199,0)</f>
        <v/>
      </c>
      <c r="BC199" s="47">
        <f>IF($E199=BC$3,$G199,0)-IF($H199=BC$3,$J199,0)</f>
        <v/>
      </c>
      <c r="BD199" s="47">
        <f>IF($E199=BD$3,$G199,0)-IF($H199=BD$3,$J199,0)</f>
        <v/>
      </c>
      <c r="BE199" s="47">
        <f>IF($E199=BE$3,$G199,0)-IF($H199=BE$3,$J199,0)</f>
        <v/>
      </c>
      <c r="BF199" s="47">
        <f>IF($E199=BF$3,$G199,0)-IF($H199=BF$3,$J199,0)</f>
        <v/>
      </c>
      <c r="BG199" s="47">
        <f>IF($E199=BG$3,$G199,0)-IF($H199=BG$3,$J199,0)</f>
        <v/>
      </c>
      <c r="BH199" s="47">
        <f>IF($E199=BH$3,$G199,0)-IF($H199=BH$3,$J199,0)</f>
        <v/>
      </c>
      <c r="BI199" s="47">
        <f>IF($E199=BI$3,$G199,0)-IF($H199=BI$3,$J199,0)</f>
        <v/>
      </c>
      <c r="BJ199" s="47">
        <f>IF($E199=BJ$3,$G199,0)-IF($H199=BJ$3,$J199,0)</f>
        <v/>
      </c>
      <c r="BK199" s="47">
        <f>IF($E199=BK$3,$G199,0)-IF($H199=BK$3,$J199,0)</f>
        <v/>
      </c>
      <c r="BL199" s="46">
        <f>-IF($E199=BL$3,$G199,0)+IF($H199=BL$3,$J199,0)</f>
        <v/>
      </c>
      <c r="BM199" s="47">
        <f>-IF($E199=BM$3,$G199,0)+IF($H199=BM$3,$J199,0)</f>
        <v/>
      </c>
      <c r="BN199" s="47">
        <f>-IF($E199=BN$3,$G199,0)+IF($H199=BN$3,$J199,0)</f>
        <v/>
      </c>
      <c r="BO199" s="47">
        <f>-IF($E199=BO$3,$G199,0)+IF($H199=BO$3,$J199,0)</f>
        <v/>
      </c>
      <c r="BP199" s="47">
        <f>-IF($E199=BP$3,$G199,0)+IF($H199=BP$3,$J199,0)</f>
        <v/>
      </c>
      <c r="BQ199" s="47">
        <f>-IF($E199=BQ$3,$G199,0)+IF($H199=BQ$3,$J199,0)</f>
        <v/>
      </c>
      <c r="BR199" s="47">
        <f>-IF($E199=BR$3,$G199,0)+IF($H199=BR$3,$J199,0)</f>
        <v/>
      </c>
      <c r="BS199" s="47">
        <f>-IF($E199=BS$3,$G199,0)+IF($H199=BS$3,$J199,0)</f>
        <v/>
      </c>
      <c r="BT199" s="47">
        <f>-IF($E199=BT$3,$G199,0)+IF($H199=BT$3,$J199,0)</f>
        <v/>
      </c>
      <c r="BU199" s="46">
        <f>+G199-J199</f>
        <v/>
      </c>
      <c r="BV199" s="48">
        <f>-IF($E199=BV$3,$G199,0)+IF($H199=BV$3,$J199,0)</f>
        <v/>
      </c>
      <c r="BW199" s="3" t="n"/>
    </row>
    <row r="200" ht="15.75" customHeight="1" s="214">
      <c r="A200" s="7" t="n"/>
      <c r="B200" s="8" t="n"/>
      <c r="C200" s="9" t="n"/>
      <c r="D200" s="10" t="n"/>
      <c r="E200" s="247" t="n"/>
      <c r="F200" s="11">
        <f>IF(E200="","",IF(ISNA(VLOOKUP(E200,科目コード表!$C$4:$D$67,2,FALSE)),"該当科目なし",VLOOKUP(E200,科目コード表!$C$4:$D$67,2,FALSE)))</f>
        <v/>
      </c>
      <c r="G200" s="38" t="n"/>
      <c r="H200" s="248" t="n"/>
      <c r="I200" s="11">
        <f>IF(H200="","",IF(ISNA(VLOOKUP(H200,科目コード表!$C$4:$D$67,2,FALSE)),"該当科目なし",VLOOKUP(H200,科目コード表!$C$4:$D$67,2,FALSE)))</f>
        <v/>
      </c>
      <c r="J200" s="40" t="n"/>
      <c r="L200" s="46">
        <f>IF($E200=L$3,$G200,0)-IF($H200=L$3,$J200,0)</f>
        <v/>
      </c>
      <c r="M200" s="47">
        <f>IF($E200=M$3,$G200,0)-IF($H200=M$3,$J200,0)</f>
        <v/>
      </c>
      <c r="N200" s="47">
        <f>IF($E200=N$3,$G200,0)-IF($H200=N$3,$J200,0)</f>
        <v/>
      </c>
      <c r="O200" s="47">
        <f>IF($E200=O$3,$G200,0)-IF($H200=O$3,$J200,0)</f>
        <v/>
      </c>
      <c r="P200" s="47">
        <f>IF($E200=P$3,$G200,0)-IF($H200=P$3,$J200,0)</f>
        <v/>
      </c>
      <c r="Q200" s="47">
        <f>IF($E200=Q$3,$G200,0)-IF($H200=Q$3,$J200,0)</f>
        <v/>
      </c>
      <c r="R200" s="47">
        <f>IF($E200=R$3,$G200,0)-IF($H200=R$3,$J200,0)</f>
        <v/>
      </c>
      <c r="S200" s="47">
        <f>IF($E200=S$3,$G200,0)-IF($H200=S$3,$J200,0)</f>
        <v/>
      </c>
      <c r="T200" s="47">
        <f>IF($E200=T$3,$G200,0)-IF($H200=T$3,$J200,0)</f>
        <v/>
      </c>
      <c r="U200" s="47">
        <f>IF($E200=U$3,$G200,0)-IF($H200=U$3,$J200,0)</f>
        <v/>
      </c>
      <c r="V200" s="47">
        <f>IF($E200=V$3,$G200,0)-IF($H200=V$3,$J200,0)</f>
        <v/>
      </c>
      <c r="W200" s="47">
        <f>IF($E200=W$3,$G200,0)-IF($H200=W$3,$J200,0)</f>
        <v/>
      </c>
      <c r="X200" s="47">
        <f>IF($E200=X$3,$G200,0)-IF($H200=X$3,$J200,0)</f>
        <v/>
      </c>
      <c r="Y200" s="47">
        <f>IF($E200=Y$3,$G200,0)-IF($H200=Y$3,$J200,0)</f>
        <v/>
      </c>
      <c r="Z200" s="47">
        <f>IF($E200=Z$3,$G200,0)-IF($H200=Z$3,$J200,0)</f>
        <v/>
      </c>
      <c r="AA200" s="47">
        <f>IF($E200=AA$3,$G200,0)-IF($H200=AA$3,$J200,0)</f>
        <v/>
      </c>
      <c r="AB200" s="47">
        <f>IF($E200=AB$3,$G200,0)-IF($H200=AB$3,$J200,0)</f>
        <v/>
      </c>
      <c r="AC200" s="47">
        <f>IF($E200=AC$3,$G200,0)-IF($H200=AC$3,$J200,0)</f>
        <v/>
      </c>
      <c r="AD200" s="47">
        <f>IF($E200=AD$3,$G200,0)-IF($H200=AD$3,$J200,0)</f>
        <v/>
      </c>
      <c r="AE200" s="47">
        <f>IF($E200=AE$3,$G200,0)-IF($H200=AE$3,$J200,0)</f>
        <v/>
      </c>
      <c r="AF200" s="47">
        <f>IF($E200=AF$3,$G200,0)-IF($H200=AF$3,$J200,0)</f>
        <v/>
      </c>
      <c r="AG200" s="47">
        <f>IF($E200=AG$3,$G200,0)-IF($H200=AG$3,$J200,0)</f>
        <v/>
      </c>
      <c r="AH200" s="47">
        <f>IF($E200=AH$3,$G200,0)-IF($H200=AH$3,$J200,0)</f>
        <v/>
      </c>
      <c r="AI200" s="47">
        <f>IF($E200=AI$3,$G200,0)-IF($H200=AI$3,$J200,0)</f>
        <v/>
      </c>
      <c r="AJ200" s="47">
        <f>IF($E200=AJ$3,$G200,0)-IF($H200=AJ$3,$J200,0)</f>
        <v/>
      </c>
      <c r="AK200" s="47">
        <f>IF($E200=AK$3,$G200,0)-IF($H200=AK$3,$J200,0)</f>
        <v/>
      </c>
      <c r="AL200" s="48">
        <f>IF($E200=AL$3,$G200,0)-IF($H200=AL$3,$J200,0)</f>
        <v/>
      </c>
      <c r="AM200" s="46">
        <f>-IF($E200=AM$3,$G200,0)+IF($H200=AM$3,$J200,0)</f>
        <v/>
      </c>
      <c r="AN200" s="47">
        <f>-IF($E200=AN$3,$G200,0)+IF($H200=AN$3,$J200,0)</f>
        <v/>
      </c>
      <c r="AO200" s="48">
        <f>-IF($E200=AO$3,$G200,0)+IF($H200=AO$3,$J200,0)</f>
        <v/>
      </c>
      <c r="AP200" s="46">
        <f>IF($E200=AP$3,$G200,0)-IF($H200=AP$3,$J200,0)</f>
        <v/>
      </c>
      <c r="AQ200" s="47">
        <f>IF($E200=AQ$3,$G200,0)-IF($H200=AQ$3,$J200,0)</f>
        <v/>
      </c>
      <c r="AR200" s="47">
        <f>IF($E200=AR$3,$G200,0)-IF($H200=AR$3,$J200,0)</f>
        <v/>
      </c>
      <c r="AS200" s="47">
        <f>IF($E200=AS$3,$G200,0)-IF($H200=AS$3,$J200,0)</f>
        <v/>
      </c>
      <c r="AT200" s="47">
        <f>IF($E200=AT$3,$G200,0)-IF($H200=AT$3,$J200,0)</f>
        <v/>
      </c>
      <c r="AU200" s="47">
        <f>IF($E200=AU$3,$G200,0)-IF($H200=AU$3,$J200,0)</f>
        <v/>
      </c>
      <c r="AV200" s="47">
        <f>IF($E200=AV$3,$G200,0)-IF($H200=AV$3,$J200,0)</f>
        <v/>
      </c>
      <c r="AW200" s="47">
        <f>IF($E200=AW$3,$G200,0)-IF($H200=AW$3,$J200,0)</f>
        <v/>
      </c>
      <c r="AX200" s="47">
        <f>IF($E200=AX$3,$G200,0)-IF($H200=AX$3,$J200,0)</f>
        <v/>
      </c>
      <c r="AY200" s="47">
        <f>IF($E200=AY$3,$G200,0)-IF($H200=AY$3,$J200,0)</f>
        <v/>
      </c>
      <c r="AZ200" s="47">
        <f>IF($E200=AZ$3,$G200,0)-IF($H200=AZ$3,$J200,0)</f>
        <v/>
      </c>
      <c r="BA200" s="47">
        <f>IF($E200=BA$3,$G200,0)-IF($H200=BA$3,$J200,0)</f>
        <v/>
      </c>
      <c r="BB200" s="47">
        <f>IF($E200=BB$3,$G200,0)-IF($H200=BB$3,$J200,0)</f>
        <v/>
      </c>
      <c r="BC200" s="47">
        <f>IF($E200=BC$3,$G200,0)-IF($H200=BC$3,$J200,0)</f>
        <v/>
      </c>
      <c r="BD200" s="47">
        <f>IF($E200=BD$3,$G200,0)-IF($H200=BD$3,$J200,0)</f>
        <v/>
      </c>
      <c r="BE200" s="47">
        <f>IF($E200=BE$3,$G200,0)-IF($H200=BE$3,$J200,0)</f>
        <v/>
      </c>
      <c r="BF200" s="47">
        <f>IF($E200=BF$3,$G200,0)-IF($H200=BF$3,$J200,0)</f>
        <v/>
      </c>
      <c r="BG200" s="47">
        <f>IF($E200=BG$3,$G200,0)-IF($H200=BG$3,$J200,0)</f>
        <v/>
      </c>
      <c r="BH200" s="47">
        <f>IF($E200=BH$3,$G200,0)-IF($H200=BH$3,$J200,0)</f>
        <v/>
      </c>
      <c r="BI200" s="47">
        <f>IF($E200=BI$3,$G200,0)-IF($H200=BI$3,$J200,0)</f>
        <v/>
      </c>
      <c r="BJ200" s="47">
        <f>IF($E200=BJ$3,$G200,0)-IF($H200=BJ$3,$J200,0)</f>
        <v/>
      </c>
      <c r="BK200" s="47">
        <f>IF($E200=BK$3,$G200,0)-IF($H200=BK$3,$J200,0)</f>
        <v/>
      </c>
      <c r="BL200" s="46">
        <f>-IF($E200=BL$3,$G200,0)+IF($H200=BL$3,$J200,0)</f>
        <v/>
      </c>
      <c r="BM200" s="47">
        <f>-IF($E200=BM$3,$G200,0)+IF($H200=BM$3,$J200,0)</f>
        <v/>
      </c>
      <c r="BN200" s="47">
        <f>-IF($E200=BN$3,$G200,0)+IF($H200=BN$3,$J200,0)</f>
        <v/>
      </c>
      <c r="BO200" s="47">
        <f>-IF($E200=BO$3,$G200,0)+IF($H200=BO$3,$J200,0)</f>
        <v/>
      </c>
      <c r="BP200" s="47">
        <f>-IF($E200=BP$3,$G200,0)+IF($H200=BP$3,$J200,0)</f>
        <v/>
      </c>
      <c r="BQ200" s="47">
        <f>-IF($E200=BQ$3,$G200,0)+IF($H200=BQ$3,$J200,0)</f>
        <v/>
      </c>
      <c r="BR200" s="47">
        <f>-IF($E200=BR$3,$G200,0)+IF($H200=BR$3,$J200,0)</f>
        <v/>
      </c>
      <c r="BS200" s="47">
        <f>-IF($E200=BS$3,$G200,0)+IF($H200=BS$3,$J200,0)</f>
        <v/>
      </c>
      <c r="BT200" s="47">
        <f>-IF($E200=BT$3,$G200,0)+IF($H200=BT$3,$J200,0)</f>
        <v/>
      </c>
      <c r="BU200" s="46">
        <f>+G200-J200</f>
        <v/>
      </c>
      <c r="BV200" s="48">
        <f>-IF($E200=BV$3,$G200,0)+IF($H200=BV$3,$J200,0)</f>
        <v/>
      </c>
      <c r="BW200" s="3" t="n"/>
    </row>
    <row r="201" ht="15.75" customHeight="1" s="214">
      <c r="A201" s="7" t="n"/>
      <c r="B201" s="8" t="n"/>
      <c r="C201" s="9" t="n"/>
      <c r="D201" s="10" t="n"/>
      <c r="E201" s="247" t="n"/>
      <c r="F201" s="11">
        <f>IF(E201="","",IF(ISNA(VLOOKUP(E201,科目コード表!$C$4:$D$67,2,FALSE)),"該当科目なし",VLOOKUP(E201,科目コード表!$C$4:$D$67,2,FALSE)))</f>
        <v/>
      </c>
      <c r="G201" s="38" t="n"/>
      <c r="H201" s="248" t="n"/>
      <c r="I201" s="11">
        <f>IF(H201="","",IF(ISNA(VLOOKUP(H201,科目コード表!$C$4:$D$67,2,FALSE)),"該当科目なし",VLOOKUP(H201,科目コード表!$C$4:$D$67,2,FALSE)))</f>
        <v/>
      </c>
      <c r="J201" s="40" t="n"/>
      <c r="L201" s="46">
        <f>IF($E201=L$3,$G201,0)-IF($H201=L$3,$J201,0)</f>
        <v/>
      </c>
      <c r="M201" s="47">
        <f>IF($E201=M$3,$G201,0)-IF($H201=M$3,$J201,0)</f>
        <v/>
      </c>
      <c r="N201" s="47">
        <f>IF($E201=N$3,$G201,0)-IF($H201=N$3,$J201,0)</f>
        <v/>
      </c>
      <c r="O201" s="47">
        <f>IF($E201=O$3,$G201,0)-IF($H201=O$3,$J201,0)</f>
        <v/>
      </c>
      <c r="P201" s="47">
        <f>IF($E201=P$3,$G201,0)-IF($H201=P$3,$J201,0)</f>
        <v/>
      </c>
      <c r="Q201" s="47">
        <f>IF($E201=Q$3,$G201,0)-IF($H201=Q$3,$J201,0)</f>
        <v/>
      </c>
      <c r="R201" s="47">
        <f>IF($E201=R$3,$G201,0)-IF($H201=R$3,$J201,0)</f>
        <v/>
      </c>
      <c r="S201" s="47">
        <f>IF($E201=S$3,$G201,0)-IF($H201=S$3,$J201,0)</f>
        <v/>
      </c>
      <c r="T201" s="47">
        <f>IF($E201=T$3,$G201,0)-IF($H201=T$3,$J201,0)</f>
        <v/>
      </c>
      <c r="U201" s="47">
        <f>IF($E201=U$3,$G201,0)-IF($H201=U$3,$J201,0)</f>
        <v/>
      </c>
      <c r="V201" s="47">
        <f>IF($E201=V$3,$G201,0)-IF($H201=V$3,$J201,0)</f>
        <v/>
      </c>
      <c r="W201" s="47">
        <f>IF($E201=W$3,$G201,0)-IF($H201=W$3,$J201,0)</f>
        <v/>
      </c>
      <c r="X201" s="47">
        <f>IF($E201=X$3,$G201,0)-IF($H201=X$3,$J201,0)</f>
        <v/>
      </c>
      <c r="Y201" s="47">
        <f>IF($E201=Y$3,$G201,0)-IF($H201=Y$3,$J201,0)</f>
        <v/>
      </c>
      <c r="Z201" s="47">
        <f>IF($E201=Z$3,$G201,0)-IF($H201=Z$3,$J201,0)</f>
        <v/>
      </c>
      <c r="AA201" s="47">
        <f>IF($E201=AA$3,$G201,0)-IF($H201=AA$3,$J201,0)</f>
        <v/>
      </c>
      <c r="AB201" s="47">
        <f>IF($E201=AB$3,$G201,0)-IF($H201=AB$3,$J201,0)</f>
        <v/>
      </c>
      <c r="AC201" s="47">
        <f>IF($E201=AC$3,$G201,0)-IF($H201=AC$3,$J201,0)</f>
        <v/>
      </c>
      <c r="AD201" s="47">
        <f>IF($E201=AD$3,$G201,0)-IF($H201=AD$3,$J201,0)</f>
        <v/>
      </c>
      <c r="AE201" s="47">
        <f>IF($E201=AE$3,$G201,0)-IF($H201=AE$3,$J201,0)</f>
        <v/>
      </c>
      <c r="AF201" s="47">
        <f>IF($E201=AF$3,$G201,0)-IF($H201=AF$3,$J201,0)</f>
        <v/>
      </c>
      <c r="AG201" s="47">
        <f>IF($E201=AG$3,$G201,0)-IF($H201=AG$3,$J201,0)</f>
        <v/>
      </c>
      <c r="AH201" s="47">
        <f>IF($E201=AH$3,$G201,0)-IF($H201=AH$3,$J201,0)</f>
        <v/>
      </c>
      <c r="AI201" s="47">
        <f>IF($E201=AI$3,$G201,0)-IF($H201=AI$3,$J201,0)</f>
        <v/>
      </c>
      <c r="AJ201" s="47">
        <f>IF($E201=AJ$3,$G201,0)-IF($H201=AJ$3,$J201,0)</f>
        <v/>
      </c>
      <c r="AK201" s="47">
        <f>IF($E201=AK$3,$G201,0)-IF($H201=AK$3,$J201,0)</f>
        <v/>
      </c>
      <c r="AL201" s="48">
        <f>IF($E201=AL$3,$G201,0)-IF($H201=AL$3,$J201,0)</f>
        <v/>
      </c>
      <c r="AM201" s="46">
        <f>-IF($E201=AM$3,$G201,0)+IF($H201=AM$3,$J201,0)</f>
        <v/>
      </c>
      <c r="AN201" s="47">
        <f>-IF($E201=AN$3,$G201,0)+IF($H201=AN$3,$J201,0)</f>
        <v/>
      </c>
      <c r="AO201" s="48">
        <f>-IF($E201=AO$3,$G201,0)+IF($H201=AO$3,$J201,0)</f>
        <v/>
      </c>
      <c r="AP201" s="46">
        <f>IF($E201=AP$3,$G201,0)-IF($H201=AP$3,$J201,0)</f>
        <v/>
      </c>
      <c r="AQ201" s="47">
        <f>IF($E201=AQ$3,$G201,0)-IF($H201=AQ$3,$J201,0)</f>
        <v/>
      </c>
      <c r="AR201" s="47">
        <f>IF($E201=AR$3,$G201,0)-IF($H201=AR$3,$J201,0)</f>
        <v/>
      </c>
      <c r="AS201" s="47">
        <f>IF($E201=AS$3,$G201,0)-IF($H201=AS$3,$J201,0)</f>
        <v/>
      </c>
      <c r="AT201" s="47">
        <f>IF($E201=AT$3,$G201,0)-IF($H201=AT$3,$J201,0)</f>
        <v/>
      </c>
      <c r="AU201" s="47">
        <f>IF($E201=AU$3,$G201,0)-IF($H201=AU$3,$J201,0)</f>
        <v/>
      </c>
      <c r="AV201" s="47">
        <f>IF($E201=AV$3,$G201,0)-IF($H201=AV$3,$J201,0)</f>
        <v/>
      </c>
      <c r="AW201" s="47">
        <f>IF($E201=AW$3,$G201,0)-IF($H201=AW$3,$J201,0)</f>
        <v/>
      </c>
      <c r="AX201" s="47">
        <f>IF($E201=AX$3,$G201,0)-IF($H201=AX$3,$J201,0)</f>
        <v/>
      </c>
      <c r="AY201" s="47">
        <f>IF($E201=AY$3,$G201,0)-IF($H201=AY$3,$J201,0)</f>
        <v/>
      </c>
      <c r="AZ201" s="47">
        <f>IF($E201=AZ$3,$G201,0)-IF($H201=AZ$3,$J201,0)</f>
        <v/>
      </c>
      <c r="BA201" s="47">
        <f>IF($E201=BA$3,$G201,0)-IF($H201=BA$3,$J201,0)</f>
        <v/>
      </c>
      <c r="BB201" s="47">
        <f>IF($E201=BB$3,$G201,0)-IF($H201=BB$3,$J201,0)</f>
        <v/>
      </c>
      <c r="BC201" s="47">
        <f>IF($E201=BC$3,$G201,0)-IF($H201=BC$3,$J201,0)</f>
        <v/>
      </c>
      <c r="BD201" s="47">
        <f>IF($E201=BD$3,$G201,0)-IF($H201=BD$3,$J201,0)</f>
        <v/>
      </c>
      <c r="BE201" s="47">
        <f>IF($E201=BE$3,$G201,0)-IF($H201=BE$3,$J201,0)</f>
        <v/>
      </c>
      <c r="BF201" s="47">
        <f>IF($E201=BF$3,$G201,0)-IF($H201=BF$3,$J201,0)</f>
        <v/>
      </c>
      <c r="BG201" s="47">
        <f>IF($E201=BG$3,$G201,0)-IF($H201=BG$3,$J201,0)</f>
        <v/>
      </c>
      <c r="BH201" s="47">
        <f>IF($E201=BH$3,$G201,0)-IF($H201=BH$3,$J201,0)</f>
        <v/>
      </c>
      <c r="BI201" s="47">
        <f>IF($E201=BI$3,$G201,0)-IF($H201=BI$3,$J201,0)</f>
        <v/>
      </c>
      <c r="BJ201" s="47">
        <f>IF($E201=BJ$3,$G201,0)-IF($H201=BJ$3,$J201,0)</f>
        <v/>
      </c>
      <c r="BK201" s="47">
        <f>IF($E201=BK$3,$G201,0)-IF($H201=BK$3,$J201,0)</f>
        <v/>
      </c>
      <c r="BL201" s="46">
        <f>-IF($E201=BL$3,$G201,0)+IF($H201=BL$3,$J201,0)</f>
        <v/>
      </c>
      <c r="BM201" s="47">
        <f>-IF($E201=BM$3,$G201,0)+IF($H201=BM$3,$J201,0)</f>
        <v/>
      </c>
      <c r="BN201" s="47">
        <f>-IF($E201=BN$3,$G201,0)+IF($H201=BN$3,$J201,0)</f>
        <v/>
      </c>
      <c r="BO201" s="47">
        <f>-IF($E201=BO$3,$G201,0)+IF($H201=BO$3,$J201,0)</f>
        <v/>
      </c>
      <c r="BP201" s="47">
        <f>-IF($E201=BP$3,$G201,0)+IF($H201=BP$3,$J201,0)</f>
        <v/>
      </c>
      <c r="BQ201" s="47">
        <f>-IF($E201=BQ$3,$G201,0)+IF($H201=BQ$3,$J201,0)</f>
        <v/>
      </c>
      <c r="BR201" s="47">
        <f>-IF($E201=BR$3,$G201,0)+IF($H201=BR$3,$J201,0)</f>
        <v/>
      </c>
      <c r="BS201" s="47">
        <f>-IF($E201=BS$3,$G201,0)+IF($H201=BS$3,$J201,0)</f>
        <v/>
      </c>
      <c r="BT201" s="47">
        <f>-IF($E201=BT$3,$G201,0)+IF($H201=BT$3,$J201,0)</f>
        <v/>
      </c>
      <c r="BU201" s="46">
        <f>+G201-J201</f>
        <v/>
      </c>
      <c r="BV201" s="48">
        <f>-IF($E201=BV$3,$G201,0)+IF($H201=BV$3,$J201,0)</f>
        <v/>
      </c>
      <c r="BW201" s="3" t="n"/>
    </row>
    <row r="202" ht="15.75" customHeight="1" s="214">
      <c r="A202" s="7" t="n"/>
      <c r="B202" s="8" t="n"/>
      <c r="C202" s="9" t="n"/>
      <c r="D202" s="10" t="n"/>
      <c r="E202" s="247" t="n"/>
      <c r="F202" s="11">
        <f>IF(E202="","",IF(ISNA(VLOOKUP(E202,科目コード表!$C$4:$D$67,2,FALSE)),"該当科目なし",VLOOKUP(E202,科目コード表!$C$4:$D$67,2,FALSE)))</f>
        <v/>
      </c>
      <c r="G202" s="38" t="n"/>
      <c r="H202" s="248" t="n"/>
      <c r="I202" s="11">
        <f>IF(H202="","",IF(ISNA(VLOOKUP(H202,科目コード表!$C$4:$D$67,2,FALSE)),"該当科目なし",VLOOKUP(H202,科目コード表!$C$4:$D$67,2,FALSE)))</f>
        <v/>
      </c>
      <c r="J202" s="40" t="n"/>
      <c r="L202" s="46">
        <f>IF($E202=L$3,$G202,0)-IF($H202=L$3,$J202,0)</f>
        <v/>
      </c>
      <c r="M202" s="47">
        <f>IF($E202=M$3,$G202,0)-IF($H202=M$3,$J202,0)</f>
        <v/>
      </c>
      <c r="N202" s="47">
        <f>IF($E202=N$3,$G202,0)-IF($H202=N$3,$J202,0)</f>
        <v/>
      </c>
      <c r="O202" s="47">
        <f>IF($E202=O$3,$G202,0)-IF($H202=O$3,$J202,0)</f>
        <v/>
      </c>
      <c r="P202" s="47">
        <f>IF($E202=P$3,$G202,0)-IF($H202=P$3,$J202,0)</f>
        <v/>
      </c>
      <c r="Q202" s="47">
        <f>IF($E202=Q$3,$G202,0)-IF($H202=Q$3,$J202,0)</f>
        <v/>
      </c>
      <c r="R202" s="47">
        <f>IF($E202=R$3,$G202,0)-IF($H202=R$3,$J202,0)</f>
        <v/>
      </c>
      <c r="S202" s="47">
        <f>IF($E202=S$3,$G202,0)-IF($H202=S$3,$J202,0)</f>
        <v/>
      </c>
      <c r="T202" s="47">
        <f>IF($E202=T$3,$G202,0)-IF($H202=T$3,$J202,0)</f>
        <v/>
      </c>
      <c r="U202" s="47">
        <f>IF($E202=U$3,$G202,0)-IF($H202=U$3,$J202,0)</f>
        <v/>
      </c>
      <c r="V202" s="47">
        <f>IF($E202=V$3,$G202,0)-IF($H202=V$3,$J202,0)</f>
        <v/>
      </c>
      <c r="W202" s="47">
        <f>IF($E202=W$3,$G202,0)-IF($H202=W$3,$J202,0)</f>
        <v/>
      </c>
      <c r="X202" s="47">
        <f>IF($E202=X$3,$G202,0)-IF($H202=X$3,$J202,0)</f>
        <v/>
      </c>
      <c r="Y202" s="47">
        <f>IF($E202=Y$3,$G202,0)-IF($H202=Y$3,$J202,0)</f>
        <v/>
      </c>
      <c r="Z202" s="47">
        <f>IF($E202=Z$3,$G202,0)-IF($H202=Z$3,$J202,0)</f>
        <v/>
      </c>
      <c r="AA202" s="47">
        <f>IF($E202=AA$3,$G202,0)-IF($H202=AA$3,$J202,0)</f>
        <v/>
      </c>
      <c r="AB202" s="47">
        <f>IF($E202=AB$3,$G202,0)-IF($H202=AB$3,$J202,0)</f>
        <v/>
      </c>
      <c r="AC202" s="47">
        <f>IF($E202=AC$3,$G202,0)-IF($H202=AC$3,$J202,0)</f>
        <v/>
      </c>
      <c r="AD202" s="47">
        <f>IF($E202=AD$3,$G202,0)-IF($H202=AD$3,$J202,0)</f>
        <v/>
      </c>
      <c r="AE202" s="47">
        <f>IF($E202=AE$3,$G202,0)-IF($H202=AE$3,$J202,0)</f>
        <v/>
      </c>
      <c r="AF202" s="47">
        <f>IF($E202=AF$3,$G202,0)-IF($H202=AF$3,$J202,0)</f>
        <v/>
      </c>
      <c r="AG202" s="47">
        <f>IF($E202=AG$3,$G202,0)-IF($H202=AG$3,$J202,0)</f>
        <v/>
      </c>
      <c r="AH202" s="47">
        <f>IF($E202=AH$3,$G202,0)-IF($H202=AH$3,$J202,0)</f>
        <v/>
      </c>
      <c r="AI202" s="47">
        <f>IF($E202=AI$3,$G202,0)-IF($H202=AI$3,$J202,0)</f>
        <v/>
      </c>
      <c r="AJ202" s="47">
        <f>IF($E202=AJ$3,$G202,0)-IF($H202=AJ$3,$J202,0)</f>
        <v/>
      </c>
      <c r="AK202" s="47">
        <f>IF($E202=AK$3,$G202,0)-IF($H202=AK$3,$J202,0)</f>
        <v/>
      </c>
      <c r="AL202" s="48">
        <f>IF($E202=AL$3,$G202,0)-IF($H202=AL$3,$J202,0)</f>
        <v/>
      </c>
      <c r="AM202" s="46">
        <f>-IF($E202=AM$3,$G202,0)+IF($H202=AM$3,$J202,0)</f>
        <v/>
      </c>
      <c r="AN202" s="47">
        <f>-IF($E202=AN$3,$G202,0)+IF($H202=AN$3,$J202,0)</f>
        <v/>
      </c>
      <c r="AO202" s="48">
        <f>-IF($E202=AO$3,$G202,0)+IF($H202=AO$3,$J202,0)</f>
        <v/>
      </c>
      <c r="AP202" s="46">
        <f>IF($E202=AP$3,$G202,0)-IF($H202=AP$3,$J202,0)</f>
        <v/>
      </c>
      <c r="AQ202" s="47">
        <f>IF($E202=AQ$3,$G202,0)-IF($H202=AQ$3,$J202,0)</f>
        <v/>
      </c>
      <c r="AR202" s="47">
        <f>IF($E202=AR$3,$G202,0)-IF($H202=AR$3,$J202,0)</f>
        <v/>
      </c>
      <c r="AS202" s="47">
        <f>IF($E202=AS$3,$G202,0)-IF($H202=AS$3,$J202,0)</f>
        <v/>
      </c>
      <c r="AT202" s="47">
        <f>IF($E202=AT$3,$G202,0)-IF($H202=AT$3,$J202,0)</f>
        <v/>
      </c>
      <c r="AU202" s="47">
        <f>IF($E202=AU$3,$G202,0)-IF($H202=AU$3,$J202,0)</f>
        <v/>
      </c>
      <c r="AV202" s="47">
        <f>IF($E202=AV$3,$G202,0)-IF($H202=AV$3,$J202,0)</f>
        <v/>
      </c>
      <c r="AW202" s="47">
        <f>IF($E202=AW$3,$G202,0)-IF($H202=AW$3,$J202,0)</f>
        <v/>
      </c>
      <c r="AX202" s="47">
        <f>IF($E202=AX$3,$G202,0)-IF($H202=AX$3,$J202,0)</f>
        <v/>
      </c>
      <c r="AY202" s="47">
        <f>IF($E202=AY$3,$G202,0)-IF($H202=AY$3,$J202,0)</f>
        <v/>
      </c>
      <c r="AZ202" s="47">
        <f>IF($E202=AZ$3,$G202,0)-IF($H202=AZ$3,$J202,0)</f>
        <v/>
      </c>
      <c r="BA202" s="47">
        <f>IF($E202=BA$3,$G202,0)-IF($H202=BA$3,$J202,0)</f>
        <v/>
      </c>
      <c r="BB202" s="47">
        <f>IF($E202=BB$3,$G202,0)-IF($H202=BB$3,$J202,0)</f>
        <v/>
      </c>
      <c r="BC202" s="47">
        <f>IF($E202=BC$3,$G202,0)-IF($H202=BC$3,$J202,0)</f>
        <v/>
      </c>
      <c r="BD202" s="47">
        <f>IF($E202=BD$3,$G202,0)-IF($H202=BD$3,$J202,0)</f>
        <v/>
      </c>
      <c r="BE202" s="47">
        <f>IF($E202=BE$3,$G202,0)-IF($H202=BE$3,$J202,0)</f>
        <v/>
      </c>
      <c r="BF202" s="47">
        <f>IF($E202=BF$3,$G202,0)-IF($H202=BF$3,$J202,0)</f>
        <v/>
      </c>
      <c r="BG202" s="47">
        <f>IF($E202=BG$3,$G202,0)-IF($H202=BG$3,$J202,0)</f>
        <v/>
      </c>
      <c r="BH202" s="47">
        <f>IF($E202=BH$3,$G202,0)-IF($H202=BH$3,$J202,0)</f>
        <v/>
      </c>
      <c r="BI202" s="47">
        <f>IF($E202=BI$3,$G202,0)-IF($H202=BI$3,$J202,0)</f>
        <v/>
      </c>
      <c r="BJ202" s="47">
        <f>IF($E202=BJ$3,$G202,0)-IF($H202=BJ$3,$J202,0)</f>
        <v/>
      </c>
      <c r="BK202" s="47">
        <f>IF($E202=BK$3,$G202,0)-IF($H202=BK$3,$J202,0)</f>
        <v/>
      </c>
      <c r="BL202" s="46">
        <f>-IF($E202=BL$3,$G202,0)+IF($H202=BL$3,$J202,0)</f>
        <v/>
      </c>
      <c r="BM202" s="47">
        <f>-IF($E202=BM$3,$G202,0)+IF($H202=BM$3,$J202,0)</f>
        <v/>
      </c>
      <c r="BN202" s="47">
        <f>-IF($E202=BN$3,$G202,0)+IF($H202=BN$3,$J202,0)</f>
        <v/>
      </c>
      <c r="BO202" s="47">
        <f>-IF($E202=BO$3,$G202,0)+IF($H202=BO$3,$J202,0)</f>
        <v/>
      </c>
      <c r="BP202" s="47">
        <f>-IF($E202=BP$3,$G202,0)+IF($H202=BP$3,$J202,0)</f>
        <v/>
      </c>
      <c r="BQ202" s="47">
        <f>-IF($E202=BQ$3,$G202,0)+IF($H202=BQ$3,$J202,0)</f>
        <v/>
      </c>
      <c r="BR202" s="47">
        <f>-IF($E202=BR$3,$G202,0)+IF($H202=BR$3,$J202,0)</f>
        <v/>
      </c>
      <c r="BS202" s="47">
        <f>-IF($E202=BS$3,$G202,0)+IF($H202=BS$3,$J202,0)</f>
        <v/>
      </c>
      <c r="BT202" s="47">
        <f>-IF($E202=BT$3,$G202,0)+IF($H202=BT$3,$J202,0)</f>
        <v/>
      </c>
      <c r="BU202" s="46">
        <f>+G202-J202</f>
        <v/>
      </c>
      <c r="BV202" s="48">
        <f>-IF($E202=BV$3,$G202,0)+IF($H202=BV$3,$J202,0)</f>
        <v/>
      </c>
      <c r="BW202" s="3" t="n"/>
    </row>
    <row r="203" ht="15.75" customHeight="1" s="214">
      <c r="A203" s="7" t="n"/>
      <c r="B203" s="8" t="n"/>
      <c r="C203" s="9" t="n"/>
      <c r="D203" s="10" t="n"/>
      <c r="E203" s="247" t="n"/>
      <c r="F203" s="11">
        <f>IF(E203="","",IF(ISNA(VLOOKUP(E203,科目コード表!$C$4:$D$67,2,FALSE)),"該当科目なし",VLOOKUP(E203,科目コード表!$C$4:$D$67,2,FALSE)))</f>
        <v/>
      </c>
      <c r="G203" s="38" t="n"/>
      <c r="H203" s="248" t="n"/>
      <c r="I203" s="11">
        <f>IF(H203="","",IF(ISNA(VLOOKUP(H203,科目コード表!$C$4:$D$67,2,FALSE)),"該当科目なし",VLOOKUP(H203,科目コード表!$C$4:$D$67,2,FALSE)))</f>
        <v/>
      </c>
      <c r="J203" s="40" t="n"/>
      <c r="L203" s="46">
        <f>IF($E203=L$3,$G203,0)-IF($H203=L$3,$J203,0)</f>
        <v/>
      </c>
      <c r="M203" s="47">
        <f>IF($E203=M$3,$G203,0)-IF($H203=M$3,$J203,0)</f>
        <v/>
      </c>
      <c r="N203" s="47">
        <f>IF($E203=N$3,$G203,0)-IF($H203=N$3,$J203,0)</f>
        <v/>
      </c>
      <c r="O203" s="47">
        <f>IF($E203=O$3,$G203,0)-IF($H203=O$3,$J203,0)</f>
        <v/>
      </c>
      <c r="P203" s="47">
        <f>IF($E203=P$3,$G203,0)-IF($H203=P$3,$J203,0)</f>
        <v/>
      </c>
      <c r="Q203" s="47">
        <f>IF($E203=Q$3,$G203,0)-IF($H203=Q$3,$J203,0)</f>
        <v/>
      </c>
      <c r="R203" s="47">
        <f>IF($E203=R$3,$G203,0)-IF($H203=R$3,$J203,0)</f>
        <v/>
      </c>
      <c r="S203" s="47">
        <f>IF($E203=S$3,$G203,0)-IF($H203=S$3,$J203,0)</f>
        <v/>
      </c>
      <c r="T203" s="47">
        <f>IF($E203=T$3,$G203,0)-IF($H203=T$3,$J203,0)</f>
        <v/>
      </c>
      <c r="U203" s="47">
        <f>IF($E203=U$3,$G203,0)-IF($H203=U$3,$J203,0)</f>
        <v/>
      </c>
      <c r="V203" s="47">
        <f>IF($E203=V$3,$G203,0)-IF($H203=V$3,$J203,0)</f>
        <v/>
      </c>
      <c r="W203" s="47">
        <f>IF($E203=W$3,$G203,0)-IF($H203=W$3,$J203,0)</f>
        <v/>
      </c>
      <c r="X203" s="47">
        <f>IF($E203=X$3,$G203,0)-IF($H203=X$3,$J203,0)</f>
        <v/>
      </c>
      <c r="Y203" s="47">
        <f>IF($E203=Y$3,$G203,0)-IF($H203=Y$3,$J203,0)</f>
        <v/>
      </c>
      <c r="Z203" s="47">
        <f>IF($E203=Z$3,$G203,0)-IF($H203=Z$3,$J203,0)</f>
        <v/>
      </c>
      <c r="AA203" s="47">
        <f>IF($E203=AA$3,$G203,0)-IF($H203=AA$3,$J203,0)</f>
        <v/>
      </c>
      <c r="AB203" s="47">
        <f>IF($E203=AB$3,$G203,0)-IF($H203=AB$3,$J203,0)</f>
        <v/>
      </c>
      <c r="AC203" s="47">
        <f>IF($E203=AC$3,$G203,0)-IF($H203=AC$3,$J203,0)</f>
        <v/>
      </c>
      <c r="AD203" s="47">
        <f>IF($E203=AD$3,$G203,0)-IF($H203=AD$3,$J203,0)</f>
        <v/>
      </c>
      <c r="AE203" s="47">
        <f>IF($E203=AE$3,$G203,0)-IF($H203=AE$3,$J203,0)</f>
        <v/>
      </c>
      <c r="AF203" s="47">
        <f>IF($E203=AF$3,$G203,0)-IF($H203=AF$3,$J203,0)</f>
        <v/>
      </c>
      <c r="AG203" s="47">
        <f>IF($E203=AG$3,$G203,0)-IF($H203=AG$3,$J203,0)</f>
        <v/>
      </c>
      <c r="AH203" s="47">
        <f>IF($E203=AH$3,$G203,0)-IF($H203=AH$3,$J203,0)</f>
        <v/>
      </c>
      <c r="AI203" s="47">
        <f>IF($E203=AI$3,$G203,0)-IF($H203=AI$3,$J203,0)</f>
        <v/>
      </c>
      <c r="AJ203" s="47">
        <f>IF($E203=AJ$3,$G203,0)-IF($H203=AJ$3,$J203,0)</f>
        <v/>
      </c>
      <c r="AK203" s="47">
        <f>IF($E203=AK$3,$G203,0)-IF($H203=AK$3,$J203,0)</f>
        <v/>
      </c>
      <c r="AL203" s="48">
        <f>IF($E203=AL$3,$G203,0)-IF($H203=AL$3,$J203,0)</f>
        <v/>
      </c>
      <c r="AM203" s="46">
        <f>-IF($E203=AM$3,$G203,0)+IF($H203=AM$3,$J203,0)</f>
        <v/>
      </c>
      <c r="AN203" s="47">
        <f>-IF($E203=AN$3,$G203,0)+IF($H203=AN$3,$J203,0)</f>
        <v/>
      </c>
      <c r="AO203" s="48">
        <f>-IF($E203=AO$3,$G203,0)+IF($H203=AO$3,$J203,0)</f>
        <v/>
      </c>
      <c r="AP203" s="46">
        <f>IF($E203=AP$3,$G203,0)-IF($H203=AP$3,$J203,0)</f>
        <v/>
      </c>
      <c r="AQ203" s="47">
        <f>IF($E203=AQ$3,$G203,0)-IF($H203=AQ$3,$J203,0)</f>
        <v/>
      </c>
      <c r="AR203" s="47">
        <f>IF($E203=AR$3,$G203,0)-IF($H203=AR$3,$J203,0)</f>
        <v/>
      </c>
      <c r="AS203" s="47">
        <f>IF($E203=AS$3,$G203,0)-IF($H203=AS$3,$J203,0)</f>
        <v/>
      </c>
      <c r="AT203" s="47">
        <f>IF($E203=AT$3,$G203,0)-IF($H203=AT$3,$J203,0)</f>
        <v/>
      </c>
      <c r="AU203" s="47">
        <f>IF($E203=AU$3,$G203,0)-IF($H203=AU$3,$J203,0)</f>
        <v/>
      </c>
      <c r="AV203" s="47">
        <f>IF($E203=AV$3,$G203,0)-IF($H203=AV$3,$J203,0)</f>
        <v/>
      </c>
      <c r="AW203" s="47">
        <f>IF($E203=AW$3,$G203,0)-IF($H203=AW$3,$J203,0)</f>
        <v/>
      </c>
      <c r="AX203" s="47">
        <f>IF($E203=AX$3,$G203,0)-IF($H203=AX$3,$J203,0)</f>
        <v/>
      </c>
      <c r="AY203" s="47">
        <f>IF($E203=AY$3,$G203,0)-IF($H203=AY$3,$J203,0)</f>
        <v/>
      </c>
      <c r="AZ203" s="47">
        <f>IF($E203=AZ$3,$G203,0)-IF($H203=AZ$3,$J203,0)</f>
        <v/>
      </c>
      <c r="BA203" s="47">
        <f>IF($E203=BA$3,$G203,0)-IF($H203=BA$3,$J203,0)</f>
        <v/>
      </c>
      <c r="BB203" s="47">
        <f>IF($E203=BB$3,$G203,0)-IF($H203=BB$3,$J203,0)</f>
        <v/>
      </c>
      <c r="BC203" s="47">
        <f>IF($E203=BC$3,$G203,0)-IF($H203=BC$3,$J203,0)</f>
        <v/>
      </c>
      <c r="BD203" s="47">
        <f>IF($E203=BD$3,$G203,0)-IF($H203=BD$3,$J203,0)</f>
        <v/>
      </c>
      <c r="BE203" s="47">
        <f>IF($E203=BE$3,$G203,0)-IF($H203=BE$3,$J203,0)</f>
        <v/>
      </c>
      <c r="BF203" s="47">
        <f>IF($E203=BF$3,$G203,0)-IF($H203=BF$3,$J203,0)</f>
        <v/>
      </c>
      <c r="BG203" s="47">
        <f>IF($E203=BG$3,$G203,0)-IF($H203=BG$3,$J203,0)</f>
        <v/>
      </c>
      <c r="BH203" s="47">
        <f>IF($E203=BH$3,$G203,0)-IF($H203=BH$3,$J203,0)</f>
        <v/>
      </c>
      <c r="BI203" s="47">
        <f>IF($E203=BI$3,$G203,0)-IF($H203=BI$3,$J203,0)</f>
        <v/>
      </c>
      <c r="BJ203" s="47">
        <f>IF($E203=BJ$3,$G203,0)-IF($H203=BJ$3,$J203,0)</f>
        <v/>
      </c>
      <c r="BK203" s="47">
        <f>IF($E203=BK$3,$G203,0)-IF($H203=BK$3,$J203,0)</f>
        <v/>
      </c>
      <c r="BL203" s="46">
        <f>-IF($E203=BL$3,$G203,0)+IF($H203=BL$3,$J203,0)</f>
        <v/>
      </c>
      <c r="BM203" s="47">
        <f>-IF($E203=BM$3,$G203,0)+IF($H203=BM$3,$J203,0)</f>
        <v/>
      </c>
      <c r="BN203" s="47">
        <f>-IF($E203=BN$3,$G203,0)+IF($H203=BN$3,$J203,0)</f>
        <v/>
      </c>
      <c r="BO203" s="47">
        <f>-IF($E203=BO$3,$G203,0)+IF($H203=BO$3,$J203,0)</f>
        <v/>
      </c>
      <c r="BP203" s="47">
        <f>-IF($E203=BP$3,$G203,0)+IF($H203=BP$3,$J203,0)</f>
        <v/>
      </c>
      <c r="BQ203" s="47">
        <f>-IF($E203=BQ$3,$G203,0)+IF($H203=BQ$3,$J203,0)</f>
        <v/>
      </c>
      <c r="BR203" s="47">
        <f>-IF($E203=BR$3,$G203,0)+IF($H203=BR$3,$J203,0)</f>
        <v/>
      </c>
      <c r="BS203" s="47">
        <f>-IF($E203=BS$3,$G203,0)+IF($H203=BS$3,$J203,0)</f>
        <v/>
      </c>
      <c r="BT203" s="47">
        <f>-IF($E203=BT$3,$G203,0)+IF($H203=BT$3,$J203,0)</f>
        <v/>
      </c>
      <c r="BU203" s="46">
        <f>+G203-J203</f>
        <v/>
      </c>
      <c r="BV203" s="48">
        <f>-IF($E203=BV$3,$G203,0)+IF($H203=BV$3,$J203,0)</f>
        <v/>
      </c>
      <c r="BW203" s="3" t="n"/>
    </row>
    <row r="204" ht="15.75" customHeight="1" s="214">
      <c r="A204" s="7" t="n"/>
      <c r="B204" s="8" t="n"/>
      <c r="C204" s="9" t="n"/>
      <c r="D204" s="10" t="n"/>
      <c r="E204" s="247" t="n"/>
      <c r="F204" s="11">
        <f>IF(E204="","",IF(ISNA(VLOOKUP(E204,科目コード表!$C$4:$D$67,2,FALSE)),"該当科目なし",VLOOKUP(E204,科目コード表!$C$4:$D$67,2,FALSE)))</f>
        <v/>
      </c>
      <c r="G204" s="38" t="n"/>
      <c r="H204" s="248" t="n"/>
      <c r="I204" s="11">
        <f>IF(H204="","",IF(ISNA(VLOOKUP(H204,科目コード表!$C$4:$D$67,2,FALSE)),"該当科目なし",VLOOKUP(H204,科目コード表!$C$4:$D$67,2,FALSE)))</f>
        <v/>
      </c>
      <c r="J204" s="40" t="n"/>
      <c r="L204" s="46">
        <f>IF($E204=L$3,$G204,0)-IF($H204=L$3,$J204,0)</f>
        <v/>
      </c>
      <c r="M204" s="47">
        <f>IF($E204=M$3,$G204,0)-IF($H204=M$3,$J204,0)</f>
        <v/>
      </c>
      <c r="N204" s="47">
        <f>IF($E204=N$3,$G204,0)-IF($H204=N$3,$J204,0)</f>
        <v/>
      </c>
      <c r="O204" s="47">
        <f>IF($E204=O$3,$G204,0)-IF($H204=O$3,$J204,0)</f>
        <v/>
      </c>
      <c r="P204" s="47">
        <f>IF($E204=P$3,$G204,0)-IF($H204=P$3,$J204,0)</f>
        <v/>
      </c>
      <c r="Q204" s="47">
        <f>IF($E204=Q$3,$G204,0)-IF($H204=Q$3,$J204,0)</f>
        <v/>
      </c>
      <c r="R204" s="47">
        <f>IF($E204=R$3,$G204,0)-IF($H204=R$3,$J204,0)</f>
        <v/>
      </c>
      <c r="S204" s="47">
        <f>IF($E204=S$3,$G204,0)-IF($H204=S$3,$J204,0)</f>
        <v/>
      </c>
      <c r="T204" s="47">
        <f>IF($E204=T$3,$G204,0)-IF($H204=T$3,$J204,0)</f>
        <v/>
      </c>
      <c r="U204" s="47">
        <f>IF($E204=U$3,$G204,0)-IF($H204=U$3,$J204,0)</f>
        <v/>
      </c>
      <c r="V204" s="47">
        <f>IF($E204=V$3,$G204,0)-IF($H204=V$3,$J204,0)</f>
        <v/>
      </c>
      <c r="W204" s="47">
        <f>IF($E204=W$3,$G204,0)-IF($H204=W$3,$J204,0)</f>
        <v/>
      </c>
      <c r="X204" s="47">
        <f>IF($E204=X$3,$G204,0)-IF($H204=X$3,$J204,0)</f>
        <v/>
      </c>
      <c r="Y204" s="47">
        <f>IF($E204=Y$3,$G204,0)-IF($H204=Y$3,$J204,0)</f>
        <v/>
      </c>
      <c r="Z204" s="47">
        <f>IF($E204=Z$3,$G204,0)-IF($H204=Z$3,$J204,0)</f>
        <v/>
      </c>
      <c r="AA204" s="47">
        <f>IF($E204=AA$3,$G204,0)-IF($H204=AA$3,$J204,0)</f>
        <v/>
      </c>
      <c r="AB204" s="47">
        <f>IF($E204=AB$3,$G204,0)-IF($H204=AB$3,$J204,0)</f>
        <v/>
      </c>
      <c r="AC204" s="47">
        <f>IF($E204=AC$3,$G204,0)-IF($H204=AC$3,$J204,0)</f>
        <v/>
      </c>
      <c r="AD204" s="47">
        <f>IF($E204=AD$3,$G204,0)-IF($H204=AD$3,$J204,0)</f>
        <v/>
      </c>
      <c r="AE204" s="47">
        <f>IF($E204=AE$3,$G204,0)-IF($H204=AE$3,$J204,0)</f>
        <v/>
      </c>
      <c r="AF204" s="47">
        <f>IF($E204=AF$3,$G204,0)-IF($H204=AF$3,$J204,0)</f>
        <v/>
      </c>
      <c r="AG204" s="47">
        <f>IF($E204=AG$3,$G204,0)-IF($H204=AG$3,$J204,0)</f>
        <v/>
      </c>
      <c r="AH204" s="47">
        <f>IF($E204=AH$3,$G204,0)-IF($H204=AH$3,$J204,0)</f>
        <v/>
      </c>
      <c r="AI204" s="47">
        <f>IF($E204=AI$3,$G204,0)-IF($H204=AI$3,$J204,0)</f>
        <v/>
      </c>
      <c r="AJ204" s="47">
        <f>IF($E204=AJ$3,$G204,0)-IF($H204=AJ$3,$J204,0)</f>
        <v/>
      </c>
      <c r="AK204" s="47">
        <f>IF($E204=AK$3,$G204,0)-IF($H204=AK$3,$J204,0)</f>
        <v/>
      </c>
      <c r="AL204" s="48">
        <f>IF($E204=AL$3,$G204,0)-IF($H204=AL$3,$J204,0)</f>
        <v/>
      </c>
      <c r="AM204" s="46">
        <f>-IF($E204=AM$3,$G204,0)+IF($H204=AM$3,$J204,0)</f>
        <v/>
      </c>
      <c r="AN204" s="47">
        <f>-IF($E204=AN$3,$G204,0)+IF($H204=AN$3,$J204,0)</f>
        <v/>
      </c>
      <c r="AO204" s="48">
        <f>-IF($E204=AO$3,$G204,0)+IF($H204=AO$3,$J204,0)</f>
        <v/>
      </c>
      <c r="AP204" s="46">
        <f>IF($E204=AP$3,$G204,0)-IF($H204=AP$3,$J204,0)</f>
        <v/>
      </c>
      <c r="AQ204" s="47">
        <f>IF($E204=AQ$3,$G204,0)-IF($H204=AQ$3,$J204,0)</f>
        <v/>
      </c>
      <c r="AR204" s="47">
        <f>IF($E204=AR$3,$G204,0)-IF($H204=AR$3,$J204,0)</f>
        <v/>
      </c>
      <c r="AS204" s="47">
        <f>IF($E204=AS$3,$G204,0)-IF($H204=AS$3,$J204,0)</f>
        <v/>
      </c>
      <c r="AT204" s="47">
        <f>IF($E204=AT$3,$G204,0)-IF($H204=AT$3,$J204,0)</f>
        <v/>
      </c>
      <c r="AU204" s="47">
        <f>IF($E204=AU$3,$G204,0)-IF($H204=AU$3,$J204,0)</f>
        <v/>
      </c>
      <c r="AV204" s="47">
        <f>IF($E204=AV$3,$G204,0)-IF($H204=AV$3,$J204,0)</f>
        <v/>
      </c>
      <c r="AW204" s="47">
        <f>IF($E204=AW$3,$G204,0)-IF($H204=AW$3,$J204,0)</f>
        <v/>
      </c>
      <c r="AX204" s="47">
        <f>IF($E204=AX$3,$G204,0)-IF($H204=AX$3,$J204,0)</f>
        <v/>
      </c>
      <c r="AY204" s="47">
        <f>IF($E204=AY$3,$G204,0)-IF($H204=AY$3,$J204,0)</f>
        <v/>
      </c>
      <c r="AZ204" s="47">
        <f>IF($E204=AZ$3,$G204,0)-IF($H204=AZ$3,$J204,0)</f>
        <v/>
      </c>
      <c r="BA204" s="47">
        <f>IF($E204=BA$3,$G204,0)-IF($H204=BA$3,$J204,0)</f>
        <v/>
      </c>
      <c r="BB204" s="47">
        <f>IF($E204=BB$3,$G204,0)-IF($H204=BB$3,$J204,0)</f>
        <v/>
      </c>
      <c r="BC204" s="47">
        <f>IF($E204=BC$3,$G204,0)-IF($H204=BC$3,$J204,0)</f>
        <v/>
      </c>
      <c r="BD204" s="47">
        <f>IF($E204=BD$3,$G204,0)-IF($H204=BD$3,$J204,0)</f>
        <v/>
      </c>
      <c r="BE204" s="47">
        <f>IF($E204=BE$3,$G204,0)-IF($H204=BE$3,$J204,0)</f>
        <v/>
      </c>
      <c r="BF204" s="47">
        <f>IF($E204=BF$3,$G204,0)-IF($H204=BF$3,$J204,0)</f>
        <v/>
      </c>
      <c r="BG204" s="47">
        <f>IF($E204=BG$3,$G204,0)-IF($H204=BG$3,$J204,0)</f>
        <v/>
      </c>
      <c r="BH204" s="47">
        <f>IF($E204=BH$3,$G204,0)-IF($H204=BH$3,$J204,0)</f>
        <v/>
      </c>
      <c r="BI204" s="47">
        <f>IF($E204=BI$3,$G204,0)-IF($H204=BI$3,$J204,0)</f>
        <v/>
      </c>
      <c r="BJ204" s="47">
        <f>IF($E204=BJ$3,$G204,0)-IF($H204=BJ$3,$J204,0)</f>
        <v/>
      </c>
      <c r="BK204" s="47">
        <f>IF($E204=BK$3,$G204,0)-IF($H204=BK$3,$J204,0)</f>
        <v/>
      </c>
      <c r="BL204" s="46">
        <f>-IF($E204=BL$3,$G204,0)+IF($H204=BL$3,$J204,0)</f>
        <v/>
      </c>
      <c r="BM204" s="47">
        <f>-IF($E204=BM$3,$G204,0)+IF($H204=BM$3,$J204,0)</f>
        <v/>
      </c>
      <c r="BN204" s="47">
        <f>-IF($E204=BN$3,$G204,0)+IF($H204=BN$3,$J204,0)</f>
        <v/>
      </c>
      <c r="BO204" s="47">
        <f>-IF($E204=BO$3,$G204,0)+IF($H204=BO$3,$J204,0)</f>
        <v/>
      </c>
      <c r="BP204" s="47">
        <f>-IF($E204=BP$3,$G204,0)+IF($H204=BP$3,$J204,0)</f>
        <v/>
      </c>
      <c r="BQ204" s="47">
        <f>-IF($E204=BQ$3,$G204,0)+IF($H204=BQ$3,$J204,0)</f>
        <v/>
      </c>
      <c r="BR204" s="47">
        <f>-IF($E204=BR$3,$G204,0)+IF($H204=BR$3,$J204,0)</f>
        <v/>
      </c>
      <c r="BS204" s="47">
        <f>-IF($E204=BS$3,$G204,0)+IF($H204=BS$3,$J204,0)</f>
        <v/>
      </c>
      <c r="BT204" s="47">
        <f>-IF($E204=BT$3,$G204,0)+IF($H204=BT$3,$J204,0)</f>
        <v/>
      </c>
      <c r="BU204" s="46">
        <f>+G204-J204</f>
        <v/>
      </c>
      <c r="BV204" s="48">
        <f>-IF($E204=BV$3,$G204,0)+IF($H204=BV$3,$J204,0)</f>
        <v/>
      </c>
      <c r="BW204" s="3" t="n"/>
    </row>
    <row r="205" ht="15.75" customHeight="1" s="214">
      <c r="A205" s="7" t="n"/>
      <c r="B205" s="8" t="n"/>
      <c r="C205" s="9" t="n"/>
      <c r="D205" s="10" t="n"/>
      <c r="E205" s="247" t="n"/>
      <c r="F205" s="11">
        <f>IF(E205="","",IF(ISNA(VLOOKUP(E205,科目コード表!$C$4:$D$67,2,FALSE)),"該当科目なし",VLOOKUP(E205,科目コード表!$C$4:$D$67,2,FALSE)))</f>
        <v/>
      </c>
      <c r="G205" s="38" t="n"/>
      <c r="H205" s="248" t="n"/>
      <c r="I205" s="11">
        <f>IF(H205="","",IF(ISNA(VLOOKUP(H205,科目コード表!$C$4:$D$67,2,FALSE)),"該当科目なし",VLOOKUP(H205,科目コード表!$C$4:$D$67,2,FALSE)))</f>
        <v/>
      </c>
      <c r="J205" s="40" t="n"/>
      <c r="L205" s="46">
        <f>IF($E205=L$3,$G205,0)-IF($H205=L$3,$J205,0)</f>
        <v/>
      </c>
      <c r="M205" s="47">
        <f>IF($E205=M$3,$G205,0)-IF($H205=M$3,$J205,0)</f>
        <v/>
      </c>
      <c r="N205" s="47">
        <f>IF($E205=N$3,$G205,0)-IF($H205=N$3,$J205,0)</f>
        <v/>
      </c>
      <c r="O205" s="47">
        <f>IF($E205=O$3,$G205,0)-IF($H205=O$3,$J205,0)</f>
        <v/>
      </c>
      <c r="P205" s="47">
        <f>IF($E205=P$3,$G205,0)-IF($H205=P$3,$J205,0)</f>
        <v/>
      </c>
      <c r="Q205" s="47">
        <f>IF($E205=Q$3,$G205,0)-IF($H205=Q$3,$J205,0)</f>
        <v/>
      </c>
      <c r="R205" s="47">
        <f>IF($E205=R$3,$G205,0)-IF($H205=R$3,$J205,0)</f>
        <v/>
      </c>
      <c r="S205" s="47">
        <f>IF($E205=S$3,$G205,0)-IF($H205=S$3,$J205,0)</f>
        <v/>
      </c>
      <c r="T205" s="47">
        <f>IF($E205=T$3,$G205,0)-IF($H205=T$3,$J205,0)</f>
        <v/>
      </c>
      <c r="U205" s="47">
        <f>IF($E205=U$3,$G205,0)-IF($H205=U$3,$J205,0)</f>
        <v/>
      </c>
      <c r="V205" s="47">
        <f>IF($E205=V$3,$G205,0)-IF($H205=V$3,$J205,0)</f>
        <v/>
      </c>
      <c r="W205" s="47">
        <f>IF($E205=W$3,$G205,0)-IF($H205=W$3,$J205,0)</f>
        <v/>
      </c>
      <c r="X205" s="47">
        <f>IF($E205=X$3,$G205,0)-IF($H205=X$3,$J205,0)</f>
        <v/>
      </c>
      <c r="Y205" s="47">
        <f>IF($E205=Y$3,$G205,0)-IF($H205=Y$3,$J205,0)</f>
        <v/>
      </c>
      <c r="Z205" s="47">
        <f>IF($E205=Z$3,$G205,0)-IF($H205=Z$3,$J205,0)</f>
        <v/>
      </c>
      <c r="AA205" s="47">
        <f>IF($E205=AA$3,$G205,0)-IF($H205=AA$3,$J205,0)</f>
        <v/>
      </c>
      <c r="AB205" s="47">
        <f>IF($E205=AB$3,$G205,0)-IF($H205=AB$3,$J205,0)</f>
        <v/>
      </c>
      <c r="AC205" s="47">
        <f>IF($E205=AC$3,$G205,0)-IF($H205=AC$3,$J205,0)</f>
        <v/>
      </c>
      <c r="AD205" s="47">
        <f>IF($E205=AD$3,$G205,0)-IF($H205=AD$3,$J205,0)</f>
        <v/>
      </c>
      <c r="AE205" s="47">
        <f>IF($E205=AE$3,$G205,0)-IF($H205=AE$3,$J205,0)</f>
        <v/>
      </c>
      <c r="AF205" s="47">
        <f>IF($E205=AF$3,$G205,0)-IF($H205=AF$3,$J205,0)</f>
        <v/>
      </c>
      <c r="AG205" s="47">
        <f>IF($E205=AG$3,$G205,0)-IF($H205=AG$3,$J205,0)</f>
        <v/>
      </c>
      <c r="AH205" s="47">
        <f>IF($E205=AH$3,$G205,0)-IF($H205=AH$3,$J205,0)</f>
        <v/>
      </c>
      <c r="AI205" s="47">
        <f>IF($E205=AI$3,$G205,0)-IF($H205=AI$3,$J205,0)</f>
        <v/>
      </c>
      <c r="AJ205" s="47">
        <f>IF($E205=AJ$3,$G205,0)-IF($H205=AJ$3,$J205,0)</f>
        <v/>
      </c>
      <c r="AK205" s="47">
        <f>IF($E205=AK$3,$G205,0)-IF($H205=AK$3,$J205,0)</f>
        <v/>
      </c>
      <c r="AL205" s="48">
        <f>IF($E205=AL$3,$G205,0)-IF($H205=AL$3,$J205,0)</f>
        <v/>
      </c>
      <c r="AM205" s="46">
        <f>-IF($E205=AM$3,$G205,0)+IF($H205=AM$3,$J205,0)</f>
        <v/>
      </c>
      <c r="AN205" s="47">
        <f>-IF($E205=AN$3,$G205,0)+IF($H205=AN$3,$J205,0)</f>
        <v/>
      </c>
      <c r="AO205" s="48">
        <f>-IF($E205=AO$3,$G205,0)+IF($H205=AO$3,$J205,0)</f>
        <v/>
      </c>
      <c r="AP205" s="46">
        <f>IF($E205=AP$3,$G205,0)-IF($H205=AP$3,$J205,0)</f>
        <v/>
      </c>
      <c r="AQ205" s="47">
        <f>IF($E205=AQ$3,$G205,0)-IF($H205=AQ$3,$J205,0)</f>
        <v/>
      </c>
      <c r="AR205" s="47">
        <f>IF($E205=AR$3,$G205,0)-IF($H205=AR$3,$J205,0)</f>
        <v/>
      </c>
      <c r="AS205" s="47">
        <f>IF($E205=AS$3,$G205,0)-IF($H205=AS$3,$J205,0)</f>
        <v/>
      </c>
      <c r="AT205" s="47">
        <f>IF($E205=AT$3,$G205,0)-IF($H205=AT$3,$J205,0)</f>
        <v/>
      </c>
      <c r="AU205" s="47">
        <f>IF($E205=AU$3,$G205,0)-IF($H205=AU$3,$J205,0)</f>
        <v/>
      </c>
      <c r="AV205" s="47">
        <f>IF($E205=AV$3,$G205,0)-IF($H205=AV$3,$J205,0)</f>
        <v/>
      </c>
      <c r="AW205" s="47">
        <f>IF($E205=AW$3,$G205,0)-IF($H205=AW$3,$J205,0)</f>
        <v/>
      </c>
      <c r="AX205" s="47">
        <f>IF($E205=AX$3,$G205,0)-IF($H205=AX$3,$J205,0)</f>
        <v/>
      </c>
      <c r="AY205" s="47">
        <f>IF($E205=AY$3,$G205,0)-IF($H205=AY$3,$J205,0)</f>
        <v/>
      </c>
      <c r="AZ205" s="47">
        <f>IF($E205=AZ$3,$G205,0)-IF($H205=AZ$3,$J205,0)</f>
        <v/>
      </c>
      <c r="BA205" s="47">
        <f>IF($E205=BA$3,$G205,0)-IF($H205=BA$3,$J205,0)</f>
        <v/>
      </c>
      <c r="BB205" s="47">
        <f>IF($E205=BB$3,$G205,0)-IF($H205=BB$3,$J205,0)</f>
        <v/>
      </c>
      <c r="BC205" s="47">
        <f>IF($E205=BC$3,$G205,0)-IF($H205=BC$3,$J205,0)</f>
        <v/>
      </c>
      <c r="BD205" s="47">
        <f>IF($E205=BD$3,$G205,0)-IF($H205=BD$3,$J205,0)</f>
        <v/>
      </c>
      <c r="BE205" s="47">
        <f>IF($E205=BE$3,$G205,0)-IF($H205=BE$3,$J205,0)</f>
        <v/>
      </c>
      <c r="BF205" s="47">
        <f>IF($E205=BF$3,$G205,0)-IF($H205=BF$3,$J205,0)</f>
        <v/>
      </c>
      <c r="BG205" s="47">
        <f>IF($E205=BG$3,$G205,0)-IF($H205=BG$3,$J205,0)</f>
        <v/>
      </c>
      <c r="BH205" s="47">
        <f>IF($E205=BH$3,$G205,0)-IF($H205=BH$3,$J205,0)</f>
        <v/>
      </c>
      <c r="BI205" s="47">
        <f>IF($E205=BI$3,$G205,0)-IF($H205=BI$3,$J205,0)</f>
        <v/>
      </c>
      <c r="BJ205" s="47">
        <f>IF($E205=BJ$3,$G205,0)-IF($H205=BJ$3,$J205,0)</f>
        <v/>
      </c>
      <c r="BK205" s="47">
        <f>IF($E205=BK$3,$G205,0)-IF($H205=BK$3,$J205,0)</f>
        <v/>
      </c>
      <c r="BL205" s="46">
        <f>-IF($E205=BL$3,$G205,0)+IF($H205=BL$3,$J205,0)</f>
        <v/>
      </c>
      <c r="BM205" s="47">
        <f>-IF($E205=BM$3,$G205,0)+IF($H205=BM$3,$J205,0)</f>
        <v/>
      </c>
      <c r="BN205" s="47">
        <f>-IF($E205=BN$3,$G205,0)+IF($H205=BN$3,$J205,0)</f>
        <v/>
      </c>
      <c r="BO205" s="47">
        <f>-IF($E205=BO$3,$G205,0)+IF($H205=BO$3,$J205,0)</f>
        <v/>
      </c>
      <c r="BP205" s="47">
        <f>-IF($E205=BP$3,$G205,0)+IF($H205=BP$3,$J205,0)</f>
        <v/>
      </c>
      <c r="BQ205" s="47">
        <f>-IF($E205=BQ$3,$G205,0)+IF($H205=BQ$3,$J205,0)</f>
        <v/>
      </c>
      <c r="BR205" s="47">
        <f>-IF($E205=BR$3,$G205,0)+IF($H205=BR$3,$J205,0)</f>
        <v/>
      </c>
      <c r="BS205" s="47">
        <f>-IF($E205=BS$3,$G205,0)+IF($H205=BS$3,$J205,0)</f>
        <v/>
      </c>
      <c r="BT205" s="47">
        <f>-IF($E205=BT$3,$G205,0)+IF($H205=BT$3,$J205,0)</f>
        <v/>
      </c>
      <c r="BU205" s="46">
        <f>+G205-J205</f>
        <v/>
      </c>
      <c r="BV205" s="48">
        <f>-IF($E205=BV$3,$G205,0)+IF($H205=BV$3,$J205,0)</f>
        <v/>
      </c>
      <c r="BW205" s="3" t="n"/>
    </row>
    <row r="206" ht="15.75" customHeight="1" s="214">
      <c r="A206" s="7" t="n"/>
      <c r="B206" s="8" t="n"/>
      <c r="C206" s="9" t="n"/>
      <c r="D206" s="10" t="n"/>
      <c r="E206" s="247" t="n"/>
      <c r="F206" s="11">
        <f>IF(E206="","",IF(ISNA(VLOOKUP(E206,科目コード表!$C$4:$D$67,2,FALSE)),"該当科目なし",VLOOKUP(E206,科目コード表!$C$4:$D$67,2,FALSE)))</f>
        <v/>
      </c>
      <c r="G206" s="38" t="n"/>
      <c r="H206" s="248" t="n"/>
      <c r="I206" s="11">
        <f>IF(H206="","",IF(ISNA(VLOOKUP(H206,科目コード表!$C$4:$D$67,2,FALSE)),"該当科目なし",VLOOKUP(H206,科目コード表!$C$4:$D$67,2,FALSE)))</f>
        <v/>
      </c>
      <c r="J206" s="40" t="n"/>
      <c r="L206" s="46">
        <f>IF($E206=L$3,$G206,0)-IF($H206=L$3,$J206,0)</f>
        <v/>
      </c>
      <c r="M206" s="47">
        <f>IF($E206=M$3,$G206,0)-IF($H206=M$3,$J206,0)</f>
        <v/>
      </c>
      <c r="N206" s="47">
        <f>IF($E206=N$3,$G206,0)-IF($H206=N$3,$J206,0)</f>
        <v/>
      </c>
      <c r="O206" s="47">
        <f>IF($E206=O$3,$G206,0)-IF($H206=O$3,$J206,0)</f>
        <v/>
      </c>
      <c r="P206" s="47">
        <f>IF($E206=P$3,$G206,0)-IF($H206=P$3,$J206,0)</f>
        <v/>
      </c>
      <c r="Q206" s="47">
        <f>IF($E206=Q$3,$G206,0)-IF($H206=Q$3,$J206,0)</f>
        <v/>
      </c>
      <c r="R206" s="47">
        <f>IF($E206=R$3,$G206,0)-IF($H206=R$3,$J206,0)</f>
        <v/>
      </c>
      <c r="S206" s="47">
        <f>IF($E206=S$3,$G206,0)-IF($H206=S$3,$J206,0)</f>
        <v/>
      </c>
      <c r="T206" s="47">
        <f>IF($E206=T$3,$G206,0)-IF($H206=T$3,$J206,0)</f>
        <v/>
      </c>
      <c r="U206" s="47">
        <f>IF($E206=U$3,$G206,0)-IF($H206=U$3,$J206,0)</f>
        <v/>
      </c>
      <c r="V206" s="47">
        <f>IF($E206=V$3,$G206,0)-IF($H206=V$3,$J206,0)</f>
        <v/>
      </c>
      <c r="W206" s="47">
        <f>IF($E206=W$3,$G206,0)-IF($H206=W$3,$J206,0)</f>
        <v/>
      </c>
      <c r="X206" s="47">
        <f>IF($E206=X$3,$G206,0)-IF($H206=X$3,$J206,0)</f>
        <v/>
      </c>
      <c r="Y206" s="47">
        <f>IF($E206=Y$3,$G206,0)-IF($H206=Y$3,$J206,0)</f>
        <v/>
      </c>
      <c r="Z206" s="47">
        <f>IF($E206=Z$3,$G206,0)-IF($H206=Z$3,$J206,0)</f>
        <v/>
      </c>
      <c r="AA206" s="47">
        <f>IF($E206=AA$3,$G206,0)-IF($H206=AA$3,$J206,0)</f>
        <v/>
      </c>
      <c r="AB206" s="47">
        <f>IF($E206=AB$3,$G206,0)-IF($H206=AB$3,$J206,0)</f>
        <v/>
      </c>
      <c r="AC206" s="47">
        <f>IF($E206=AC$3,$G206,0)-IF($H206=AC$3,$J206,0)</f>
        <v/>
      </c>
      <c r="AD206" s="47">
        <f>IF($E206=AD$3,$G206,0)-IF($H206=AD$3,$J206,0)</f>
        <v/>
      </c>
      <c r="AE206" s="47">
        <f>IF($E206=AE$3,$G206,0)-IF($H206=AE$3,$J206,0)</f>
        <v/>
      </c>
      <c r="AF206" s="47">
        <f>IF($E206=AF$3,$G206,0)-IF($H206=AF$3,$J206,0)</f>
        <v/>
      </c>
      <c r="AG206" s="47">
        <f>IF($E206=AG$3,$G206,0)-IF($H206=AG$3,$J206,0)</f>
        <v/>
      </c>
      <c r="AH206" s="47">
        <f>IF($E206=AH$3,$G206,0)-IF($H206=AH$3,$J206,0)</f>
        <v/>
      </c>
      <c r="AI206" s="47">
        <f>IF($E206=AI$3,$G206,0)-IF($H206=AI$3,$J206,0)</f>
        <v/>
      </c>
      <c r="AJ206" s="47">
        <f>IF($E206=AJ$3,$G206,0)-IF($H206=AJ$3,$J206,0)</f>
        <v/>
      </c>
      <c r="AK206" s="47">
        <f>IF($E206=AK$3,$G206,0)-IF($H206=AK$3,$J206,0)</f>
        <v/>
      </c>
      <c r="AL206" s="48">
        <f>IF($E206=AL$3,$G206,0)-IF($H206=AL$3,$J206,0)</f>
        <v/>
      </c>
      <c r="AM206" s="46">
        <f>-IF($E206=AM$3,$G206,0)+IF($H206=AM$3,$J206,0)</f>
        <v/>
      </c>
      <c r="AN206" s="47">
        <f>-IF($E206=AN$3,$G206,0)+IF($H206=AN$3,$J206,0)</f>
        <v/>
      </c>
      <c r="AO206" s="48">
        <f>-IF($E206=AO$3,$G206,0)+IF($H206=AO$3,$J206,0)</f>
        <v/>
      </c>
      <c r="AP206" s="46">
        <f>IF($E206=AP$3,$G206,0)-IF($H206=AP$3,$J206,0)</f>
        <v/>
      </c>
      <c r="AQ206" s="47">
        <f>IF($E206=AQ$3,$G206,0)-IF($H206=AQ$3,$J206,0)</f>
        <v/>
      </c>
      <c r="AR206" s="47">
        <f>IF($E206=AR$3,$G206,0)-IF($H206=AR$3,$J206,0)</f>
        <v/>
      </c>
      <c r="AS206" s="47">
        <f>IF($E206=AS$3,$G206,0)-IF($H206=AS$3,$J206,0)</f>
        <v/>
      </c>
      <c r="AT206" s="47">
        <f>IF($E206=AT$3,$G206,0)-IF($H206=AT$3,$J206,0)</f>
        <v/>
      </c>
      <c r="AU206" s="47">
        <f>IF($E206=AU$3,$G206,0)-IF($H206=AU$3,$J206,0)</f>
        <v/>
      </c>
      <c r="AV206" s="47">
        <f>IF($E206=AV$3,$G206,0)-IF($H206=AV$3,$J206,0)</f>
        <v/>
      </c>
      <c r="AW206" s="47">
        <f>IF($E206=AW$3,$G206,0)-IF($H206=AW$3,$J206,0)</f>
        <v/>
      </c>
      <c r="AX206" s="47">
        <f>IF($E206=AX$3,$G206,0)-IF($H206=AX$3,$J206,0)</f>
        <v/>
      </c>
      <c r="AY206" s="47">
        <f>IF($E206=AY$3,$G206,0)-IF($H206=AY$3,$J206,0)</f>
        <v/>
      </c>
      <c r="AZ206" s="47">
        <f>IF($E206=AZ$3,$G206,0)-IF($H206=AZ$3,$J206,0)</f>
        <v/>
      </c>
      <c r="BA206" s="47">
        <f>IF($E206=BA$3,$G206,0)-IF($H206=BA$3,$J206,0)</f>
        <v/>
      </c>
      <c r="BB206" s="47">
        <f>IF($E206=BB$3,$G206,0)-IF($H206=BB$3,$J206,0)</f>
        <v/>
      </c>
      <c r="BC206" s="47">
        <f>IF($E206=BC$3,$G206,0)-IF($H206=BC$3,$J206,0)</f>
        <v/>
      </c>
      <c r="BD206" s="47">
        <f>IF($E206=BD$3,$G206,0)-IF($H206=BD$3,$J206,0)</f>
        <v/>
      </c>
      <c r="BE206" s="47">
        <f>IF($E206=BE$3,$G206,0)-IF($H206=BE$3,$J206,0)</f>
        <v/>
      </c>
      <c r="BF206" s="47">
        <f>IF($E206=BF$3,$G206,0)-IF($H206=BF$3,$J206,0)</f>
        <v/>
      </c>
      <c r="BG206" s="47">
        <f>IF($E206=BG$3,$G206,0)-IF($H206=BG$3,$J206,0)</f>
        <v/>
      </c>
      <c r="BH206" s="47">
        <f>IF($E206=BH$3,$G206,0)-IF($H206=BH$3,$J206,0)</f>
        <v/>
      </c>
      <c r="BI206" s="47">
        <f>IF($E206=BI$3,$G206,0)-IF($H206=BI$3,$J206,0)</f>
        <v/>
      </c>
      <c r="BJ206" s="47">
        <f>IF($E206=BJ$3,$G206,0)-IF($H206=BJ$3,$J206,0)</f>
        <v/>
      </c>
      <c r="BK206" s="47">
        <f>IF($E206=BK$3,$G206,0)-IF($H206=BK$3,$J206,0)</f>
        <v/>
      </c>
      <c r="BL206" s="46">
        <f>-IF($E206=BL$3,$G206,0)+IF($H206=BL$3,$J206,0)</f>
        <v/>
      </c>
      <c r="BM206" s="47">
        <f>-IF($E206=BM$3,$G206,0)+IF($H206=BM$3,$J206,0)</f>
        <v/>
      </c>
      <c r="BN206" s="47">
        <f>-IF($E206=BN$3,$G206,0)+IF($H206=BN$3,$J206,0)</f>
        <v/>
      </c>
      <c r="BO206" s="47">
        <f>-IF($E206=BO$3,$G206,0)+IF($H206=BO$3,$J206,0)</f>
        <v/>
      </c>
      <c r="BP206" s="47">
        <f>-IF($E206=BP$3,$G206,0)+IF($H206=BP$3,$J206,0)</f>
        <v/>
      </c>
      <c r="BQ206" s="47">
        <f>-IF($E206=BQ$3,$G206,0)+IF($H206=BQ$3,$J206,0)</f>
        <v/>
      </c>
      <c r="BR206" s="47">
        <f>-IF($E206=BR$3,$G206,0)+IF($H206=BR$3,$J206,0)</f>
        <v/>
      </c>
      <c r="BS206" s="47">
        <f>-IF($E206=BS$3,$G206,0)+IF($H206=BS$3,$J206,0)</f>
        <v/>
      </c>
      <c r="BT206" s="47">
        <f>-IF($E206=BT$3,$G206,0)+IF($H206=BT$3,$J206,0)</f>
        <v/>
      </c>
      <c r="BU206" s="46">
        <f>+G206-J206</f>
        <v/>
      </c>
      <c r="BV206" s="48">
        <f>-IF($E206=BV$3,$G206,0)+IF($H206=BV$3,$J206,0)</f>
        <v/>
      </c>
      <c r="BW206" s="3" t="n"/>
    </row>
    <row r="207" ht="15.75" customHeight="1" s="214">
      <c r="A207" s="7" t="n"/>
      <c r="B207" s="8" t="n"/>
      <c r="C207" s="9" t="n"/>
      <c r="D207" s="10" t="n"/>
      <c r="E207" s="247" t="n"/>
      <c r="F207" s="11">
        <f>IF(E207="","",IF(ISNA(VLOOKUP(E207,科目コード表!$C$4:$D$67,2,FALSE)),"該当科目なし",VLOOKUP(E207,科目コード表!$C$4:$D$67,2,FALSE)))</f>
        <v/>
      </c>
      <c r="G207" s="38" t="n"/>
      <c r="H207" s="248" t="n"/>
      <c r="I207" s="11">
        <f>IF(H207="","",IF(ISNA(VLOOKUP(H207,科目コード表!$C$4:$D$67,2,FALSE)),"該当科目なし",VLOOKUP(H207,科目コード表!$C$4:$D$67,2,FALSE)))</f>
        <v/>
      </c>
      <c r="J207" s="40" t="n"/>
      <c r="L207" s="46">
        <f>IF($E207=L$3,$G207,0)-IF($H207=L$3,$J207,0)</f>
        <v/>
      </c>
      <c r="M207" s="47">
        <f>IF($E207=M$3,$G207,0)-IF($H207=M$3,$J207,0)</f>
        <v/>
      </c>
      <c r="N207" s="47">
        <f>IF($E207=N$3,$G207,0)-IF($H207=N$3,$J207,0)</f>
        <v/>
      </c>
      <c r="O207" s="47">
        <f>IF($E207=O$3,$G207,0)-IF($H207=O$3,$J207,0)</f>
        <v/>
      </c>
      <c r="P207" s="47">
        <f>IF($E207=P$3,$G207,0)-IF($H207=P$3,$J207,0)</f>
        <v/>
      </c>
      <c r="Q207" s="47">
        <f>IF($E207=Q$3,$G207,0)-IF($H207=Q$3,$J207,0)</f>
        <v/>
      </c>
      <c r="R207" s="47">
        <f>IF($E207=R$3,$G207,0)-IF($H207=R$3,$J207,0)</f>
        <v/>
      </c>
      <c r="S207" s="47">
        <f>IF($E207=S$3,$G207,0)-IF($H207=S$3,$J207,0)</f>
        <v/>
      </c>
      <c r="T207" s="47">
        <f>IF($E207=T$3,$G207,0)-IF($H207=T$3,$J207,0)</f>
        <v/>
      </c>
      <c r="U207" s="47">
        <f>IF($E207=U$3,$G207,0)-IF($H207=U$3,$J207,0)</f>
        <v/>
      </c>
      <c r="V207" s="47">
        <f>IF($E207=V$3,$G207,0)-IF($H207=V$3,$J207,0)</f>
        <v/>
      </c>
      <c r="W207" s="47">
        <f>IF($E207=W$3,$G207,0)-IF($H207=W$3,$J207,0)</f>
        <v/>
      </c>
      <c r="X207" s="47">
        <f>IF($E207=X$3,$G207,0)-IF($H207=X$3,$J207,0)</f>
        <v/>
      </c>
      <c r="Y207" s="47">
        <f>IF($E207=Y$3,$G207,0)-IF($H207=Y$3,$J207,0)</f>
        <v/>
      </c>
      <c r="Z207" s="47">
        <f>IF($E207=Z$3,$G207,0)-IF($H207=Z$3,$J207,0)</f>
        <v/>
      </c>
      <c r="AA207" s="47">
        <f>IF($E207=AA$3,$G207,0)-IF($H207=AA$3,$J207,0)</f>
        <v/>
      </c>
      <c r="AB207" s="47">
        <f>IF($E207=AB$3,$G207,0)-IF($H207=AB$3,$J207,0)</f>
        <v/>
      </c>
      <c r="AC207" s="47">
        <f>IF($E207=AC$3,$G207,0)-IF($H207=AC$3,$J207,0)</f>
        <v/>
      </c>
      <c r="AD207" s="47">
        <f>IF($E207=AD$3,$G207,0)-IF($H207=AD$3,$J207,0)</f>
        <v/>
      </c>
      <c r="AE207" s="47">
        <f>IF($E207=AE$3,$G207,0)-IF($H207=AE$3,$J207,0)</f>
        <v/>
      </c>
      <c r="AF207" s="47">
        <f>IF($E207=AF$3,$G207,0)-IF($H207=AF$3,$J207,0)</f>
        <v/>
      </c>
      <c r="AG207" s="47">
        <f>IF($E207=AG$3,$G207,0)-IF($H207=AG$3,$J207,0)</f>
        <v/>
      </c>
      <c r="AH207" s="47">
        <f>IF($E207=AH$3,$G207,0)-IF($H207=AH$3,$J207,0)</f>
        <v/>
      </c>
      <c r="AI207" s="47">
        <f>IF($E207=AI$3,$G207,0)-IF($H207=AI$3,$J207,0)</f>
        <v/>
      </c>
      <c r="AJ207" s="47">
        <f>IF($E207=AJ$3,$G207,0)-IF($H207=AJ$3,$J207,0)</f>
        <v/>
      </c>
      <c r="AK207" s="47">
        <f>IF($E207=AK$3,$G207,0)-IF($H207=AK$3,$J207,0)</f>
        <v/>
      </c>
      <c r="AL207" s="48">
        <f>IF($E207=AL$3,$G207,0)-IF($H207=AL$3,$J207,0)</f>
        <v/>
      </c>
      <c r="AM207" s="46">
        <f>-IF($E207=AM$3,$G207,0)+IF($H207=AM$3,$J207,0)</f>
        <v/>
      </c>
      <c r="AN207" s="47">
        <f>-IF($E207=AN$3,$G207,0)+IF($H207=AN$3,$J207,0)</f>
        <v/>
      </c>
      <c r="AO207" s="48">
        <f>-IF($E207=AO$3,$G207,0)+IF($H207=AO$3,$J207,0)</f>
        <v/>
      </c>
      <c r="AP207" s="46">
        <f>IF($E207=AP$3,$G207,0)-IF($H207=AP$3,$J207,0)</f>
        <v/>
      </c>
      <c r="AQ207" s="47">
        <f>IF($E207=AQ$3,$G207,0)-IF($H207=AQ$3,$J207,0)</f>
        <v/>
      </c>
      <c r="AR207" s="47">
        <f>IF($E207=AR$3,$G207,0)-IF($H207=AR$3,$J207,0)</f>
        <v/>
      </c>
      <c r="AS207" s="47">
        <f>IF($E207=AS$3,$G207,0)-IF($H207=AS$3,$J207,0)</f>
        <v/>
      </c>
      <c r="AT207" s="47">
        <f>IF($E207=AT$3,$G207,0)-IF($H207=AT$3,$J207,0)</f>
        <v/>
      </c>
      <c r="AU207" s="47">
        <f>IF($E207=AU$3,$G207,0)-IF($H207=AU$3,$J207,0)</f>
        <v/>
      </c>
      <c r="AV207" s="47">
        <f>IF($E207=AV$3,$G207,0)-IF($H207=AV$3,$J207,0)</f>
        <v/>
      </c>
      <c r="AW207" s="47">
        <f>IF($E207=AW$3,$G207,0)-IF($H207=AW$3,$J207,0)</f>
        <v/>
      </c>
      <c r="AX207" s="47">
        <f>IF($E207=AX$3,$G207,0)-IF($H207=AX$3,$J207,0)</f>
        <v/>
      </c>
      <c r="AY207" s="47">
        <f>IF($E207=AY$3,$G207,0)-IF($H207=AY$3,$J207,0)</f>
        <v/>
      </c>
      <c r="AZ207" s="47">
        <f>IF($E207=AZ$3,$G207,0)-IF($H207=AZ$3,$J207,0)</f>
        <v/>
      </c>
      <c r="BA207" s="47">
        <f>IF($E207=BA$3,$G207,0)-IF($H207=BA$3,$J207,0)</f>
        <v/>
      </c>
      <c r="BB207" s="47">
        <f>IF($E207=BB$3,$G207,0)-IF($H207=BB$3,$J207,0)</f>
        <v/>
      </c>
      <c r="BC207" s="47">
        <f>IF($E207=BC$3,$G207,0)-IF($H207=BC$3,$J207,0)</f>
        <v/>
      </c>
      <c r="BD207" s="47">
        <f>IF($E207=BD$3,$G207,0)-IF($H207=BD$3,$J207,0)</f>
        <v/>
      </c>
      <c r="BE207" s="47">
        <f>IF($E207=BE$3,$G207,0)-IF($H207=BE$3,$J207,0)</f>
        <v/>
      </c>
      <c r="BF207" s="47">
        <f>IF($E207=BF$3,$G207,0)-IF($H207=BF$3,$J207,0)</f>
        <v/>
      </c>
      <c r="BG207" s="47">
        <f>IF($E207=BG$3,$G207,0)-IF($H207=BG$3,$J207,0)</f>
        <v/>
      </c>
      <c r="BH207" s="47">
        <f>IF($E207=BH$3,$G207,0)-IF($H207=BH$3,$J207,0)</f>
        <v/>
      </c>
      <c r="BI207" s="47">
        <f>IF($E207=BI$3,$G207,0)-IF($H207=BI$3,$J207,0)</f>
        <v/>
      </c>
      <c r="BJ207" s="47">
        <f>IF($E207=BJ$3,$G207,0)-IF($H207=BJ$3,$J207,0)</f>
        <v/>
      </c>
      <c r="BK207" s="47">
        <f>IF($E207=BK$3,$G207,0)-IF($H207=BK$3,$J207,0)</f>
        <v/>
      </c>
      <c r="BL207" s="46">
        <f>-IF($E207=BL$3,$G207,0)+IF($H207=BL$3,$J207,0)</f>
        <v/>
      </c>
      <c r="BM207" s="47">
        <f>-IF($E207=BM$3,$G207,0)+IF($H207=BM$3,$J207,0)</f>
        <v/>
      </c>
      <c r="BN207" s="47">
        <f>-IF($E207=BN$3,$G207,0)+IF($H207=BN$3,$J207,0)</f>
        <v/>
      </c>
      <c r="BO207" s="47">
        <f>-IF($E207=BO$3,$G207,0)+IF($H207=BO$3,$J207,0)</f>
        <v/>
      </c>
      <c r="BP207" s="47">
        <f>-IF($E207=BP$3,$G207,0)+IF($H207=BP$3,$J207,0)</f>
        <v/>
      </c>
      <c r="BQ207" s="47">
        <f>-IF($E207=BQ$3,$G207,0)+IF($H207=BQ$3,$J207,0)</f>
        <v/>
      </c>
      <c r="BR207" s="47">
        <f>-IF($E207=BR$3,$G207,0)+IF($H207=BR$3,$J207,0)</f>
        <v/>
      </c>
      <c r="BS207" s="47">
        <f>-IF($E207=BS$3,$G207,0)+IF($H207=BS$3,$J207,0)</f>
        <v/>
      </c>
      <c r="BT207" s="47">
        <f>-IF($E207=BT$3,$G207,0)+IF($H207=BT$3,$J207,0)</f>
        <v/>
      </c>
      <c r="BU207" s="46">
        <f>+G207-J207</f>
        <v/>
      </c>
      <c r="BV207" s="48">
        <f>-IF($E207=BV$3,$G207,0)+IF($H207=BV$3,$J207,0)</f>
        <v/>
      </c>
      <c r="BW207" s="3" t="n"/>
    </row>
    <row r="208" ht="15.75" customHeight="1" s="214">
      <c r="A208" s="7" t="n"/>
      <c r="B208" s="8" t="n"/>
      <c r="C208" s="9" t="n"/>
      <c r="D208" s="10" t="n"/>
      <c r="E208" s="247" t="n"/>
      <c r="F208" s="11">
        <f>IF(E208="","",IF(ISNA(VLOOKUP(E208,科目コード表!$C$4:$D$67,2,FALSE)),"該当科目なし",VLOOKUP(E208,科目コード表!$C$4:$D$67,2,FALSE)))</f>
        <v/>
      </c>
      <c r="G208" s="38" t="n"/>
      <c r="H208" s="248" t="n"/>
      <c r="I208" s="11">
        <f>IF(H208="","",IF(ISNA(VLOOKUP(H208,科目コード表!$C$4:$D$67,2,FALSE)),"該当科目なし",VLOOKUP(H208,科目コード表!$C$4:$D$67,2,FALSE)))</f>
        <v/>
      </c>
      <c r="J208" s="40" t="n"/>
      <c r="L208" s="46">
        <f>IF($E208=L$3,$G208,0)-IF($H208=L$3,$J208,0)</f>
        <v/>
      </c>
      <c r="M208" s="47">
        <f>IF($E208=M$3,$G208,0)-IF($H208=M$3,$J208,0)</f>
        <v/>
      </c>
      <c r="N208" s="47">
        <f>IF($E208=N$3,$G208,0)-IF($H208=N$3,$J208,0)</f>
        <v/>
      </c>
      <c r="O208" s="47">
        <f>IF($E208=O$3,$G208,0)-IF($H208=O$3,$J208,0)</f>
        <v/>
      </c>
      <c r="P208" s="47">
        <f>IF($E208=P$3,$G208,0)-IF($H208=P$3,$J208,0)</f>
        <v/>
      </c>
      <c r="Q208" s="47">
        <f>IF($E208=Q$3,$G208,0)-IF($H208=Q$3,$J208,0)</f>
        <v/>
      </c>
      <c r="R208" s="47">
        <f>IF($E208=R$3,$G208,0)-IF($H208=R$3,$J208,0)</f>
        <v/>
      </c>
      <c r="S208" s="47">
        <f>IF($E208=S$3,$G208,0)-IF($H208=S$3,$J208,0)</f>
        <v/>
      </c>
      <c r="T208" s="47">
        <f>IF($E208=T$3,$G208,0)-IF($H208=T$3,$J208,0)</f>
        <v/>
      </c>
      <c r="U208" s="47">
        <f>IF($E208=U$3,$G208,0)-IF($H208=U$3,$J208,0)</f>
        <v/>
      </c>
      <c r="V208" s="47">
        <f>IF($E208=V$3,$G208,0)-IF($H208=V$3,$J208,0)</f>
        <v/>
      </c>
      <c r="W208" s="47">
        <f>IF($E208=W$3,$G208,0)-IF($H208=W$3,$J208,0)</f>
        <v/>
      </c>
      <c r="X208" s="47">
        <f>IF($E208=X$3,$G208,0)-IF($H208=X$3,$J208,0)</f>
        <v/>
      </c>
      <c r="Y208" s="47">
        <f>IF($E208=Y$3,$G208,0)-IF($H208=Y$3,$J208,0)</f>
        <v/>
      </c>
      <c r="Z208" s="47">
        <f>IF($E208=Z$3,$G208,0)-IF($H208=Z$3,$J208,0)</f>
        <v/>
      </c>
      <c r="AA208" s="47">
        <f>IF($E208=AA$3,$G208,0)-IF($H208=AA$3,$J208,0)</f>
        <v/>
      </c>
      <c r="AB208" s="47">
        <f>IF($E208=AB$3,$G208,0)-IF($H208=AB$3,$J208,0)</f>
        <v/>
      </c>
      <c r="AC208" s="47">
        <f>IF($E208=AC$3,$G208,0)-IF($H208=AC$3,$J208,0)</f>
        <v/>
      </c>
      <c r="AD208" s="47">
        <f>IF($E208=AD$3,$G208,0)-IF($H208=AD$3,$J208,0)</f>
        <v/>
      </c>
      <c r="AE208" s="47">
        <f>IF($E208=AE$3,$G208,0)-IF($H208=AE$3,$J208,0)</f>
        <v/>
      </c>
      <c r="AF208" s="47">
        <f>IF($E208=AF$3,$G208,0)-IF($H208=AF$3,$J208,0)</f>
        <v/>
      </c>
      <c r="AG208" s="47">
        <f>IF($E208=AG$3,$G208,0)-IF($H208=AG$3,$J208,0)</f>
        <v/>
      </c>
      <c r="AH208" s="47">
        <f>IF($E208=AH$3,$G208,0)-IF($H208=AH$3,$J208,0)</f>
        <v/>
      </c>
      <c r="AI208" s="47">
        <f>IF($E208=AI$3,$G208,0)-IF($H208=AI$3,$J208,0)</f>
        <v/>
      </c>
      <c r="AJ208" s="47">
        <f>IF($E208=AJ$3,$G208,0)-IF($H208=AJ$3,$J208,0)</f>
        <v/>
      </c>
      <c r="AK208" s="47">
        <f>IF($E208=AK$3,$G208,0)-IF($H208=AK$3,$J208,0)</f>
        <v/>
      </c>
      <c r="AL208" s="48">
        <f>IF($E208=AL$3,$G208,0)-IF($H208=AL$3,$J208,0)</f>
        <v/>
      </c>
      <c r="AM208" s="46">
        <f>-IF($E208=AM$3,$G208,0)+IF($H208=AM$3,$J208,0)</f>
        <v/>
      </c>
      <c r="AN208" s="47">
        <f>-IF($E208=AN$3,$G208,0)+IF($H208=AN$3,$J208,0)</f>
        <v/>
      </c>
      <c r="AO208" s="48">
        <f>-IF($E208=AO$3,$G208,0)+IF($H208=AO$3,$J208,0)</f>
        <v/>
      </c>
      <c r="AP208" s="46">
        <f>IF($E208=AP$3,$G208,0)-IF($H208=AP$3,$J208,0)</f>
        <v/>
      </c>
      <c r="AQ208" s="47">
        <f>IF($E208=AQ$3,$G208,0)-IF($H208=AQ$3,$J208,0)</f>
        <v/>
      </c>
      <c r="AR208" s="47">
        <f>IF($E208=AR$3,$G208,0)-IF($H208=AR$3,$J208,0)</f>
        <v/>
      </c>
      <c r="AS208" s="47">
        <f>IF($E208=AS$3,$G208,0)-IF($H208=AS$3,$J208,0)</f>
        <v/>
      </c>
      <c r="AT208" s="47">
        <f>IF($E208=AT$3,$G208,0)-IF($H208=AT$3,$J208,0)</f>
        <v/>
      </c>
      <c r="AU208" s="47">
        <f>IF($E208=AU$3,$G208,0)-IF($H208=AU$3,$J208,0)</f>
        <v/>
      </c>
      <c r="AV208" s="47">
        <f>IF($E208=AV$3,$G208,0)-IF($H208=AV$3,$J208,0)</f>
        <v/>
      </c>
      <c r="AW208" s="47">
        <f>IF($E208=AW$3,$G208,0)-IF($H208=AW$3,$J208,0)</f>
        <v/>
      </c>
      <c r="AX208" s="47">
        <f>IF($E208=AX$3,$G208,0)-IF($H208=AX$3,$J208,0)</f>
        <v/>
      </c>
      <c r="AY208" s="47">
        <f>IF($E208=AY$3,$G208,0)-IF($H208=AY$3,$J208,0)</f>
        <v/>
      </c>
      <c r="AZ208" s="47">
        <f>IF($E208=AZ$3,$G208,0)-IF($H208=AZ$3,$J208,0)</f>
        <v/>
      </c>
      <c r="BA208" s="47">
        <f>IF($E208=BA$3,$G208,0)-IF($H208=BA$3,$J208,0)</f>
        <v/>
      </c>
      <c r="BB208" s="47">
        <f>IF($E208=BB$3,$G208,0)-IF($H208=BB$3,$J208,0)</f>
        <v/>
      </c>
      <c r="BC208" s="47">
        <f>IF($E208=BC$3,$G208,0)-IF($H208=BC$3,$J208,0)</f>
        <v/>
      </c>
      <c r="BD208" s="47">
        <f>IF($E208=BD$3,$G208,0)-IF($H208=BD$3,$J208,0)</f>
        <v/>
      </c>
      <c r="BE208" s="47">
        <f>IF($E208=BE$3,$G208,0)-IF($H208=BE$3,$J208,0)</f>
        <v/>
      </c>
      <c r="BF208" s="47">
        <f>IF($E208=BF$3,$G208,0)-IF($H208=BF$3,$J208,0)</f>
        <v/>
      </c>
      <c r="BG208" s="47">
        <f>IF($E208=BG$3,$G208,0)-IF($H208=BG$3,$J208,0)</f>
        <v/>
      </c>
      <c r="BH208" s="47">
        <f>IF($E208=BH$3,$G208,0)-IF($H208=BH$3,$J208,0)</f>
        <v/>
      </c>
      <c r="BI208" s="47">
        <f>IF($E208=BI$3,$G208,0)-IF($H208=BI$3,$J208,0)</f>
        <v/>
      </c>
      <c r="BJ208" s="47">
        <f>IF($E208=BJ$3,$G208,0)-IF($H208=BJ$3,$J208,0)</f>
        <v/>
      </c>
      <c r="BK208" s="47">
        <f>IF($E208=BK$3,$G208,0)-IF($H208=BK$3,$J208,0)</f>
        <v/>
      </c>
      <c r="BL208" s="46">
        <f>-IF($E208=BL$3,$G208,0)+IF($H208=BL$3,$J208,0)</f>
        <v/>
      </c>
      <c r="BM208" s="47">
        <f>-IF($E208=BM$3,$G208,0)+IF($H208=BM$3,$J208,0)</f>
        <v/>
      </c>
      <c r="BN208" s="47">
        <f>-IF($E208=BN$3,$G208,0)+IF($H208=BN$3,$J208,0)</f>
        <v/>
      </c>
      <c r="BO208" s="47">
        <f>-IF($E208=BO$3,$G208,0)+IF($H208=BO$3,$J208,0)</f>
        <v/>
      </c>
      <c r="BP208" s="47">
        <f>-IF($E208=BP$3,$G208,0)+IF($H208=BP$3,$J208,0)</f>
        <v/>
      </c>
      <c r="BQ208" s="47">
        <f>-IF($E208=BQ$3,$G208,0)+IF($H208=BQ$3,$J208,0)</f>
        <v/>
      </c>
      <c r="BR208" s="47">
        <f>-IF($E208=BR$3,$G208,0)+IF($H208=BR$3,$J208,0)</f>
        <v/>
      </c>
      <c r="BS208" s="47">
        <f>-IF($E208=BS$3,$G208,0)+IF($H208=BS$3,$J208,0)</f>
        <v/>
      </c>
      <c r="BT208" s="47">
        <f>-IF($E208=BT$3,$G208,0)+IF($H208=BT$3,$J208,0)</f>
        <v/>
      </c>
      <c r="BU208" s="46">
        <f>+G208-J208</f>
        <v/>
      </c>
      <c r="BV208" s="48">
        <f>-IF($E208=BV$3,$G208,0)+IF($H208=BV$3,$J208,0)</f>
        <v/>
      </c>
      <c r="BW208" s="3" t="n"/>
    </row>
    <row r="209" ht="15.75" customHeight="1" s="214">
      <c r="A209" s="7" t="n"/>
      <c r="B209" s="8" t="n"/>
      <c r="C209" s="9" t="n"/>
      <c r="D209" s="10" t="n"/>
      <c r="E209" s="247" t="n"/>
      <c r="F209" s="11">
        <f>IF(E209="","",IF(ISNA(VLOOKUP(E209,科目コード表!$C$4:$D$67,2,FALSE)),"該当科目なし",VLOOKUP(E209,科目コード表!$C$4:$D$67,2,FALSE)))</f>
        <v/>
      </c>
      <c r="G209" s="38" t="n"/>
      <c r="H209" s="248" t="n"/>
      <c r="I209" s="11">
        <f>IF(H209="","",IF(ISNA(VLOOKUP(H209,科目コード表!$C$4:$D$67,2,FALSE)),"該当科目なし",VLOOKUP(H209,科目コード表!$C$4:$D$67,2,FALSE)))</f>
        <v/>
      </c>
      <c r="J209" s="40" t="n"/>
      <c r="L209" s="46">
        <f>IF($E209=L$3,$G209,0)-IF($H209=L$3,$J209,0)</f>
        <v/>
      </c>
      <c r="M209" s="47">
        <f>IF($E209=M$3,$G209,0)-IF($H209=M$3,$J209,0)</f>
        <v/>
      </c>
      <c r="N209" s="47">
        <f>IF($E209=N$3,$G209,0)-IF($H209=N$3,$J209,0)</f>
        <v/>
      </c>
      <c r="O209" s="47">
        <f>IF($E209=O$3,$G209,0)-IF($H209=O$3,$J209,0)</f>
        <v/>
      </c>
      <c r="P209" s="47">
        <f>IF($E209=P$3,$G209,0)-IF($H209=P$3,$J209,0)</f>
        <v/>
      </c>
      <c r="Q209" s="47">
        <f>IF($E209=Q$3,$G209,0)-IF($H209=Q$3,$J209,0)</f>
        <v/>
      </c>
      <c r="R209" s="47">
        <f>IF($E209=R$3,$G209,0)-IF($H209=R$3,$J209,0)</f>
        <v/>
      </c>
      <c r="S209" s="47">
        <f>IF($E209=S$3,$G209,0)-IF($H209=S$3,$J209,0)</f>
        <v/>
      </c>
      <c r="T209" s="47">
        <f>IF($E209=T$3,$G209,0)-IF($H209=T$3,$J209,0)</f>
        <v/>
      </c>
      <c r="U209" s="47">
        <f>IF($E209=U$3,$G209,0)-IF($H209=U$3,$J209,0)</f>
        <v/>
      </c>
      <c r="V209" s="47">
        <f>IF($E209=V$3,$G209,0)-IF($H209=V$3,$J209,0)</f>
        <v/>
      </c>
      <c r="W209" s="47">
        <f>IF($E209=W$3,$G209,0)-IF($H209=W$3,$J209,0)</f>
        <v/>
      </c>
      <c r="X209" s="47">
        <f>IF($E209=X$3,$G209,0)-IF($H209=X$3,$J209,0)</f>
        <v/>
      </c>
      <c r="Y209" s="47">
        <f>IF($E209=Y$3,$G209,0)-IF($H209=Y$3,$J209,0)</f>
        <v/>
      </c>
      <c r="Z209" s="47">
        <f>IF($E209=Z$3,$G209,0)-IF($H209=Z$3,$J209,0)</f>
        <v/>
      </c>
      <c r="AA209" s="47">
        <f>IF($E209=AA$3,$G209,0)-IF($H209=AA$3,$J209,0)</f>
        <v/>
      </c>
      <c r="AB209" s="47">
        <f>IF($E209=AB$3,$G209,0)-IF($H209=AB$3,$J209,0)</f>
        <v/>
      </c>
      <c r="AC209" s="47">
        <f>IF($E209=AC$3,$G209,0)-IF($H209=AC$3,$J209,0)</f>
        <v/>
      </c>
      <c r="AD209" s="47">
        <f>IF($E209=AD$3,$G209,0)-IF($H209=AD$3,$J209,0)</f>
        <v/>
      </c>
      <c r="AE209" s="47">
        <f>IF($E209=AE$3,$G209,0)-IF($H209=AE$3,$J209,0)</f>
        <v/>
      </c>
      <c r="AF209" s="47">
        <f>IF($E209=AF$3,$G209,0)-IF($H209=AF$3,$J209,0)</f>
        <v/>
      </c>
      <c r="AG209" s="47">
        <f>IF($E209=AG$3,$G209,0)-IF($H209=AG$3,$J209,0)</f>
        <v/>
      </c>
      <c r="AH209" s="47">
        <f>IF($E209=AH$3,$G209,0)-IF($H209=AH$3,$J209,0)</f>
        <v/>
      </c>
      <c r="AI209" s="47">
        <f>IF($E209=AI$3,$G209,0)-IF($H209=AI$3,$J209,0)</f>
        <v/>
      </c>
      <c r="AJ209" s="47">
        <f>IF($E209=AJ$3,$G209,0)-IF($H209=AJ$3,$J209,0)</f>
        <v/>
      </c>
      <c r="AK209" s="47">
        <f>IF($E209=AK$3,$G209,0)-IF($H209=AK$3,$J209,0)</f>
        <v/>
      </c>
      <c r="AL209" s="48">
        <f>IF($E209=AL$3,$G209,0)-IF($H209=AL$3,$J209,0)</f>
        <v/>
      </c>
      <c r="AM209" s="46">
        <f>-IF($E209=AM$3,$G209,0)+IF($H209=AM$3,$J209,0)</f>
        <v/>
      </c>
      <c r="AN209" s="47">
        <f>-IF($E209=AN$3,$G209,0)+IF($H209=AN$3,$J209,0)</f>
        <v/>
      </c>
      <c r="AO209" s="48">
        <f>-IF($E209=AO$3,$G209,0)+IF($H209=AO$3,$J209,0)</f>
        <v/>
      </c>
      <c r="AP209" s="46">
        <f>IF($E209=AP$3,$G209,0)-IF($H209=AP$3,$J209,0)</f>
        <v/>
      </c>
      <c r="AQ209" s="47">
        <f>IF($E209=AQ$3,$G209,0)-IF($H209=AQ$3,$J209,0)</f>
        <v/>
      </c>
      <c r="AR209" s="47">
        <f>IF($E209=AR$3,$G209,0)-IF($H209=AR$3,$J209,0)</f>
        <v/>
      </c>
      <c r="AS209" s="47">
        <f>IF($E209=AS$3,$G209,0)-IF($H209=AS$3,$J209,0)</f>
        <v/>
      </c>
      <c r="AT209" s="47">
        <f>IF($E209=AT$3,$G209,0)-IF($H209=AT$3,$J209,0)</f>
        <v/>
      </c>
      <c r="AU209" s="47">
        <f>IF($E209=AU$3,$G209,0)-IF($H209=AU$3,$J209,0)</f>
        <v/>
      </c>
      <c r="AV209" s="47">
        <f>IF($E209=AV$3,$G209,0)-IF($H209=AV$3,$J209,0)</f>
        <v/>
      </c>
      <c r="AW209" s="47">
        <f>IF($E209=AW$3,$G209,0)-IF($H209=AW$3,$J209,0)</f>
        <v/>
      </c>
      <c r="AX209" s="47">
        <f>IF($E209=AX$3,$G209,0)-IF($H209=AX$3,$J209,0)</f>
        <v/>
      </c>
      <c r="AY209" s="47">
        <f>IF($E209=AY$3,$G209,0)-IF($H209=AY$3,$J209,0)</f>
        <v/>
      </c>
      <c r="AZ209" s="47">
        <f>IF($E209=AZ$3,$G209,0)-IF($H209=AZ$3,$J209,0)</f>
        <v/>
      </c>
      <c r="BA209" s="47">
        <f>IF($E209=BA$3,$G209,0)-IF($H209=BA$3,$J209,0)</f>
        <v/>
      </c>
      <c r="BB209" s="47">
        <f>IF($E209=BB$3,$G209,0)-IF($H209=BB$3,$J209,0)</f>
        <v/>
      </c>
      <c r="BC209" s="47">
        <f>IF($E209=BC$3,$G209,0)-IF($H209=BC$3,$J209,0)</f>
        <v/>
      </c>
      <c r="BD209" s="47">
        <f>IF($E209=BD$3,$G209,0)-IF($H209=BD$3,$J209,0)</f>
        <v/>
      </c>
      <c r="BE209" s="47">
        <f>IF($E209=BE$3,$G209,0)-IF($H209=BE$3,$J209,0)</f>
        <v/>
      </c>
      <c r="BF209" s="47">
        <f>IF($E209=BF$3,$G209,0)-IF($H209=BF$3,$J209,0)</f>
        <v/>
      </c>
      <c r="BG209" s="47">
        <f>IF($E209=BG$3,$G209,0)-IF($H209=BG$3,$J209,0)</f>
        <v/>
      </c>
      <c r="BH209" s="47">
        <f>IF($E209=BH$3,$G209,0)-IF($H209=BH$3,$J209,0)</f>
        <v/>
      </c>
      <c r="BI209" s="47">
        <f>IF($E209=BI$3,$G209,0)-IF($H209=BI$3,$J209,0)</f>
        <v/>
      </c>
      <c r="BJ209" s="47">
        <f>IF($E209=BJ$3,$G209,0)-IF($H209=BJ$3,$J209,0)</f>
        <v/>
      </c>
      <c r="BK209" s="47">
        <f>IF($E209=BK$3,$G209,0)-IF($H209=BK$3,$J209,0)</f>
        <v/>
      </c>
      <c r="BL209" s="46">
        <f>-IF($E209=BL$3,$G209,0)+IF($H209=BL$3,$J209,0)</f>
        <v/>
      </c>
      <c r="BM209" s="47">
        <f>-IF($E209=BM$3,$G209,0)+IF($H209=BM$3,$J209,0)</f>
        <v/>
      </c>
      <c r="BN209" s="47">
        <f>-IF($E209=BN$3,$G209,0)+IF($H209=BN$3,$J209,0)</f>
        <v/>
      </c>
      <c r="BO209" s="47">
        <f>-IF($E209=BO$3,$G209,0)+IF($H209=BO$3,$J209,0)</f>
        <v/>
      </c>
      <c r="BP209" s="47">
        <f>-IF($E209=BP$3,$G209,0)+IF($H209=BP$3,$J209,0)</f>
        <v/>
      </c>
      <c r="BQ209" s="47">
        <f>-IF($E209=BQ$3,$G209,0)+IF($H209=BQ$3,$J209,0)</f>
        <v/>
      </c>
      <c r="BR209" s="47">
        <f>-IF($E209=BR$3,$G209,0)+IF($H209=BR$3,$J209,0)</f>
        <v/>
      </c>
      <c r="BS209" s="47">
        <f>-IF($E209=BS$3,$G209,0)+IF($H209=BS$3,$J209,0)</f>
        <v/>
      </c>
      <c r="BT209" s="47">
        <f>-IF($E209=BT$3,$G209,0)+IF($H209=BT$3,$J209,0)</f>
        <v/>
      </c>
      <c r="BU209" s="46">
        <f>+G209-J209</f>
        <v/>
      </c>
      <c r="BV209" s="48">
        <f>-IF($E209=BV$3,$G209,0)+IF($H209=BV$3,$J209,0)</f>
        <v/>
      </c>
      <c r="BW209" s="3" t="n"/>
    </row>
    <row r="210" ht="15.75" customHeight="1" s="214">
      <c r="A210" s="7" t="n"/>
      <c r="B210" s="8" t="n"/>
      <c r="C210" s="9" t="n"/>
      <c r="D210" s="10" t="n"/>
      <c r="E210" s="247" t="n"/>
      <c r="F210" s="11">
        <f>IF(E210="","",IF(ISNA(VLOOKUP(E210,科目コード表!$C$4:$D$67,2,FALSE)),"該当科目なし",VLOOKUP(E210,科目コード表!$C$4:$D$67,2,FALSE)))</f>
        <v/>
      </c>
      <c r="G210" s="38" t="n"/>
      <c r="H210" s="248" t="n"/>
      <c r="I210" s="11">
        <f>IF(H210="","",IF(ISNA(VLOOKUP(H210,科目コード表!$C$4:$D$67,2,FALSE)),"該当科目なし",VLOOKUP(H210,科目コード表!$C$4:$D$67,2,FALSE)))</f>
        <v/>
      </c>
      <c r="J210" s="40" t="n"/>
      <c r="L210" s="46">
        <f>IF($E210=L$3,$G210,0)-IF($H210=L$3,$J210,0)</f>
        <v/>
      </c>
      <c r="M210" s="47">
        <f>IF($E210=M$3,$G210,0)-IF($H210=M$3,$J210,0)</f>
        <v/>
      </c>
      <c r="N210" s="47">
        <f>IF($E210=N$3,$G210,0)-IF($H210=N$3,$J210,0)</f>
        <v/>
      </c>
      <c r="O210" s="47">
        <f>IF($E210=O$3,$G210,0)-IF($H210=O$3,$J210,0)</f>
        <v/>
      </c>
      <c r="P210" s="47">
        <f>IF($E210=P$3,$G210,0)-IF($H210=P$3,$J210,0)</f>
        <v/>
      </c>
      <c r="Q210" s="47">
        <f>IF($E210=Q$3,$G210,0)-IF($H210=Q$3,$J210,0)</f>
        <v/>
      </c>
      <c r="R210" s="47">
        <f>IF($E210=R$3,$G210,0)-IF($H210=R$3,$J210,0)</f>
        <v/>
      </c>
      <c r="S210" s="47">
        <f>IF($E210=S$3,$G210,0)-IF($H210=S$3,$J210,0)</f>
        <v/>
      </c>
      <c r="T210" s="47">
        <f>IF($E210=T$3,$G210,0)-IF($H210=T$3,$J210,0)</f>
        <v/>
      </c>
      <c r="U210" s="47">
        <f>IF($E210=U$3,$G210,0)-IF($H210=U$3,$J210,0)</f>
        <v/>
      </c>
      <c r="V210" s="47">
        <f>IF($E210=V$3,$G210,0)-IF($H210=V$3,$J210,0)</f>
        <v/>
      </c>
      <c r="W210" s="47">
        <f>IF($E210=W$3,$G210,0)-IF($H210=W$3,$J210,0)</f>
        <v/>
      </c>
      <c r="X210" s="47">
        <f>IF($E210=X$3,$G210,0)-IF($H210=X$3,$J210,0)</f>
        <v/>
      </c>
      <c r="Y210" s="47">
        <f>IF($E210=Y$3,$G210,0)-IF($H210=Y$3,$J210,0)</f>
        <v/>
      </c>
      <c r="Z210" s="47">
        <f>IF($E210=Z$3,$G210,0)-IF($H210=Z$3,$J210,0)</f>
        <v/>
      </c>
      <c r="AA210" s="47">
        <f>IF($E210=AA$3,$G210,0)-IF($H210=AA$3,$J210,0)</f>
        <v/>
      </c>
      <c r="AB210" s="47">
        <f>IF($E210=AB$3,$G210,0)-IF($H210=AB$3,$J210,0)</f>
        <v/>
      </c>
      <c r="AC210" s="47">
        <f>IF($E210=AC$3,$G210,0)-IF($H210=AC$3,$J210,0)</f>
        <v/>
      </c>
      <c r="AD210" s="47">
        <f>IF($E210=AD$3,$G210,0)-IF($H210=AD$3,$J210,0)</f>
        <v/>
      </c>
      <c r="AE210" s="47">
        <f>IF($E210=AE$3,$G210,0)-IF($H210=AE$3,$J210,0)</f>
        <v/>
      </c>
      <c r="AF210" s="47">
        <f>IF($E210=AF$3,$G210,0)-IF($H210=AF$3,$J210,0)</f>
        <v/>
      </c>
      <c r="AG210" s="47">
        <f>IF($E210=AG$3,$G210,0)-IF($H210=AG$3,$J210,0)</f>
        <v/>
      </c>
      <c r="AH210" s="47">
        <f>IF($E210=AH$3,$G210,0)-IF($H210=AH$3,$J210,0)</f>
        <v/>
      </c>
      <c r="AI210" s="47">
        <f>IF($E210=AI$3,$G210,0)-IF($H210=AI$3,$J210,0)</f>
        <v/>
      </c>
      <c r="AJ210" s="47">
        <f>IF($E210=AJ$3,$G210,0)-IF($H210=AJ$3,$J210,0)</f>
        <v/>
      </c>
      <c r="AK210" s="47">
        <f>IF($E210=AK$3,$G210,0)-IF($H210=AK$3,$J210,0)</f>
        <v/>
      </c>
      <c r="AL210" s="48">
        <f>IF($E210=AL$3,$G210,0)-IF($H210=AL$3,$J210,0)</f>
        <v/>
      </c>
      <c r="AM210" s="46">
        <f>-IF($E210=AM$3,$G210,0)+IF($H210=AM$3,$J210,0)</f>
        <v/>
      </c>
      <c r="AN210" s="47">
        <f>-IF($E210=AN$3,$G210,0)+IF($H210=AN$3,$J210,0)</f>
        <v/>
      </c>
      <c r="AO210" s="48">
        <f>-IF($E210=AO$3,$G210,0)+IF($H210=AO$3,$J210,0)</f>
        <v/>
      </c>
      <c r="AP210" s="46">
        <f>IF($E210=AP$3,$G210,0)-IF($H210=AP$3,$J210,0)</f>
        <v/>
      </c>
      <c r="AQ210" s="47">
        <f>IF($E210=AQ$3,$G210,0)-IF($H210=AQ$3,$J210,0)</f>
        <v/>
      </c>
      <c r="AR210" s="47">
        <f>IF($E210=AR$3,$G210,0)-IF($H210=AR$3,$J210,0)</f>
        <v/>
      </c>
      <c r="AS210" s="47">
        <f>IF($E210=AS$3,$G210,0)-IF($H210=AS$3,$J210,0)</f>
        <v/>
      </c>
      <c r="AT210" s="47">
        <f>IF($E210=AT$3,$G210,0)-IF($H210=AT$3,$J210,0)</f>
        <v/>
      </c>
      <c r="AU210" s="47">
        <f>IF($E210=AU$3,$G210,0)-IF($H210=AU$3,$J210,0)</f>
        <v/>
      </c>
      <c r="AV210" s="47">
        <f>IF($E210=AV$3,$G210,0)-IF($H210=AV$3,$J210,0)</f>
        <v/>
      </c>
      <c r="AW210" s="47">
        <f>IF($E210=AW$3,$G210,0)-IF($H210=AW$3,$J210,0)</f>
        <v/>
      </c>
      <c r="AX210" s="47">
        <f>IF($E210=AX$3,$G210,0)-IF($H210=AX$3,$J210,0)</f>
        <v/>
      </c>
      <c r="AY210" s="47">
        <f>IF($E210=AY$3,$G210,0)-IF($H210=AY$3,$J210,0)</f>
        <v/>
      </c>
      <c r="AZ210" s="47">
        <f>IF($E210=AZ$3,$G210,0)-IF($H210=AZ$3,$J210,0)</f>
        <v/>
      </c>
      <c r="BA210" s="47">
        <f>IF($E210=BA$3,$G210,0)-IF($H210=BA$3,$J210,0)</f>
        <v/>
      </c>
      <c r="BB210" s="47">
        <f>IF($E210=BB$3,$G210,0)-IF($H210=BB$3,$J210,0)</f>
        <v/>
      </c>
      <c r="BC210" s="47">
        <f>IF($E210=BC$3,$G210,0)-IF($H210=BC$3,$J210,0)</f>
        <v/>
      </c>
      <c r="BD210" s="47">
        <f>IF($E210=BD$3,$G210,0)-IF($H210=BD$3,$J210,0)</f>
        <v/>
      </c>
      <c r="BE210" s="47">
        <f>IF($E210=BE$3,$G210,0)-IF($H210=BE$3,$J210,0)</f>
        <v/>
      </c>
      <c r="BF210" s="47">
        <f>IF($E210=BF$3,$G210,0)-IF($H210=BF$3,$J210,0)</f>
        <v/>
      </c>
      <c r="BG210" s="47">
        <f>IF($E210=BG$3,$G210,0)-IF($H210=BG$3,$J210,0)</f>
        <v/>
      </c>
      <c r="BH210" s="47">
        <f>IF($E210=BH$3,$G210,0)-IF($H210=BH$3,$J210,0)</f>
        <v/>
      </c>
      <c r="BI210" s="47">
        <f>IF($E210=BI$3,$G210,0)-IF($H210=BI$3,$J210,0)</f>
        <v/>
      </c>
      <c r="BJ210" s="47">
        <f>IF($E210=BJ$3,$G210,0)-IF($H210=BJ$3,$J210,0)</f>
        <v/>
      </c>
      <c r="BK210" s="47">
        <f>IF($E210=BK$3,$G210,0)-IF($H210=BK$3,$J210,0)</f>
        <v/>
      </c>
      <c r="BL210" s="46">
        <f>-IF($E210=BL$3,$G210,0)+IF($H210=BL$3,$J210,0)</f>
        <v/>
      </c>
      <c r="BM210" s="47">
        <f>-IF($E210=BM$3,$G210,0)+IF($H210=BM$3,$J210,0)</f>
        <v/>
      </c>
      <c r="BN210" s="47">
        <f>-IF($E210=BN$3,$G210,0)+IF($H210=BN$3,$J210,0)</f>
        <v/>
      </c>
      <c r="BO210" s="47">
        <f>-IF($E210=BO$3,$G210,0)+IF($H210=BO$3,$J210,0)</f>
        <v/>
      </c>
      <c r="BP210" s="47">
        <f>-IF($E210=BP$3,$G210,0)+IF($H210=BP$3,$J210,0)</f>
        <v/>
      </c>
      <c r="BQ210" s="47">
        <f>-IF($E210=BQ$3,$G210,0)+IF($H210=BQ$3,$J210,0)</f>
        <v/>
      </c>
      <c r="BR210" s="47">
        <f>-IF($E210=BR$3,$G210,0)+IF($H210=BR$3,$J210,0)</f>
        <v/>
      </c>
      <c r="BS210" s="47">
        <f>-IF($E210=BS$3,$G210,0)+IF($H210=BS$3,$J210,0)</f>
        <v/>
      </c>
      <c r="BT210" s="47">
        <f>-IF($E210=BT$3,$G210,0)+IF($H210=BT$3,$J210,0)</f>
        <v/>
      </c>
      <c r="BU210" s="46">
        <f>+G210-J210</f>
        <v/>
      </c>
      <c r="BV210" s="48">
        <f>-IF($E210=BV$3,$G210,0)+IF($H210=BV$3,$J210,0)</f>
        <v/>
      </c>
      <c r="BW210" s="3" t="n"/>
    </row>
    <row r="211" ht="15.75" customHeight="1" s="214">
      <c r="A211" s="7" t="n"/>
      <c r="B211" s="8" t="n"/>
      <c r="C211" s="9" t="n"/>
      <c r="D211" s="10" t="n"/>
      <c r="E211" s="247" t="n"/>
      <c r="F211" s="11">
        <f>IF(E211="","",IF(ISNA(VLOOKUP(E211,科目コード表!$C$4:$D$67,2,FALSE)),"該当科目なし",VLOOKUP(E211,科目コード表!$C$4:$D$67,2,FALSE)))</f>
        <v/>
      </c>
      <c r="G211" s="38" t="n"/>
      <c r="H211" s="248" t="n"/>
      <c r="I211" s="11">
        <f>IF(H211="","",IF(ISNA(VLOOKUP(H211,科目コード表!$C$4:$D$67,2,FALSE)),"該当科目なし",VLOOKUP(H211,科目コード表!$C$4:$D$67,2,FALSE)))</f>
        <v/>
      </c>
      <c r="J211" s="40" t="n"/>
      <c r="L211" s="46">
        <f>IF($E211=L$3,$G211,0)-IF($H211=L$3,$J211,0)</f>
        <v/>
      </c>
      <c r="M211" s="47">
        <f>IF($E211=M$3,$G211,0)-IF($H211=M$3,$J211,0)</f>
        <v/>
      </c>
      <c r="N211" s="47">
        <f>IF($E211=N$3,$G211,0)-IF($H211=N$3,$J211,0)</f>
        <v/>
      </c>
      <c r="O211" s="47">
        <f>IF($E211=O$3,$G211,0)-IF($H211=O$3,$J211,0)</f>
        <v/>
      </c>
      <c r="P211" s="47">
        <f>IF($E211=P$3,$G211,0)-IF($H211=P$3,$J211,0)</f>
        <v/>
      </c>
      <c r="Q211" s="47">
        <f>IF($E211=Q$3,$G211,0)-IF($H211=Q$3,$J211,0)</f>
        <v/>
      </c>
      <c r="R211" s="47">
        <f>IF($E211=R$3,$G211,0)-IF($H211=R$3,$J211,0)</f>
        <v/>
      </c>
      <c r="S211" s="47">
        <f>IF($E211=S$3,$G211,0)-IF($H211=S$3,$J211,0)</f>
        <v/>
      </c>
      <c r="T211" s="47">
        <f>IF($E211=T$3,$G211,0)-IF($H211=T$3,$J211,0)</f>
        <v/>
      </c>
      <c r="U211" s="47">
        <f>IF($E211=U$3,$G211,0)-IF($H211=U$3,$J211,0)</f>
        <v/>
      </c>
      <c r="V211" s="47">
        <f>IF($E211=V$3,$G211,0)-IF($H211=V$3,$J211,0)</f>
        <v/>
      </c>
      <c r="W211" s="47">
        <f>IF($E211=W$3,$G211,0)-IF($H211=W$3,$J211,0)</f>
        <v/>
      </c>
      <c r="X211" s="47">
        <f>IF($E211=X$3,$G211,0)-IF($H211=X$3,$J211,0)</f>
        <v/>
      </c>
      <c r="Y211" s="47">
        <f>IF($E211=Y$3,$G211,0)-IF($H211=Y$3,$J211,0)</f>
        <v/>
      </c>
      <c r="Z211" s="47">
        <f>IF($E211=Z$3,$G211,0)-IF($H211=Z$3,$J211,0)</f>
        <v/>
      </c>
      <c r="AA211" s="47">
        <f>IF($E211=AA$3,$G211,0)-IF($H211=AA$3,$J211,0)</f>
        <v/>
      </c>
      <c r="AB211" s="47">
        <f>IF($E211=AB$3,$G211,0)-IF($H211=AB$3,$J211,0)</f>
        <v/>
      </c>
      <c r="AC211" s="47">
        <f>IF($E211=AC$3,$G211,0)-IF($H211=AC$3,$J211,0)</f>
        <v/>
      </c>
      <c r="AD211" s="47">
        <f>IF($E211=AD$3,$G211,0)-IF($H211=AD$3,$J211,0)</f>
        <v/>
      </c>
      <c r="AE211" s="47">
        <f>IF($E211=AE$3,$G211,0)-IF($H211=AE$3,$J211,0)</f>
        <v/>
      </c>
      <c r="AF211" s="47">
        <f>IF($E211=AF$3,$G211,0)-IF($H211=AF$3,$J211,0)</f>
        <v/>
      </c>
      <c r="AG211" s="47">
        <f>IF($E211=AG$3,$G211,0)-IF($H211=AG$3,$J211,0)</f>
        <v/>
      </c>
      <c r="AH211" s="47">
        <f>IF($E211=AH$3,$G211,0)-IF($H211=AH$3,$J211,0)</f>
        <v/>
      </c>
      <c r="AI211" s="47">
        <f>IF($E211=AI$3,$G211,0)-IF($H211=AI$3,$J211,0)</f>
        <v/>
      </c>
      <c r="AJ211" s="47">
        <f>IF($E211=AJ$3,$G211,0)-IF($H211=AJ$3,$J211,0)</f>
        <v/>
      </c>
      <c r="AK211" s="47">
        <f>IF($E211=AK$3,$G211,0)-IF($H211=AK$3,$J211,0)</f>
        <v/>
      </c>
      <c r="AL211" s="48">
        <f>IF($E211=AL$3,$G211,0)-IF($H211=AL$3,$J211,0)</f>
        <v/>
      </c>
      <c r="AM211" s="46">
        <f>-IF($E211=AM$3,$G211,0)+IF($H211=AM$3,$J211,0)</f>
        <v/>
      </c>
      <c r="AN211" s="47">
        <f>-IF($E211=AN$3,$G211,0)+IF($H211=AN$3,$J211,0)</f>
        <v/>
      </c>
      <c r="AO211" s="48">
        <f>-IF($E211=AO$3,$G211,0)+IF($H211=AO$3,$J211,0)</f>
        <v/>
      </c>
      <c r="AP211" s="46">
        <f>IF($E211=AP$3,$G211,0)-IF($H211=AP$3,$J211,0)</f>
        <v/>
      </c>
      <c r="AQ211" s="47">
        <f>IF($E211=AQ$3,$G211,0)-IF($H211=AQ$3,$J211,0)</f>
        <v/>
      </c>
      <c r="AR211" s="47">
        <f>IF($E211=AR$3,$G211,0)-IF($H211=AR$3,$J211,0)</f>
        <v/>
      </c>
      <c r="AS211" s="47">
        <f>IF($E211=AS$3,$G211,0)-IF($H211=AS$3,$J211,0)</f>
        <v/>
      </c>
      <c r="AT211" s="47">
        <f>IF($E211=AT$3,$G211,0)-IF($H211=AT$3,$J211,0)</f>
        <v/>
      </c>
      <c r="AU211" s="47">
        <f>IF($E211=AU$3,$G211,0)-IF($H211=AU$3,$J211,0)</f>
        <v/>
      </c>
      <c r="AV211" s="47">
        <f>IF($E211=AV$3,$G211,0)-IF($H211=AV$3,$J211,0)</f>
        <v/>
      </c>
      <c r="AW211" s="47">
        <f>IF($E211=AW$3,$G211,0)-IF($H211=AW$3,$J211,0)</f>
        <v/>
      </c>
      <c r="AX211" s="47">
        <f>IF($E211=AX$3,$G211,0)-IF($H211=AX$3,$J211,0)</f>
        <v/>
      </c>
      <c r="AY211" s="47">
        <f>IF($E211=AY$3,$G211,0)-IF($H211=AY$3,$J211,0)</f>
        <v/>
      </c>
      <c r="AZ211" s="47">
        <f>IF($E211=AZ$3,$G211,0)-IF($H211=AZ$3,$J211,0)</f>
        <v/>
      </c>
      <c r="BA211" s="47">
        <f>IF($E211=BA$3,$G211,0)-IF($H211=BA$3,$J211,0)</f>
        <v/>
      </c>
      <c r="BB211" s="47">
        <f>IF($E211=BB$3,$G211,0)-IF($H211=BB$3,$J211,0)</f>
        <v/>
      </c>
      <c r="BC211" s="47">
        <f>IF($E211=BC$3,$G211,0)-IF($H211=BC$3,$J211,0)</f>
        <v/>
      </c>
      <c r="BD211" s="47">
        <f>IF($E211=BD$3,$G211,0)-IF($H211=BD$3,$J211,0)</f>
        <v/>
      </c>
      <c r="BE211" s="47">
        <f>IF($E211=BE$3,$G211,0)-IF($H211=BE$3,$J211,0)</f>
        <v/>
      </c>
      <c r="BF211" s="47">
        <f>IF($E211=BF$3,$G211,0)-IF($H211=BF$3,$J211,0)</f>
        <v/>
      </c>
      <c r="BG211" s="47">
        <f>IF($E211=BG$3,$G211,0)-IF($H211=BG$3,$J211,0)</f>
        <v/>
      </c>
      <c r="BH211" s="47">
        <f>IF($E211=BH$3,$G211,0)-IF($H211=BH$3,$J211,0)</f>
        <v/>
      </c>
      <c r="BI211" s="47">
        <f>IF($E211=BI$3,$G211,0)-IF($H211=BI$3,$J211,0)</f>
        <v/>
      </c>
      <c r="BJ211" s="47">
        <f>IF($E211=BJ$3,$G211,0)-IF($H211=BJ$3,$J211,0)</f>
        <v/>
      </c>
      <c r="BK211" s="47">
        <f>IF($E211=BK$3,$G211,0)-IF($H211=BK$3,$J211,0)</f>
        <v/>
      </c>
      <c r="BL211" s="46">
        <f>-IF($E211=BL$3,$G211,0)+IF($H211=BL$3,$J211,0)</f>
        <v/>
      </c>
      <c r="BM211" s="47">
        <f>-IF($E211=BM$3,$G211,0)+IF($H211=BM$3,$J211,0)</f>
        <v/>
      </c>
      <c r="BN211" s="47">
        <f>-IF($E211=BN$3,$G211,0)+IF($H211=BN$3,$J211,0)</f>
        <v/>
      </c>
      <c r="BO211" s="47">
        <f>-IF($E211=BO$3,$G211,0)+IF($H211=BO$3,$J211,0)</f>
        <v/>
      </c>
      <c r="BP211" s="47">
        <f>-IF($E211=BP$3,$G211,0)+IF($H211=BP$3,$J211,0)</f>
        <v/>
      </c>
      <c r="BQ211" s="47">
        <f>-IF($E211=BQ$3,$G211,0)+IF($H211=BQ$3,$J211,0)</f>
        <v/>
      </c>
      <c r="BR211" s="47">
        <f>-IF($E211=BR$3,$G211,0)+IF($H211=BR$3,$J211,0)</f>
        <v/>
      </c>
      <c r="BS211" s="47">
        <f>-IF($E211=BS$3,$G211,0)+IF($H211=BS$3,$J211,0)</f>
        <v/>
      </c>
      <c r="BT211" s="47">
        <f>-IF($E211=BT$3,$G211,0)+IF($H211=BT$3,$J211,0)</f>
        <v/>
      </c>
      <c r="BU211" s="46">
        <f>+G211-J211</f>
        <v/>
      </c>
      <c r="BV211" s="48">
        <f>-IF($E211=BV$3,$G211,0)+IF($H211=BV$3,$J211,0)</f>
        <v/>
      </c>
      <c r="BW211" s="3" t="n"/>
    </row>
    <row r="212" ht="15.75" customHeight="1" s="214">
      <c r="A212" s="7" t="n"/>
      <c r="B212" s="8" t="n"/>
      <c r="C212" s="9" t="n"/>
      <c r="D212" s="10" t="n"/>
      <c r="E212" s="247" t="n"/>
      <c r="F212" s="11">
        <f>IF(E212="","",IF(ISNA(VLOOKUP(E212,科目コード表!$C$4:$D$67,2,FALSE)),"該当科目なし",VLOOKUP(E212,科目コード表!$C$4:$D$67,2,FALSE)))</f>
        <v/>
      </c>
      <c r="G212" s="38" t="n"/>
      <c r="H212" s="248" t="n"/>
      <c r="I212" s="11">
        <f>IF(H212="","",IF(ISNA(VLOOKUP(H212,科目コード表!$C$4:$D$67,2,FALSE)),"該当科目なし",VLOOKUP(H212,科目コード表!$C$4:$D$67,2,FALSE)))</f>
        <v/>
      </c>
      <c r="J212" s="40" t="n"/>
      <c r="L212" s="46">
        <f>IF($E212=L$3,$G212,0)-IF($H212=L$3,$J212,0)</f>
        <v/>
      </c>
      <c r="M212" s="47">
        <f>IF($E212=M$3,$G212,0)-IF($H212=M$3,$J212,0)</f>
        <v/>
      </c>
      <c r="N212" s="47">
        <f>IF($E212=N$3,$G212,0)-IF($H212=N$3,$J212,0)</f>
        <v/>
      </c>
      <c r="O212" s="47">
        <f>IF($E212=O$3,$G212,0)-IF($H212=O$3,$J212,0)</f>
        <v/>
      </c>
      <c r="P212" s="47">
        <f>IF($E212=P$3,$G212,0)-IF($H212=P$3,$J212,0)</f>
        <v/>
      </c>
      <c r="Q212" s="47">
        <f>IF($E212=Q$3,$G212,0)-IF($H212=Q$3,$J212,0)</f>
        <v/>
      </c>
      <c r="R212" s="47">
        <f>IF($E212=R$3,$G212,0)-IF($H212=R$3,$J212,0)</f>
        <v/>
      </c>
      <c r="S212" s="47">
        <f>IF($E212=S$3,$G212,0)-IF($H212=S$3,$J212,0)</f>
        <v/>
      </c>
      <c r="T212" s="47">
        <f>IF($E212=T$3,$G212,0)-IF($H212=T$3,$J212,0)</f>
        <v/>
      </c>
      <c r="U212" s="47">
        <f>IF($E212=U$3,$G212,0)-IF($H212=U$3,$J212,0)</f>
        <v/>
      </c>
      <c r="V212" s="47">
        <f>IF($E212=V$3,$G212,0)-IF($H212=V$3,$J212,0)</f>
        <v/>
      </c>
      <c r="W212" s="47">
        <f>IF($E212=W$3,$G212,0)-IF($H212=W$3,$J212,0)</f>
        <v/>
      </c>
      <c r="X212" s="47">
        <f>IF($E212=X$3,$G212,0)-IF($H212=X$3,$J212,0)</f>
        <v/>
      </c>
      <c r="Y212" s="47">
        <f>IF($E212=Y$3,$G212,0)-IF($H212=Y$3,$J212,0)</f>
        <v/>
      </c>
      <c r="Z212" s="47">
        <f>IF($E212=Z$3,$G212,0)-IF($H212=Z$3,$J212,0)</f>
        <v/>
      </c>
      <c r="AA212" s="47">
        <f>IF($E212=AA$3,$G212,0)-IF($H212=AA$3,$J212,0)</f>
        <v/>
      </c>
      <c r="AB212" s="47">
        <f>IF($E212=AB$3,$G212,0)-IF($H212=AB$3,$J212,0)</f>
        <v/>
      </c>
      <c r="AC212" s="47">
        <f>IF($E212=AC$3,$G212,0)-IF($H212=AC$3,$J212,0)</f>
        <v/>
      </c>
      <c r="AD212" s="47">
        <f>IF($E212=AD$3,$G212,0)-IF($H212=AD$3,$J212,0)</f>
        <v/>
      </c>
      <c r="AE212" s="47">
        <f>IF($E212=AE$3,$G212,0)-IF($H212=AE$3,$J212,0)</f>
        <v/>
      </c>
      <c r="AF212" s="47">
        <f>IF($E212=AF$3,$G212,0)-IF($H212=AF$3,$J212,0)</f>
        <v/>
      </c>
      <c r="AG212" s="47">
        <f>IF($E212=AG$3,$G212,0)-IF($H212=AG$3,$J212,0)</f>
        <v/>
      </c>
      <c r="AH212" s="47">
        <f>IF($E212=AH$3,$G212,0)-IF($H212=AH$3,$J212,0)</f>
        <v/>
      </c>
      <c r="AI212" s="47">
        <f>IF($E212=AI$3,$G212,0)-IF($H212=AI$3,$J212,0)</f>
        <v/>
      </c>
      <c r="AJ212" s="47">
        <f>IF($E212=AJ$3,$G212,0)-IF($H212=AJ$3,$J212,0)</f>
        <v/>
      </c>
      <c r="AK212" s="47">
        <f>IF($E212=AK$3,$G212,0)-IF($H212=AK$3,$J212,0)</f>
        <v/>
      </c>
      <c r="AL212" s="48">
        <f>IF($E212=AL$3,$G212,0)-IF($H212=AL$3,$J212,0)</f>
        <v/>
      </c>
      <c r="AM212" s="46">
        <f>-IF($E212=AM$3,$G212,0)+IF($H212=AM$3,$J212,0)</f>
        <v/>
      </c>
      <c r="AN212" s="47">
        <f>-IF($E212=AN$3,$G212,0)+IF($H212=AN$3,$J212,0)</f>
        <v/>
      </c>
      <c r="AO212" s="48">
        <f>-IF($E212=AO$3,$G212,0)+IF($H212=AO$3,$J212,0)</f>
        <v/>
      </c>
      <c r="AP212" s="46">
        <f>IF($E212=AP$3,$G212,0)-IF($H212=AP$3,$J212,0)</f>
        <v/>
      </c>
      <c r="AQ212" s="47">
        <f>IF($E212=AQ$3,$G212,0)-IF($H212=AQ$3,$J212,0)</f>
        <v/>
      </c>
      <c r="AR212" s="47">
        <f>IF($E212=AR$3,$G212,0)-IF($H212=AR$3,$J212,0)</f>
        <v/>
      </c>
      <c r="AS212" s="47">
        <f>IF($E212=AS$3,$G212,0)-IF($H212=AS$3,$J212,0)</f>
        <v/>
      </c>
      <c r="AT212" s="47">
        <f>IF($E212=AT$3,$G212,0)-IF($H212=AT$3,$J212,0)</f>
        <v/>
      </c>
      <c r="AU212" s="47">
        <f>IF($E212=AU$3,$G212,0)-IF($H212=AU$3,$J212,0)</f>
        <v/>
      </c>
      <c r="AV212" s="47">
        <f>IF($E212=AV$3,$G212,0)-IF($H212=AV$3,$J212,0)</f>
        <v/>
      </c>
      <c r="AW212" s="47">
        <f>IF($E212=AW$3,$G212,0)-IF($H212=AW$3,$J212,0)</f>
        <v/>
      </c>
      <c r="AX212" s="47">
        <f>IF($E212=AX$3,$G212,0)-IF($H212=AX$3,$J212,0)</f>
        <v/>
      </c>
      <c r="AY212" s="47">
        <f>IF($E212=AY$3,$G212,0)-IF($H212=AY$3,$J212,0)</f>
        <v/>
      </c>
      <c r="AZ212" s="47">
        <f>IF($E212=AZ$3,$G212,0)-IF($H212=AZ$3,$J212,0)</f>
        <v/>
      </c>
      <c r="BA212" s="47">
        <f>IF($E212=BA$3,$G212,0)-IF($H212=BA$3,$J212,0)</f>
        <v/>
      </c>
      <c r="BB212" s="47">
        <f>IF($E212=BB$3,$G212,0)-IF($H212=BB$3,$J212,0)</f>
        <v/>
      </c>
      <c r="BC212" s="47">
        <f>IF($E212=BC$3,$G212,0)-IF($H212=BC$3,$J212,0)</f>
        <v/>
      </c>
      <c r="BD212" s="47">
        <f>IF($E212=BD$3,$G212,0)-IF($H212=BD$3,$J212,0)</f>
        <v/>
      </c>
      <c r="BE212" s="47">
        <f>IF($E212=BE$3,$G212,0)-IF($H212=BE$3,$J212,0)</f>
        <v/>
      </c>
      <c r="BF212" s="47">
        <f>IF($E212=BF$3,$G212,0)-IF($H212=BF$3,$J212,0)</f>
        <v/>
      </c>
      <c r="BG212" s="47">
        <f>IF($E212=BG$3,$G212,0)-IF($H212=BG$3,$J212,0)</f>
        <v/>
      </c>
      <c r="BH212" s="47">
        <f>IF($E212=BH$3,$G212,0)-IF($H212=BH$3,$J212,0)</f>
        <v/>
      </c>
      <c r="BI212" s="47">
        <f>IF($E212=BI$3,$G212,0)-IF($H212=BI$3,$J212,0)</f>
        <v/>
      </c>
      <c r="BJ212" s="47">
        <f>IF($E212=BJ$3,$G212,0)-IF($H212=BJ$3,$J212,0)</f>
        <v/>
      </c>
      <c r="BK212" s="47">
        <f>IF($E212=BK$3,$G212,0)-IF($H212=BK$3,$J212,0)</f>
        <v/>
      </c>
      <c r="BL212" s="46">
        <f>-IF($E212=BL$3,$G212,0)+IF($H212=BL$3,$J212,0)</f>
        <v/>
      </c>
      <c r="BM212" s="47">
        <f>-IF($E212=BM$3,$G212,0)+IF($H212=BM$3,$J212,0)</f>
        <v/>
      </c>
      <c r="BN212" s="47">
        <f>-IF($E212=BN$3,$G212,0)+IF($H212=BN$3,$J212,0)</f>
        <v/>
      </c>
      <c r="BO212" s="47">
        <f>-IF($E212=BO$3,$G212,0)+IF($H212=BO$3,$J212,0)</f>
        <v/>
      </c>
      <c r="BP212" s="47">
        <f>-IF($E212=BP$3,$G212,0)+IF($H212=BP$3,$J212,0)</f>
        <v/>
      </c>
      <c r="BQ212" s="47">
        <f>-IF($E212=BQ$3,$G212,0)+IF($H212=BQ$3,$J212,0)</f>
        <v/>
      </c>
      <c r="BR212" s="47">
        <f>-IF($E212=BR$3,$G212,0)+IF($H212=BR$3,$J212,0)</f>
        <v/>
      </c>
      <c r="BS212" s="47">
        <f>-IF($E212=BS$3,$G212,0)+IF($H212=BS$3,$J212,0)</f>
        <v/>
      </c>
      <c r="BT212" s="47">
        <f>-IF($E212=BT$3,$G212,0)+IF($H212=BT$3,$J212,0)</f>
        <v/>
      </c>
      <c r="BU212" s="46">
        <f>+G212-J212</f>
        <v/>
      </c>
      <c r="BV212" s="48">
        <f>-IF($E212=BV$3,$G212,0)+IF($H212=BV$3,$J212,0)</f>
        <v/>
      </c>
      <c r="BW212" s="3" t="n"/>
    </row>
    <row r="213" ht="15.75" customHeight="1" s="214">
      <c r="A213" s="7" t="n"/>
      <c r="B213" s="8" t="n"/>
      <c r="C213" s="9" t="n"/>
      <c r="D213" s="10" t="n"/>
      <c r="E213" s="247" t="n"/>
      <c r="F213" s="11">
        <f>IF(E213="","",IF(ISNA(VLOOKUP(E213,科目コード表!$C$4:$D$67,2,FALSE)),"該当科目なし",VLOOKUP(E213,科目コード表!$C$4:$D$67,2,FALSE)))</f>
        <v/>
      </c>
      <c r="G213" s="38" t="n"/>
      <c r="H213" s="248" t="n"/>
      <c r="I213" s="11">
        <f>IF(H213="","",IF(ISNA(VLOOKUP(H213,科目コード表!$C$4:$D$67,2,FALSE)),"該当科目なし",VLOOKUP(H213,科目コード表!$C$4:$D$67,2,FALSE)))</f>
        <v/>
      </c>
      <c r="J213" s="40" t="n"/>
      <c r="L213" s="46">
        <f>IF($E213=L$3,$G213,0)-IF($H213=L$3,$J213,0)</f>
        <v/>
      </c>
      <c r="M213" s="47">
        <f>IF($E213=M$3,$G213,0)-IF($H213=M$3,$J213,0)</f>
        <v/>
      </c>
      <c r="N213" s="47">
        <f>IF($E213=N$3,$G213,0)-IF($H213=N$3,$J213,0)</f>
        <v/>
      </c>
      <c r="O213" s="47">
        <f>IF($E213=O$3,$G213,0)-IF($H213=O$3,$J213,0)</f>
        <v/>
      </c>
      <c r="P213" s="47">
        <f>IF($E213=P$3,$G213,0)-IF($H213=P$3,$J213,0)</f>
        <v/>
      </c>
      <c r="Q213" s="47">
        <f>IF($E213=Q$3,$G213,0)-IF($H213=Q$3,$J213,0)</f>
        <v/>
      </c>
      <c r="R213" s="47">
        <f>IF($E213=R$3,$G213,0)-IF($H213=R$3,$J213,0)</f>
        <v/>
      </c>
      <c r="S213" s="47">
        <f>IF($E213=S$3,$G213,0)-IF($H213=S$3,$J213,0)</f>
        <v/>
      </c>
      <c r="T213" s="47">
        <f>IF($E213=T$3,$G213,0)-IF($H213=T$3,$J213,0)</f>
        <v/>
      </c>
      <c r="U213" s="47">
        <f>IF($E213=U$3,$G213,0)-IF($H213=U$3,$J213,0)</f>
        <v/>
      </c>
      <c r="V213" s="47">
        <f>IF($E213=V$3,$G213,0)-IF($H213=V$3,$J213,0)</f>
        <v/>
      </c>
      <c r="W213" s="47">
        <f>IF($E213=W$3,$G213,0)-IF($H213=W$3,$J213,0)</f>
        <v/>
      </c>
      <c r="X213" s="47">
        <f>IF($E213=X$3,$G213,0)-IF($H213=X$3,$J213,0)</f>
        <v/>
      </c>
      <c r="Y213" s="47">
        <f>IF($E213=Y$3,$G213,0)-IF($H213=Y$3,$J213,0)</f>
        <v/>
      </c>
      <c r="Z213" s="47">
        <f>IF($E213=Z$3,$G213,0)-IF($H213=Z$3,$J213,0)</f>
        <v/>
      </c>
      <c r="AA213" s="47">
        <f>IF($E213=AA$3,$G213,0)-IF($H213=AA$3,$J213,0)</f>
        <v/>
      </c>
      <c r="AB213" s="47">
        <f>IF($E213=AB$3,$G213,0)-IF($H213=AB$3,$J213,0)</f>
        <v/>
      </c>
      <c r="AC213" s="47">
        <f>IF($E213=AC$3,$G213,0)-IF($H213=AC$3,$J213,0)</f>
        <v/>
      </c>
      <c r="AD213" s="47">
        <f>IF($E213=AD$3,$G213,0)-IF($H213=AD$3,$J213,0)</f>
        <v/>
      </c>
      <c r="AE213" s="47">
        <f>IF($E213=AE$3,$G213,0)-IF($H213=AE$3,$J213,0)</f>
        <v/>
      </c>
      <c r="AF213" s="47">
        <f>IF($E213=AF$3,$G213,0)-IF($H213=AF$3,$J213,0)</f>
        <v/>
      </c>
      <c r="AG213" s="47">
        <f>IF($E213=AG$3,$G213,0)-IF($H213=AG$3,$J213,0)</f>
        <v/>
      </c>
      <c r="AH213" s="47">
        <f>IF($E213=AH$3,$G213,0)-IF($H213=AH$3,$J213,0)</f>
        <v/>
      </c>
      <c r="AI213" s="47">
        <f>IF($E213=AI$3,$G213,0)-IF($H213=AI$3,$J213,0)</f>
        <v/>
      </c>
      <c r="AJ213" s="47">
        <f>IF($E213=AJ$3,$G213,0)-IF($H213=AJ$3,$J213,0)</f>
        <v/>
      </c>
      <c r="AK213" s="47">
        <f>IF($E213=AK$3,$G213,0)-IF($H213=AK$3,$J213,0)</f>
        <v/>
      </c>
      <c r="AL213" s="48">
        <f>IF($E213=AL$3,$G213,0)-IF($H213=AL$3,$J213,0)</f>
        <v/>
      </c>
      <c r="AM213" s="46">
        <f>-IF($E213=AM$3,$G213,0)+IF($H213=AM$3,$J213,0)</f>
        <v/>
      </c>
      <c r="AN213" s="47">
        <f>-IF($E213=AN$3,$G213,0)+IF($H213=AN$3,$J213,0)</f>
        <v/>
      </c>
      <c r="AO213" s="48">
        <f>-IF($E213=AO$3,$G213,0)+IF($H213=AO$3,$J213,0)</f>
        <v/>
      </c>
      <c r="AP213" s="46">
        <f>IF($E213=AP$3,$G213,0)-IF($H213=AP$3,$J213,0)</f>
        <v/>
      </c>
      <c r="AQ213" s="47">
        <f>IF($E213=AQ$3,$G213,0)-IF($H213=AQ$3,$J213,0)</f>
        <v/>
      </c>
      <c r="AR213" s="47">
        <f>IF($E213=AR$3,$G213,0)-IF($H213=AR$3,$J213,0)</f>
        <v/>
      </c>
      <c r="AS213" s="47">
        <f>IF($E213=AS$3,$G213,0)-IF($H213=AS$3,$J213,0)</f>
        <v/>
      </c>
      <c r="AT213" s="47">
        <f>IF($E213=AT$3,$G213,0)-IF($H213=AT$3,$J213,0)</f>
        <v/>
      </c>
      <c r="AU213" s="47">
        <f>IF($E213=AU$3,$G213,0)-IF($H213=AU$3,$J213,0)</f>
        <v/>
      </c>
      <c r="AV213" s="47">
        <f>IF($E213=AV$3,$G213,0)-IF($H213=AV$3,$J213,0)</f>
        <v/>
      </c>
      <c r="AW213" s="47">
        <f>IF($E213=AW$3,$G213,0)-IF($H213=AW$3,$J213,0)</f>
        <v/>
      </c>
      <c r="AX213" s="47">
        <f>IF($E213=AX$3,$G213,0)-IF($H213=AX$3,$J213,0)</f>
        <v/>
      </c>
      <c r="AY213" s="47">
        <f>IF($E213=AY$3,$G213,0)-IF($H213=AY$3,$J213,0)</f>
        <v/>
      </c>
      <c r="AZ213" s="47">
        <f>IF($E213=AZ$3,$G213,0)-IF($H213=AZ$3,$J213,0)</f>
        <v/>
      </c>
      <c r="BA213" s="47">
        <f>IF($E213=BA$3,$G213,0)-IF($H213=BA$3,$J213,0)</f>
        <v/>
      </c>
      <c r="BB213" s="47">
        <f>IF($E213=BB$3,$G213,0)-IF($H213=BB$3,$J213,0)</f>
        <v/>
      </c>
      <c r="BC213" s="47">
        <f>IF($E213=BC$3,$G213,0)-IF($H213=BC$3,$J213,0)</f>
        <v/>
      </c>
      <c r="BD213" s="47">
        <f>IF($E213=BD$3,$G213,0)-IF($H213=BD$3,$J213,0)</f>
        <v/>
      </c>
      <c r="BE213" s="47">
        <f>IF($E213=BE$3,$G213,0)-IF($H213=BE$3,$J213,0)</f>
        <v/>
      </c>
      <c r="BF213" s="47">
        <f>IF($E213=BF$3,$G213,0)-IF($H213=BF$3,$J213,0)</f>
        <v/>
      </c>
      <c r="BG213" s="47">
        <f>IF($E213=BG$3,$G213,0)-IF($H213=BG$3,$J213,0)</f>
        <v/>
      </c>
      <c r="BH213" s="47">
        <f>IF($E213=BH$3,$G213,0)-IF($H213=BH$3,$J213,0)</f>
        <v/>
      </c>
      <c r="BI213" s="47">
        <f>IF($E213=BI$3,$G213,0)-IF($H213=BI$3,$J213,0)</f>
        <v/>
      </c>
      <c r="BJ213" s="47">
        <f>IF($E213=BJ$3,$G213,0)-IF($H213=BJ$3,$J213,0)</f>
        <v/>
      </c>
      <c r="BK213" s="47">
        <f>IF($E213=BK$3,$G213,0)-IF($H213=BK$3,$J213,0)</f>
        <v/>
      </c>
      <c r="BL213" s="46">
        <f>-IF($E213=BL$3,$G213,0)+IF($H213=BL$3,$J213,0)</f>
        <v/>
      </c>
      <c r="BM213" s="47">
        <f>-IF($E213=BM$3,$G213,0)+IF($H213=BM$3,$J213,0)</f>
        <v/>
      </c>
      <c r="BN213" s="47">
        <f>-IF($E213=BN$3,$G213,0)+IF($H213=BN$3,$J213,0)</f>
        <v/>
      </c>
      <c r="BO213" s="47">
        <f>-IF($E213=BO$3,$G213,0)+IF($H213=BO$3,$J213,0)</f>
        <v/>
      </c>
      <c r="BP213" s="47">
        <f>-IF($E213=BP$3,$G213,0)+IF($H213=BP$3,$J213,0)</f>
        <v/>
      </c>
      <c r="BQ213" s="47">
        <f>-IF($E213=BQ$3,$G213,0)+IF($H213=BQ$3,$J213,0)</f>
        <v/>
      </c>
      <c r="BR213" s="47">
        <f>-IF($E213=BR$3,$G213,0)+IF($H213=BR$3,$J213,0)</f>
        <v/>
      </c>
      <c r="BS213" s="47">
        <f>-IF($E213=BS$3,$G213,0)+IF($H213=BS$3,$J213,0)</f>
        <v/>
      </c>
      <c r="BT213" s="47">
        <f>-IF($E213=BT$3,$G213,0)+IF($H213=BT$3,$J213,0)</f>
        <v/>
      </c>
      <c r="BU213" s="46">
        <f>+G213-J213</f>
        <v/>
      </c>
      <c r="BV213" s="48">
        <f>-IF($E213=BV$3,$G213,0)+IF($H213=BV$3,$J213,0)</f>
        <v/>
      </c>
      <c r="BW213" s="3" t="n"/>
    </row>
    <row r="214" ht="15.75" customHeight="1" s="214">
      <c r="A214" s="7" t="n"/>
      <c r="B214" s="8" t="n"/>
      <c r="C214" s="9" t="n"/>
      <c r="D214" s="10" t="n"/>
      <c r="E214" s="247" t="n"/>
      <c r="F214" s="11">
        <f>IF(E214="","",IF(ISNA(VLOOKUP(E214,科目コード表!$C$4:$D$67,2,FALSE)),"該当科目なし",VLOOKUP(E214,科目コード表!$C$4:$D$67,2,FALSE)))</f>
        <v/>
      </c>
      <c r="G214" s="38" t="n"/>
      <c r="H214" s="248" t="n"/>
      <c r="I214" s="11">
        <f>IF(H214="","",IF(ISNA(VLOOKUP(H214,科目コード表!$C$4:$D$67,2,FALSE)),"該当科目なし",VLOOKUP(H214,科目コード表!$C$4:$D$67,2,FALSE)))</f>
        <v/>
      </c>
      <c r="J214" s="40" t="n"/>
      <c r="L214" s="46">
        <f>IF($E214=L$3,$G214,0)-IF($H214=L$3,$J214,0)</f>
        <v/>
      </c>
      <c r="M214" s="47">
        <f>IF($E214=M$3,$G214,0)-IF($H214=M$3,$J214,0)</f>
        <v/>
      </c>
      <c r="N214" s="47">
        <f>IF($E214=N$3,$G214,0)-IF($H214=N$3,$J214,0)</f>
        <v/>
      </c>
      <c r="O214" s="47">
        <f>IF($E214=O$3,$G214,0)-IF($H214=O$3,$J214,0)</f>
        <v/>
      </c>
      <c r="P214" s="47">
        <f>IF($E214=P$3,$G214,0)-IF($H214=P$3,$J214,0)</f>
        <v/>
      </c>
      <c r="Q214" s="47">
        <f>IF($E214=Q$3,$G214,0)-IF($H214=Q$3,$J214,0)</f>
        <v/>
      </c>
      <c r="R214" s="47">
        <f>IF($E214=R$3,$G214,0)-IF($H214=R$3,$J214,0)</f>
        <v/>
      </c>
      <c r="S214" s="47">
        <f>IF($E214=S$3,$G214,0)-IF($H214=S$3,$J214,0)</f>
        <v/>
      </c>
      <c r="T214" s="47">
        <f>IF($E214=T$3,$G214,0)-IF($H214=T$3,$J214,0)</f>
        <v/>
      </c>
      <c r="U214" s="47">
        <f>IF($E214=U$3,$G214,0)-IF($H214=U$3,$J214,0)</f>
        <v/>
      </c>
      <c r="V214" s="47">
        <f>IF($E214=V$3,$G214,0)-IF($H214=V$3,$J214,0)</f>
        <v/>
      </c>
      <c r="W214" s="47">
        <f>IF($E214=W$3,$G214,0)-IF($H214=W$3,$J214,0)</f>
        <v/>
      </c>
      <c r="X214" s="47">
        <f>IF($E214=X$3,$G214,0)-IF($H214=X$3,$J214,0)</f>
        <v/>
      </c>
      <c r="Y214" s="47">
        <f>IF($E214=Y$3,$G214,0)-IF($H214=Y$3,$J214,0)</f>
        <v/>
      </c>
      <c r="Z214" s="47">
        <f>IF($E214=Z$3,$G214,0)-IF($H214=Z$3,$J214,0)</f>
        <v/>
      </c>
      <c r="AA214" s="47">
        <f>IF($E214=AA$3,$G214,0)-IF($H214=AA$3,$J214,0)</f>
        <v/>
      </c>
      <c r="AB214" s="47">
        <f>IF($E214=AB$3,$G214,0)-IF($H214=AB$3,$J214,0)</f>
        <v/>
      </c>
      <c r="AC214" s="47">
        <f>IF($E214=AC$3,$G214,0)-IF($H214=AC$3,$J214,0)</f>
        <v/>
      </c>
      <c r="AD214" s="47">
        <f>IF($E214=AD$3,$G214,0)-IF($H214=AD$3,$J214,0)</f>
        <v/>
      </c>
      <c r="AE214" s="47">
        <f>IF($E214=AE$3,$G214,0)-IF($H214=AE$3,$J214,0)</f>
        <v/>
      </c>
      <c r="AF214" s="47">
        <f>IF($E214=AF$3,$G214,0)-IF($H214=AF$3,$J214,0)</f>
        <v/>
      </c>
      <c r="AG214" s="47">
        <f>IF($E214=AG$3,$G214,0)-IF($H214=AG$3,$J214,0)</f>
        <v/>
      </c>
      <c r="AH214" s="47">
        <f>IF($E214=AH$3,$G214,0)-IF($H214=AH$3,$J214,0)</f>
        <v/>
      </c>
      <c r="AI214" s="47">
        <f>IF($E214=AI$3,$G214,0)-IF($H214=AI$3,$J214,0)</f>
        <v/>
      </c>
      <c r="AJ214" s="47">
        <f>IF($E214=AJ$3,$G214,0)-IF($H214=AJ$3,$J214,0)</f>
        <v/>
      </c>
      <c r="AK214" s="47">
        <f>IF($E214=AK$3,$G214,0)-IF($H214=AK$3,$J214,0)</f>
        <v/>
      </c>
      <c r="AL214" s="48">
        <f>IF($E214=AL$3,$G214,0)-IF($H214=AL$3,$J214,0)</f>
        <v/>
      </c>
      <c r="AM214" s="46">
        <f>-IF($E214=AM$3,$G214,0)+IF($H214=AM$3,$J214,0)</f>
        <v/>
      </c>
      <c r="AN214" s="47">
        <f>-IF($E214=AN$3,$G214,0)+IF($H214=AN$3,$J214,0)</f>
        <v/>
      </c>
      <c r="AO214" s="48">
        <f>-IF($E214=AO$3,$G214,0)+IF($H214=AO$3,$J214,0)</f>
        <v/>
      </c>
      <c r="AP214" s="46">
        <f>IF($E214=AP$3,$G214,0)-IF($H214=AP$3,$J214,0)</f>
        <v/>
      </c>
      <c r="AQ214" s="47">
        <f>IF($E214=AQ$3,$G214,0)-IF($H214=AQ$3,$J214,0)</f>
        <v/>
      </c>
      <c r="AR214" s="47">
        <f>IF($E214=AR$3,$G214,0)-IF($H214=AR$3,$J214,0)</f>
        <v/>
      </c>
      <c r="AS214" s="47">
        <f>IF($E214=AS$3,$G214,0)-IF($H214=AS$3,$J214,0)</f>
        <v/>
      </c>
      <c r="AT214" s="47">
        <f>IF($E214=AT$3,$G214,0)-IF($H214=AT$3,$J214,0)</f>
        <v/>
      </c>
      <c r="AU214" s="47">
        <f>IF($E214=AU$3,$G214,0)-IF($H214=AU$3,$J214,0)</f>
        <v/>
      </c>
      <c r="AV214" s="47">
        <f>IF($E214=AV$3,$G214,0)-IF($H214=AV$3,$J214,0)</f>
        <v/>
      </c>
      <c r="AW214" s="47">
        <f>IF($E214=AW$3,$G214,0)-IF($H214=AW$3,$J214,0)</f>
        <v/>
      </c>
      <c r="AX214" s="47">
        <f>IF($E214=AX$3,$G214,0)-IF($H214=AX$3,$J214,0)</f>
        <v/>
      </c>
      <c r="AY214" s="47">
        <f>IF($E214=AY$3,$G214,0)-IF($H214=AY$3,$J214,0)</f>
        <v/>
      </c>
      <c r="AZ214" s="47">
        <f>IF($E214=AZ$3,$G214,0)-IF($H214=AZ$3,$J214,0)</f>
        <v/>
      </c>
      <c r="BA214" s="47">
        <f>IF($E214=BA$3,$G214,0)-IF($H214=BA$3,$J214,0)</f>
        <v/>
      </c>
      <c r="BB214" s="47">
        <f>IF($E214=BB$3,$G214,0)-IF($H214=BB$3,$J214,0)</f>
        <v/>
      </c>
      <c r="BC214" s="47">
        <f>IF($E214=BC$3,$G214,0)-IF($H214=BC$3,$J214,0)</f>
        <v/>
      </c>
      <c r="BD214" s="47">
        <f>IF($E214=BD$3,$G214,0)-IF($H214=BD$3,$J214,0)</f>
        <v/>
      </c>
      <c r="BE214" s="47">
        <f>IF($E214=BE$3,$G214,0)-IF($H214=BE$3,$J214,0)</f>
        <v/>
      </c>
      <c r="BF214" s="47">
        <f>IF($E214=BF$3,$G214,0)-IF($H214=BF$3,$J214,0)</f>
        <v/>
      </c>
      <c r="BG214" s="47">
        <f>IF($E214=BG$3,$G214,0)-IF($H214=BG$3,$J214,0)</f>
        <v/>
      </c>
      <c r="BH214" s="47">
        <f>IF($E214=BH$3,$G214,0)-IF($H214=BH$3,$J214,0)</f>
        <v/>
      </c>
      <c r="BI214" s="47">
        <f>IF($E214=BI$3,$G214,0)-IF($H214=BI$3,$J214,0)</f>
        <v/>
      </c>
      <c r="BJ214" s="47">
        <f>IF($E214=BJ$3,$G214,0)-IF($H214=BJ$3,$J214,0)</f>
        <v/>
      </c>
      <c r="BK214" s="47">
        <f>IF($E214=BK$3,$G214,0)-IF($H214=BK$3,$J214,0)</f>
        <v/>
      </c>
      <c r="BL214" s="46">
        <f>-IF($E214=BL$3,$G214,0)+IF($H214=BL$3,$J214,0)</f>
        <v/>
      </c>
      <c r="BM214" s="47">
        <f>-IF($E214=BM$3,$G214,0)+IF($H214=BM$3,$J214,0)</f>
        <v/>
      </c>
      <c r="BN214" s="47">
        <f>-IF($E214=BN$3,$G214,0)+IF($H214=BN$3,$J214,0)</f>
        <v/>
      </c>
      <c r="BO214" s="47">
        <f>-IF($E214=BO$3,$G214,0)+IF($H214=BO$3,$J214,0)</f>
        <v/>
      </c>
      <c r="BP214" s="47">
        <f>-IF($E214=BP$3,$G214,0)+IF($H214=BP$3,$J214,0)</f>
        <v/>
      </c>
      <c r="BQ214" s="47">
        <f>-IF($E214=BQ$3,$G214,0)+IF($H214=BQ$3,$J214,0)</f>
        <v/>
      </c>
      <c r="BR214" s="47">
        <f>-IF($E214=BR$3,$G214,0)+IF($H214=BR$3,$J214,0)</f>
        <v/>
      </c>
      <c r="BS214" s="47">
        <f>-IF($E214=BS$3,$G214,0)+IF($H214=BS$3,$J214,0)</f>
        <v/>
      </c>
      <c r="BT214" s="47">
        <f>-IF($E214=BT$3,$G214,0)+IF($H214=BT$3,$J214,0)</f>
        <v/>
      </c>
      <c r="BU214" s="46">
        <f>+G214-J214</f>
        <v/>
      </c>
      <c r="BV214" s="48">
        <f>-IF($E214=BV$3,$G214,0)+IF($H214=BV$3,$J214,0)</f>
        <v/>
      </c>
      <c r="BW214" s="3" t="n"/>
    </row>
    <row r="215" ht="15.75" customHeight="1" s="214">
      <c r="A215" s="7" t="n"/>
      <c r="B215" s="8" t="n"/>
      <c r="C215" s="9" t="n"/>
      <c r="D215" s="10" t="n"/>
      <c r="E215" s="247" t="n"/>
      <c r="F215" s="11">
        <f>IF(E215="","",IF(ISNA(VLOOKUP(E215,科目コード表!$C$4:$D$67,2,FALSE)),"該当科目なし",VLOOKUP(E215,科目コード表!$C$4:$D$67,2,FALSE)))</f>
        <v/>
      </c>
      <c r="G215" s="38" t="n"/>
      <c r="H215" s="248" t="n"/>
      <c r="I215" s="11">
        <f>IF(H215="","",IF(ISNA(VLOOKUP(H215,科目コード表!$C$4:$D$67,2,FALSE)),"該当科目なし",VLOOKUP(H215,科目コード表!$C$4:$D$67,2,FALSE)))</f>
        <v/>
      </c>
      <c r="J215" s="40" t="n"/>
      <c r="L215" s="46">
        <f>IF($E215=L$3,$G215,0)-IF($H215=L$3,$J215,0)</f>
        <v/>
      </c>
      <c r="M215" s="47">
        <f>IF($E215=M$3,$G215,0)-IF($H215=M$3,$J215,0)</f>
        <v/>
      </c>
      <c r="N215" s="47">
        <f>IF($E215=N$3,$G215,0)-IF($H215=N$3,$J215,0)</f>
        <v/>
      </c>
      <c r="O215" s="47">
        <f>IF($E215=O$3,$G215,0)-IF($H215=O$3,$J215,0)</f>
        <v/>
      </c>
      <c r="P215" s="47">
        <f>IF($E215=P$3,$G215,0)-IF($H215=P$3,$J215,0)</f>
        <v/>
      </c>
      <c r="Q215" s="47">
        <f>IF($E215=Q$3,$G215,0)-IF($H215=Q$3,$J215,0)</f>
        <v/>
      </c>
      <c r="R215" s="47">
        <f>IF($E215=R$3,$G215,0)-IF($H215=R$3,$J215,0)</f>
        <v/>
      </c>
      <c r="S215" s="47">
        <f>IF($E215=S$3,$G215,0)-IF($H215=S$3,$J215,0)</f>
        <v/>
      </c>
      <c r="T215" s="47">
        <f>IF($E215=T$3,$G215,0)-IF($H215=T$3,$J215,0)</f>
        <v/>
      </c>
      <c r="U215" s="47">
        <f>IF($E215=U$3,$G215,0)-IF($H215=U$3,$J215,0)</f>
        <v/>
      </c>
      <c r="V215" s="47">
        <f>IF($E215=V$3,$G215,0)-IF($H215=V$3,$J215,0)</f>
        <v/>
      </c>
      <c r="W215" s="47">
        <f>IF($E215=W$3,$G215,0)-IF($H215=W$3,$J215,0)</f>
        <v/>
      </c>
      <c r="X215" s="47">
        <f>IF($E215=X$3,$G215,0)-IF($H215=X$3,$J215,0)</f>
        <v/>
      </c>
      <c r="Y215" s="47">
        <f>IF($E215=Y$3,$G215,0)-IF($H215=Y$3,$J215,0)</f>
        <v/>
      </c>
      <c r="Z215" s="47">
        <f>IF($E215=Z$3,$G215,0)-IF($H215=Z$3,$J215,0)</f>
        <v/>
      </c>
      <c r="AA215" s="47">
        <f>IF($E215=AA$3,$G215,0)-IF($H215=AA$3,$J215,0)</f>
        <v/>
      </c>
      <c r="AB215" s="47">
        <f>IF($E215=AB$3,$G215,0)-IF($H215=AB$3,$J215,0)</f>
        <v/>
      </c>
      <c r="AC215" s="47">
        <f>IF($E215=AC$3,$G215,0)-IF($H215=AC$3,$J215,0)</f>
        <v/>
      </c>
      <c r="AD215" s="47">
        <f>IF($E215=AD$3,$G215,0)-IF($H215=AD$3,$J215,0)</f>
        <v/>
      </c>
      <c r="AE215" s="47">
        <f>IF($E215=AE$3,$G215,0)-IF($H215=AE$3,$J215,0)</f>
        <v/>
      </c>
      <c r="AF215" s="47">
        <f>IF($E215=AF$3,$G215,0)-IF($H215=AF$3,$J215,0)</f>
        <v/>
      </c>
      <c r="AG215" s="47">
        <f>IF($E215=AG$3,$G215,0)-IF($H215=AG$3,$J215,0)</f>
        <v/>
      </c>
      <c r="AH215" s="47">
        <f>IF($E215=AH$3,$G215,0)-IF($H215=AH$3,$J215,0)</f>
        <v/>
      </c>
      <c r="AI215" s="47">
        <f>IF($E215=AI$3,$G215,0)-IF($H215=AI$3,$J215,0)</f>
        <v/>
      </c>
      <c r="AJ215" s="47">
        <f>IF($E215=AJ$3,$G215,0)-IF($H215=AJ$3,$J215,0)</f>
        <v/>
      </c>
      <c r="AK215" s="47">
        <f>IF($E215=AK$3,$G215,0)-IF($H215=AK$3,$J215,0)</f>
        <v/>
      </c>
      <c r="AL215" s="48">
        <f>IF($E215=AL$3,$G215,0)-IF($H215=AL$3,$J215,0)</f>
        <v/>
      </c>
      <c r="AM215" s="46">
        <f>-IF($E215=AM$3,$G215,0)+IF($H215=AM$3,$J215,0)</f>
        <v/>
      </c>
      <c r="AN215" s="47">
        <f>-IF($E215=AN$3,$G215,0)+IF($H215=AN$3,$J215,0)</f>
        <v/>
      </c>
      <c r="AO215" s="48">
        <f>-IF($E215=AO$3,$G215,0)+IF($H215=AO$3,$J215,0)</f>
        <v/>
      </c>
      <c r="AP215" s="46">
        <f>IF($E215=AP$3,$G215,0)-IF($H215=AP$3,$J215,0)</f>
        <v/>
      </c>
      <c r="AQ215" s="47">
        <f>IF($E215=AQ$3,$G215,0)-IF($H215=AQ$3,$J215,0)</f>
        <v/>
      </c>
      <c r="AR215" s="47">
        <f>IF($E215=AR$3,$G215,0)-IF($H215=AR$3,$J215,0)</f>
        <v/>
      </c>
      <c r="AS215" s="47">
        <f>IF($E215=AS$3,$G215,0)-IF($H215=AS$3,$J215,0)</f>
        <v/>
      </c>
      <c r="AT215" s="47">
        <f>IF($E215=AT$3,$G215,0)-IF($H215=AT$3,$J215,0)</f>
        <v/>
      </c>
      <c r="AU215" s="47">
        <f>IF($E215=AU$3,$G215,0)-IF($H215=AU$3,$J215,0)</f>
        <v/>
      </c>
      <c r="AV215" s="47">
        <f>IF($E215=AV$3,$G215,0)-IF($H215=AV$3,$J215,0)</f>
        <v/>
      </c>
      <c r="AW215" s="47">
        <f>IF($E215=AW$3,$G215,0)-IF($H215=AW$3,$J215,0)</f>
        <v/>
      </c>
      <c r="AX215" s="47">
        <f>IF($E215=AX$3,$G215,0)-IF($H215=AX$3,$J215,0)</f>
        <v/>
      </c>
      <c r="AY215" s="47">
        <f>IF($E215=AY$3,$G215,0)-IF($H215=AY$3,$J215,0)</f>
        <v/>
      </c>
      <c r="AZ215" s="47">
        <f>IF($E215=AZ$3,$G215,0)-IF($H215=AZ$3,$J215,0)</f>
        <v/>
      </c>
      <c r="BA215" s="47">
        <f>IF($E215=BA$3,$G215,0)-IF($H215=BA$3,$J215,0)</f>
        <v/>
      </c>
      <c r="BB215" s="47">
        <f>IF($E215=BB$3,$G215,0)-IF($H215=BB$3,$J215,0)</f>
        <v/>
      </c>
      <c r="BC215" s="47">
        <f>IF($E215=BC$3,$G215,0)-IF($H215=BC$3,$J215,0)</f>
        <v/>
      </c>
      <c r="BD215" s="47">
        <f>IF($E215=BD$3,$G215,0)-IF($H215=BD$3,$J215,0)</f>
        <v/>
      </c>
      <c r="BE215" s="47">
        <f>IF($E215=BE$3,$G215,0)-IF($H215=BE$3,$J215,0)</f>
        <v/>
      </c>
      <c r="BF215" s="47">
        <f>IF($E215=BF$3,$G215,0)-IF($H215=BF$3,$J215,0)</f>
        <v/>
      </c>
      <c r="BG215" s="47">
        <f>IF($E215=BG$3,$G215,0)-IF($H215=BG$3,$J215,0)</f>
        <v/>
      </c>
      <c r="BH215" s="47">
        <f>IF($E215=BH$3,$G215,0)-IF($H215=BH$3,$J215,0)</f>
        <v/>
      </c>
      <c r="BI215" s="47">
        <f>IF($E215=BI$3,$G215,0)-IF($H215=BI$3,$J215,0)</f>
        <v/>
      </c>
      <c r="BJ215" s="47">
        <f>IF($E215=BJ$3,$G215,0)-IF($H215=BJ$3,$J215,0)</f>
        <v/>
      </c>
      <c r="BK215" s="47">
        <f>IF($E215=BK$3,$G215,0)-IF($H215=BK$3,$J215,0)</f>
        <v/>
      </c>
      <c r="BL215" s="46">
        <f>-IF($E215=BL$3,$G215,0)+IF($H215=BL$3,$J215,0)</f>
        <v/>
      </c>
      <c r="BM215" s="47">
        <f>-IF($E215=BM$3,$G215,0)+IF($H215=BM$3,$J215,0)</f>
        <v/>
      </c>
      <c r="BN215" s="47">
        <f>-IF($E215=BN$3,$G215,0)+IF($H215=BN$3,$J215,0)</f>
        <v/>
      </c>
      <c r="BO215" s="47">
        <f>-IF($E215=BO$3,$G215,0)+IF($H215=BO$3,$J215,0)</f>
        <v/>
      </c>
      <c r="BP215" s="47">
        <f>-IF($E215=BP$3,$G215,0)+IF($H215=BP$3,$J215,0)</f>
        <v/>
      </c>
      <c r="BQ215" s="47">
        <f>-IF($E215=BQ$3,$G215,0)+IF($H215=BQ$3,$J215,0)</f>
        <v/>
      </c>
      <c r="BR215" s="47">
        <f>-IF($E215=BR$3,$G215,0)+IF($H215=BR$3,$J215,0)</f>
        <v/>
      </c>
      <c r="BS215" s="47">
        <f>-IF($E215=BS$3,$G215,0)+IF($H215=BS$3,$J215,0)</f>
        <v/>
      </c>
      <c r="BT215" s="47">
        <f>-IF($E215=BT$3,$G215,0)+IF($H215=BT$3,$J215,0)</f>
        <v/>
      </c>
      <c r="BU215" s="46">
        <f>+G215-J215</f>
        <v/>
      </c>
      <c r="BV215" s="48">
        <f>-IF($E215=BV$3,$G215,0)+IF($H215=BV$3,$J215,0)</f>
        <v/>
      </c>
      <c r="BW215" s="3" t="n"/>
    </row>
    <row r="216" ht="15.75" customHeight="1" s="214">
      <c r="A216" s="7" t="n"/>
      <c r="B216" s="8" t="n"/>
      <c r="C216" s="9" t="n"/>
      <c r="D216" s="10" t="n"/>
      <c r="E216" s="247" t="n"/>
      <c r="F216" s="11">
        <f>IF(E216="","",IF(ISNA(VLOOKUP(E216,科目コード表!$C$4:$D$67,2,FALSE)),"該当科目なし",VLOOKUP(E216,科目コード表!$C$4:$D$67,2,FALSE)))</f>
        <v/>
      </c>
      <c r="G216" s="38" t="n"/>
      <c r="H216" s="248" t="n"/>
      <c r="I216" s="11">
        <f>IF(H216="","",IF(ISNA(VLOOKUP(H216,科目コード表!$C$4:$D$67,2,FALSE)),"該当科目なし",VLOOKUP(H216,科目コード表!$C$4:$D$67,2,FALSE)))</f>
        <v/>
      </c>
      <c r="J216" s="40" t="n"/>
      <c r="L216" s="46">
        <f>IF($E216=L$3,$G216,0)-IF($H216=L$3,$J216,0)</f>
        <v/>
      </c>
      <c r="M216" s="47">
        <f>IF($E216=M$3,$G216,0)-IF($H216=M$3,$J216,0)</f>
        <v/>
      </c>
      <c r="N216" s="47">
        <f>IF($E216=N$3,$G216,0)-IF($H216=N$3,$J216,0)</f>
        <v/>
      </c>
      <c r="O216" s="47">
        <f>IF($E216=O$3,$G216,0)-IF($H216=O$3,$J216,0)</f>
        <v/>
      </c>
      <c r="P216" s="47">
        <f>IF($E216=P$3,$G216,0)-IF($H216=P$3,$J216,0)</f>
        <v/>
      </c>
      <c r="Q216" s="47">
        <f>IF($E216=Q$3,$G216,0)-IF($H216=Q$3,$J216,0)</f>
        <v/>
      </c>
      <c r="R216" s="47">
        <f>IF($E216=R$3,$G216,0)-IF($H216=R$3,$J216,0)</f>
        <v/>
      </c>
      <c r="S216" s="47">
        <f>IF($E216=S$3,$G216,0)-IF($H216=S$3,$J216,0)</f>
        <v/>
      </c>
      <c r="T216" s="47">
        <f>IF($E216=T$3,$G216,0)-IF($H216=T$3,$J216,0)</f>
        <v/>
      </c>
      <c r="U216" s="47">
        <f>IF($E216=U$3,$G216,0)-IF($H216=U$3,$J216,0)</f>
        <v/>
      </c>
      <c r="V216" s="47">
        <f>IF($E216=V$3,$G216,0)-IF($H216=V$3,$J216,0)</f>
        <v/>
      </c>
      <c r="W216" s="47">
        <f>IF($E216=W$3,$G216,0)-IF($H216=W$3,$J216,0)</f>
        <v/>
      </c>
      <c r="X216" s="47">
        <f>IF($E216=X$3,$G216,0)-IF($H216=X$3,$J216,0)</f>
        <v/>
      </c>
      <c r="Y216" s="47">
        <f>IF($E216=Y$3,$G216,0)-IF($H216=Y$3,$J216,0)</f>
        <v/>
      </c>
      <c r="Z216" s="47">
        <f>IF($E216=Z$3,$G216,0)-IF($H216=Z$3,$J216,0)</f>
        <v/>
      </c>
      <c r="AA216" s="47">
        <f>IF($E216=AA$3,$G216,0)-IF($H216=AA$3,$J216,0)</f>
        <v/>
      </c>
      <c r="AB216" s="47">
        <f>IF($E216=AB$3,$G216,0)-IF($H216=AB$3,$J216,0)</f>
        <v/>
      </c>
      <c r="AC216" s="47">
        <f>IF($E216=AC$3,$G216,0)-IF($H216=AC$3,$J216,0)</f>
        <v/>
      </c>
      <c r="AD216" s="47">
        <f>IF($E216=AD$3,$G216,0)-IF($H216=AD$3,$J216,0)</f>
        <v/>
      </c>
      <c r="AE216" s="47">
        <f>IF($E216=AE$3,$G216,0)-IF($H216=AE$3,$J216,0)</f>
        <v/>
      </c>
      <c r="AF216" s="47">
        <f>IF($E216=AF$3,$G216,0)-IF($H216=AF$3,$J216,0)</f>
        <v/>
      </c>
      <c r="AG216" s="47">
        <f>IF($E216=AG$3,$G216,0)-IF($H216=AG$3,$J216,0)</f>
        <v/>
      </c>
      <c r="AH216" s="47">
        <f>IF($E216=AH$3,$G216,0)-IF($H216=AH$3,$J216,0)</f>
        <v/>
      </c>
      <c r="AI216" s="47">
        <f>IF($E216=AI$3,$G216,0)-IF($H216=AI$3,$J216,0)</f>
        <v/>
      </c>
      <c r="AJ216" s="47">
        <f>IF($E216=AJ$3,$G216,0)-IF($H216=AJ$3,$J216,0)</f>
        <v/>
      </c>
      <c r="AK216" s="47">
        <f>IF($E216=AK$3,$G216,0)-IF($H216=AK$3,$J216,0)</f>
        <v/>
      </c>
      <c r="AL216" s="48">
        <f>IF($E216=AL$3,$G216,0)-IF($H216=AL$3,$J216,0)</f>
        <v/>
      </c>
      <c r="AM216" s="46">
        <f>-IF($E216=AM$3,$G216,0)+IF($H216=AM$3,$J216,0)</f>
        <v/>
      </c>
      <c r="AN216" s="47">
        <f>-IF($E216=AN$3,$G216,0)+IF($H216=AN$3,$J216,0)</f>
        <v/>
      </c>
      <c r="AO216" s="48">
        <f>-IF($E216=AO$3,$G216,0)+IF($H216=AO$3,$J216,0)</f>
        <v/>
      </c>
      <c r="AP216" s="46">
        <f>IF($E216=AP$3,$G216,0)-IF($H216=AP$3,$J216,0)</f>
        <v/>
      </c>
      <c r="AQ216" s="47">
        <f>IF($E216=AQ$3,$G216,0)-IF($H216=AQ$3,$J216,0)</f>
        <v/>
      </c>
      <c r="AR216" s="47">
        <f>IF($E216=AR$3,$G216,0)-IF($H216=AR$3,$J216,0)</f>
        <v/>
      </c>
      <c r="AS216" s="47">
        <f>IF($E216=AS$3,$G216,0)-IF($H216=AS$3,$J216,0)</f>
        <v/>
      </c>
      <c r="AT216" s="47">
        <f>IF($E216=AT$3,$G216,0)-IF($H216=AT$3,$J216,0)</f>
        <v/>
      </c>
      <c r="AU216" s="47">
        <f>IF($E216=AU$3,$G216,0)-IF($H216=AU$3,$J216,0)</f>
        <v/>
      </c>
      <c r="AV216" s="47">
        <f>IF($E216=AV$3,$G216,0)-IF($H216=AV$3,$J216,0)</f>
        <v/>
      </c>
      <c r="AW216" s="47">
        <f>IF($E216=AW$3,$G216,0)-IF($H216=AW$3,$J216,0)</f>
        <v/>
      </c>
      <c r="AX216" s="47">
        <f>IF($E216=AX$3,$G216,0)-IF($H216=AX$3,$J216,0)</f>
        <v/>
      </c>
      <c r="AY216" s="47">
        <f>IF($E216=AY$3,$G216,0)-IF($H216=AY$3,$J216,0)</f>
        <v/>
      </c>
      <c r="AZ216" s="47">
        <f>IF($E216=AZ$3,$G216,0)-IF($H216=AZ$3,$J216,0)</f>
        <v/>
      </c>
      <c r="BA216" s="47">
        <f>IF($E216=BA$3,$G216,0)-IF($H216=BA$3,$J216,0)</f>
        <v/>
      </c>
      <c r="BB216" s="47">
        <f>IF($E216=BB$3,$G216,0)-IF($H216=BB$3,$J216,0)</f>
        <v/>
      </c>
      <c r="BC216" s="47">
        <f>IF($E216=BC$3,$G216,0)-IF($H216=BC$3,$J216,0)</f>
        <v/>
      </c>
      <c r="BD216" s="47">
        <f>IF($E216=BD$3,$G216,0)-IF($H216=BD$3,$J216,0)</f>
        <v/>
      </c>
      <c r="BE216" s="47">
        <f>IF($E216=BE$3,$G216,0)-IF($H216=BE$3,$J216,0)</f>
        <v/>
      </c>
      <c r="BF216" s="47">
        <f>IF($E216=BF$3,$G216,0)-IF($H216=BF$3,$J216,0)</f>
        <v/>
      </c>
      <c r="BG216" s="47">
        <f>IF($E216=BG$3,$G216,0)-IF($H216=BG$3,$J216,0)</f>
        <v/>
      </c>
      <c r="BH216" s="47">
        <f>IF($E216=BH$3,$G216,0)-IF($H216=BH$3,$J216,0)</f>
        <v/>
      </c>
      <c r="BI216" s="47">
        <f>IF($E216=BI$3,$G216,0)-IF($H216=BI$3,$J216,0)</f>
        <v/>
      </c>
      <c r="BJ216" s="47">
        <f>IF($E216=BJ$3,$G216,0)-IF($H216=BJ$3,$J216,0)</f>
        <v/>
      </c>
      <c r="BK216" s="47">
        <f>IF($E216=BK$3,$G216,0)-IF($H216=BK$3,$J216,0)</f>
        <v/>
      </c>
      <c r="BL216" s="46">
        <f>-IF($E216=BL$3,$G216,0)+IF($H216=BL$3,$J216,0)</f>
        <v/>
      </c>
      <c r="BM216" s="47">
        <f>-IF($E216=BM$3,$G216,0)+IF($H216=BM$3,$J216,0)</f>
        <v/>
      </c>
      <c r="BN216" s="47">
        <f>-IF($E216=BN$3,$G216,0)+IF($H216=BN$3,$J216,0)</f>
        <v/>
      </c>
      <c r="BO216" s="47">
        <f>-IF($E216=BO$3,$G216,0)+IF($H216=BO$3,$J216,0)</f>
        <v/>
      </c>
      <c r="BP216" s="47">
        <f>-IF($E216=BP$3,$G216,0)+IF($H216=BP$3,$J216,0)</f>
        <v/>
      </c>
      <c r="BQ216" s="47">
        <f>-IF($E216=BQ$3,$G216,0)+IF($H216=BQ$3,$J216,0)</f>
        <v/>
      </c>
      <c r="BR216" s="47">
        <f>-IF($E216=BR$3,$G216,0)+IF($H216=BR$3,$J216,0)</f>
        <v/>
      </c>
      <c r="BS216" s="47">
        <f>-IF($E216=BS$3,$G216,0)+IF($H216=BS$3,$J216,0)</f>
        <v/>
      </c>
      <c r="BT216" s="47">
        <f>-IF($E216=BT$3,$G216,0)+IF($H216=BT$3,$J216,0)</f>
        <v/>
      </c>
      <c r="BU216" s="46">
        <f>+G216-J216</f>
        <v/>
      </c>
      <c r="BV216" s="48">
        <f>-IF($E216=BV$3,$G216,0)+IF($H216=BV$3,$J216,0)</f>
        <v/>
      </c>
      <c r="BW216" s="3" t="n"/>
    </row>
    <row r="217" ht="15.75" customHeight="1" s="214">
      <c r="A217" s="7" t="n"/>
      <c r="B217" s="8" t="n"/>
      <c r="C217" s="9" t="n"/>
      <c r="D217" s="10" t="n"/>
      <c r="E217" s="247" t="n"/>
      <c r="F217" s="11">
        <f>IF(E217="","",IF(ISNA(VLOOKUP(E217,科目コード表!$C$4:$D$67,2,FALSE)),"該当科目なし",VLOOKUP(E217,科目コード表!$C$4:$D$67,2,FALSE)))</f>
        <v/>
      </c>
      <c r="G217" s="38" t="n"/>
      <c r="H217" s="248" t="n"/>
      <c r="I217" s="11">
        <f>IF(H217="","",IF(ISNA(VLOOKUP(H217,科目コード表!$C$4:$D$67,2,FALSE)),"該当科目なし",VLOOKUP(H217,科目コード表!$C$4:$D$67,2,FALSE)))</f>
        <v/>
      </c>
      <c r="J217" s="40" t="n"/>
      <c r="L217" s="46">
        <f>IF($E217=L$3,$G217,0)-IF($H217=L$3,$J217,0)</f>
        <v/>
      </c>
      <c r="M217" s="47">
        <f>IF($E217=M$3,$G217,0)-IF($H217=M$3,$J217,0)</f>
        <v/>
      </c>
      <c r="N217" s="47">
        <f>IF($E217=N$3,$G217,0)-IF($H217=N$3,$J217,0)</f>
        <v/>
      </c>
      <c r="O217" s="47">
        <f>IF($E217=O$3,$G217,0)-IF($H217=O$3,$J217,0)</f>
        <v/>
      </c>
      <c r="P217" s="47">
        <f>IF($E217=P$3,$G217,0)-IF($H217=P$3,$J217,0)</f>
        <v/>
      </c>
      <c r="Q217" s="47">
        <f>IF($E217=Q$3,$G217,0)-IF($H217=Q$3,$J217,0)</f>
        <v/>
      </c>
      <c r="R217" s="47">
        <f>IF($E217=R$3,$G217,0)-IF($H217=R$3,$J217,0)</f>
        <v/>
      </c>
      <c r="S217" s="47">
        <f>IF($E217=S$3,$G217,0)-IF($H217=S$3,$J217,0)</f>
        <v/>
      </c>
      <c r="T217" s="47">
        <f>IF($E217=T$3,$G217,0)-IF($H217=T$3,$J217,0)</f>
        <v/>
      </c>
      <c r="U217" s="47">
        <f>IF($E217=U$3,$G217,0)-IF($H217=U$3,$J217,0)</f>
        <v/>
      </c>
      <c r="V217" s="47">
        <f>IF($E217=V$3,$G217,0)-IF($H217=V$3,$J217,0)</f>
        <v/>
      </c>
      <c r="W217" s="47">
        <f>IF($E217=W$3,$G217,0)-IF($H217=W$3,$J217,0)</f>
        <v/>
      </c>
      <c r="X217" s="47">
        <f>IF($E217=X$3,$G217,0)-IF($H217=X$3,$J217,0)</f>
        <v/>
      </c>
      <c r="Y217" s="47">
        <f>IF($E217=Y$3,$G217,0)-IF($H217=Y$3,$J217,0)</f>
        <v/>
      </c>
      <c r="Z217" s="47">
        <f>IF($E217=Z$3,$G217,0)-IF($H217=Z$3,$J217,0)</f>
        <v/>
      </c>
      <c r="AA217" s="47">
        <f>IF($E217=AA$3,$G217,0)-IF($H217=AA$3,$J217,0)</f>
        <v/>
      </c>
      <c r="AB217" s="47">
        <f>IF($E217=AB$3,$G217,0)-IF($H217=AB$3,$J217,0)</f>
        <v/>
      </c>
      <c r="AC217" s="47">
        <f>IF($E217=AC$3,$G217,0)-IF($H217=AC$3,$J217,0)</f>
        <v/>
      </c>
      <c r="AD217" s="47">
        <f>IF($E217=AD$3,$G217,0)-IF($H217=AD$3,$J217,0)</f>
        <v/>
      </c>
      <c r="AE217" s="47">
        <f>IF($E217=AE$3,$G217,0)-IF($H217=AE$3,$J217,0)</f>
        <v/>
      </c>
      <c r="AF217" s="47">
        <f>IF($E217=AF$3,$G217,0)-IF($H217=AF$3,$J217,0)</f>
        <v/>
      </c>
      <c r="AG217" s="47">
        <f>IF($E217=AG$3,$G217,0)-IF($H217=AG$3,$J217,0)</f>
        <v/>
      </c>
      <c r="AH217" s="47">
        <f>IF($E217=AH$3,$G217,0)-IF($H217=AH$3,$J217,0)</f>
        <v/>
      </c>
      <c r="AI217" s="47">
        <f>IF($E217=AI$3,$G217,0)-IF($H217=AI$3,$J217,0)</f>
        <v/>
      </c>
      <c r="AJ217" s="47">
        <f>IF($E217=AJ$3,$G217,0)-IF($H217=AJ$3,$J217,0)</f>
        <v/>
      </c>
      <c r="AK217" s="47">
        <f>IF($E217=AK$3,$G217,0)-IF($H217=AK$3,$J217,0)</f>
        <v/>
      </c>
      <c r="AL217" s="48">
        <f>IF($E217=AL$3,$G217,0)-IF($H217=AL$3,$J217,0)</f>
        <v/>
      </c>
      <c r="AM217" s="46">
        <f>-IF($E217=AM$3,$G217,0)+IF($H217=AM$3,$J217,0)</f>
        <v/>
      </c>
      <c r="AN217" s="47">
        <f>-IF($E217=AN$3,$G217,0)+IF($H217=AN$3,$J217,0)</f>
        <v/>
      </c>
      <c r="AO217" s="48">
        <f>-IF($E217=AO$3,$G217,0)+IF($H217=AO$3,$J217,0)</f>
        <v/>
      </c>
      <c r="AP217" s="46">
        <f>IF($E217=AP$3,$G217,0)-IF($H217=AP$3,$J217,0)</f>
        <v/>
      </c>
      <c r="AQ217" s="47">
        <f>IF($E217=AQ$3,$G217,0)-IF($H217=AQ$3,$J217,0)</f>
        <v/>
      </c>
      <c r="AR217" s="47">
        <f>IF($E217=AR$3,$G217,0)-IF($H217=AR$3,$J217,0)</f>
        <v/>
      </c>
      <c r="AS217" s="47">
        <f>IF($E217=AS$3,$G217,0)-IF($H217=AS$3,$J217,0)</f>
        <v/>
      </c>
      <c r="AT217" s="47">
        <f>IF($E217=AT$3,$G217,0)-IF($H217=AT$3,$J217,0)</f>
        <v/>
      </c>
      <c r="AU217" s="47">
        <f>IF($E217=AU$3,$G217,0)-IF($H217=AU$3,$J217,0)</f>
        <v/>
      </c>
      <c r="AV217" s="47">
        <f>IF($E217=AV$3,$G217,0)-IF($H217=AV$3,$J217,0)</f>
        <v/>
      </c>
      <c r="AW217" s="47">
        <f>IF($E217=AW$3,$G217,0)-IF($H217=AW$3,$J217,0)</f>
        <v/>
      </c>
      <c r="AX217" s="47">
        <f>IF($E217=AX$3,$G217,0)-IF($H217=AX$3,$J217,0)</f>
        <v/>
      </c>
      <c r="AY217" s="47">
        <f>IF($E217=AY$3,$G217,0)-IF($H217=AY$3,$J217,0)</f>
        <v/>
      </c>
      <c r="AZ217" s="47">
        <f>IF($E217=AZ$3,$G217,0)-IF($H217=AZ$3,$J217,0)</f>
        <v/>
      </c>
      <c r="BA217" s="47">
        <f>IF($E217=BA$3,$G217,0)-IF($H217=BA$3,$J217,0)</f>
        <v/>
      </c>
      <c r="BB217" s="47">
        <f>IF($E217=BB$3,$G217,0)-IF($H217=BB$3,$J217,0)</f>
        <v/>
      </c>
      <c r="BC217" s="47">
        <f>IF($E217=BC$3,$G217,0)-IF($H217=BC$3,$J217,0)</f>
        <v/>
      </c>
      <c r="BD217" s="47">
        <f>IF($E217=BD$3,$G217,0)-IF($H217=BD$3,$J217,0)</f>
        <v/>
      </c>
      <c r="BE217" s="47">
        <f>IF($E217=BE$3,$G217,0)-IF($H217=BE$3,$J217,0)</f>
        <v/>
      </c>
      <c r="BF217" s="47">
        <f>IF($E217=BF$3,$G217,0)-IF($H217=BF$3,$J217,0)</f>
        <v/>
      </c>
      <c r="BG217" s="47">
        <f>IF($E217=BG$3,$G217,0)-IF($H217=BG$3,$J217,0)</f>
        <v/>
      </c>
      <c r="BH217" s="47">
        <f>IF($E217=BH$3,$G217,0)-IF($H217=BH$3,$J217,0)</f>
        <v/>
      </c>
      <c r="BI217" s="47">
        <f>IF($E217=BI$3,$G217,0)-IF($H217=BI$3,$J217,0)</f>
        <v/>
      </c>
      <c r="BJ217" s="47">
        <f>IF($E217=BJ$3,$G217,0)-IF($H217=BJ$3,$J217,0)</f>
        <v/>
      </c>
      <c r="BK217" s="47">
        <f>IF($E217=BK$3,$G217,0)-IF($H217=BK$3,$J217,0)</f>
        <v/>
      </c>
      <c r="BL217" s="46">
        <f>-IF($E217=BL$3,$G217,0)+IF($H217=BL$3,$J217,0)</f>
        <v/>
      </c>
      <c r="BM217" s="47">
        <f>-IF($E217=BM$3,$G217,0)+IF($H217=BM$3,$J217,0)</f>
        <v/>
      </c>
      <c r="BN217" s="47">
        <f>-IF($E217=BN$3,$G217,0)+IF($H217=BN$3,$J217,0)</f>
        <v/>
      </c>
      <c r="BO217" s="47">
        <f>-IF($E217=BO$3,$G217,0)+IF($H217=BO$3,$J217,0)</f>
        <v/>
      </c>
      <c r="BP217" s="47">
        <f>-IF($E217=BP$3,$G217,0)+IF($H217=BP$3,$J217,0)</f>
        <v/>
      </c>
      <c r="BQ217" s="47">
        <f>-IF($E217=BQ$3,$G217,0)+IF($H217=BQ$3,$J217,0)</f>
        <v/>
      </c>
      <c r="BR217" s="47">
        <f>-IF($E217=BR$3,$G217,0)+IF($H217=BR$3,$J217,0)</f>
        <v/>
      </c>
      <c r="BS217" s="47">
        <f>-IF($E217=BS$3,$G217,0)+IF($H217=BS$3,$J217,0)</f>
        <v/>
      </c>
      <c r="BT217" s="47">
        <f>-IF($E217=BT$3,$G217,0)+IF($H217=BT$3,$J217,0)</f>
        <v/>
      </c>
      <c r="BU217" s="46">
        <f>+G217-J217</f>
        <v/>
      </c>
      <c r="BV217" s="48">
        <f>-IF($E217=BV$3,$G217,0)+IF($H217=BV$3,$J217,0)</f>
        <v/>
      </c>
      <c r="BW217" s="3" t="n"/>
    </row>
    <row r="218" ht="15.75" customHeight="1" s="214">
      <c r="A218" s="7" t="n"/>
      <c r="B218" s="8" t="n"/>
      <c r="C218" s="9" t="n"/>
      <c r="D218" s="10" t="n"/>
      <c r="E218" s="247" t="n"/>
      <c r="F218" s="11">
        <f>IF(E218="","",IF(ISNA(VLOOKUP(E218,科目コード表!$C$4:$D$67,2,FALSE)),"該当科目なし",VLOOKUP(E218,科目コード表!$C$4:$D$67,2,FALSE)))</f>
        <v/>
      </c>
      <c r="G218" s="38" t="n"/>
      <c r="H218" s="248" t="n"/>
      <c r="I218" s="11">
        <f>IF(H218="","",IF(ISNA(VLOOKUP(H218,科目コード表!$C$4:$D$67,2,FALSE)),"該当科目なし",VLOOKUP(H218,科目コード表!$C$4:$D$67,2,FALSE)))</f>
        <v/>
      </c>
      <c r="J218" s="40" t="n"/>
      <c r="L218" s="46">
        <f>IF($E218=L$3,$G218,0)-IF($H218=L$3,$J218,0)</f>
        <v/>
      </c>
      <c r="M218" s="47">
        <f>IF($E218=M$3,$G218,0)-IF($H218=M$3,$J218,0)</f>
        <v/>
      </c>
      <c r="N218" s="47">
        <f>IF($E218=N$3,$G218,0)-IF($H218=N$3,$J218,0)</f>
        <v/>
      </c>
      <c r="O218" s="47">
        <f>IF($E218=O$3,$G218,0)-IF($H218=O$3,$J218,0)</f>
        <v/>
      </c>
      <c r="P218" s="47">
        <f>IF($E218=P$3,$G218,0)-IF($H218=P$3,$J218,0)</f>
        <v/>
      </c>
      <c r="Q218" s="47">
        <f>IF($E218=Q$3,$G218,0)-IF($H218=Q$3,$J218,0)</f>
        <v/>
      </c>
      <c r="R218" s="47">
        <f>IF($E218=R$3,$G218,0)-IF($H218=R$3,$J218,0)</f>
        <v/>
      </c>
      <c r="S218" s="47">
        <f>IF($E218=S$3,$G218,0)-IF($H218=S$3,$J218,0)</f>
        <v/>
      </c>
      <c r="T218" s="47">
        <f>IF($E218=T$3,$G218,0)-IF($H218=T$3,$J218,0)</f>
        <v/>
      </c>
      <c r="U218" s="47">
        <f>IF($E218=U$3,$G218,0)-IF($H218=U$3,$J218,0)</f>
        <v/>
      </c>
      <c r="V218" s="47">
        <f>IF($E218=V$3,$G218,0)-IF($H218=V$3,$J218,0)</f>
        <v/>
      </c>
      <c r="W218" s="47">
        <f>IF($E218=W$3,$G218,0)-IF($H218=W$3,$J218,0)</f>
        <v/>
      </c>
      <c r="X218" s="47">
        <f>IF($E218=X$3,$G218,0)-IF($H218=X$3,$J218,0)</f>
        <v/>
      </c>
      <c r="Y218" s="47">
        <f>IF($E218=Y$3,$G218,0)-IF($H218=Y$3,$J218,0)</f>
        <v/>
      </c>
      <c r="Z218" s="47">
        <f>IF($E218=Z$3,$G218,0)-IF($H218=Z$3,$J218,0)</f>
        <v/>
      </c>
      <c r="AA218" s="47">
        <f>IF($E218=AA$3,$G218,0)-IF($H218=AA$3,$J218,0)</f>
        <v/>
      </c>
      <c r="AB218" s="47">
        <f>IF($E218=AB$3,$G218,0)-IF($H218=AB$3,$J218,0)</f>
        <v/>
      </c>
      <c r="AC218" s="47">
        <f>IF($E218=AC$3,$G218,0)-IF($H218=AC$3,$J218,0)</f>
        <v/>
      </c>
      <c r="AD218" s="47">
        <f>IF($E218=AD$3,$G218,0)-IF($H218=AD$3,$J218,0)</f>
        <v/>
      </c>
      <c r="AE218" s="47">
        <f>IF($E218=AE$3,$G218,0)-IF($H218=AE$3,$J218,0)</f>
        <v/>
      </c>
      <c r="AF218" s="47">
        <f>IF($E218=AF$3,$G218,0)-IF($H218=AF$3,$J218,0)</f>
        <v/>
      </c>
      <c r="AG218" s="47">
        <f>IF($E218=AG$3,$G218,0)-IF($H218=AG$3,$J218,0)</f>
        <v/>
      </c>
      <c r="AH218" s="47">
        <f>IF($E218=AH$3,$G218,0)-IF($H218=AH$3,$J218,0)</f>
        <v/>
      </c>
      <c r="AI218" s="47">
        <f>IF($E218=AI$3,$G218,0)-IF($H218=AI$3,$J218,0)</f>
        <v/>
      </c>
      <c r="AJ218" s="47">
        <f>IF($E218=AJ$3,$G218,0)-IF($H218=AJ$3,$J218,0)</f>
        <v/>
      </c>
      <c r="AK218" s="47">
        <f>IF($E218=AK$3,$G218,0)-IF($H218=AK$3,$J218,0)</f>
        <v/>
      </c>
      <c r="AL218" s="48">
        <f>IF($E218=AL$3,$G218,0)-IF($H218=AL$3,$J218,0)</f>
        <v/>
      </c>
      <c r="AM218" s="46">
        <f>-IF($E218=AM$3,$G218,0)+IF($H218=AM$3,$J218,0)</f>
        <v/>
      </c>
      <c r="AN218" s="47">
        <f>-IF($E218=AN$3,$G218,0)+IF($H218=AN$3,$J218,0)</f>
        <v/>
      </c>
      <c r="AO218" s="48">
        <f>-IF($E218=AO$3,$G218,0)+IF($H218=AO$3,$J218,0)</f>
        <v/>
      </c>
      <c r="AP218" s="46">
        <f>IF($E218=AP$3,$G218,0)-IF($H218=AP$3,$J218,0)</f>
        <v/>
      </c>
      <c r="AQ218" s="47">
        <f>IF($E218=AQ$3,$G218,0)-IF($H218=AQ$3,$J218,0)</f>
        <v/>
      </c>
      <c r="AR218" s="47">
        <f>IF($E218=AR$3,$G218,0)-IF($H218=AR$3,$J218,0)</f>
        <v/>
      </c>
      <c r="AS218" s="47">
        <f>IF($E218=AS$3,$G218,0)-IF($H218=AS$3,$J218,0)</f>
        <v/>
      </c>
      <c r="AT218" s="47">
        <f>IF($E218=AT$3,$G218,0)-IF($H218=AT$3,$J218,0)</f>
        <v/>
      </c>
      <c r="AU218" s="47">
        <f>IF($E218=AU$3,$G218,0)-IF($H218=AU$3,$J218,0)</f>
        <v/>
      </c>
      <c r="AV218" s="47">
        <f>IF($E218=AV$3,$G218,0)-IF($H218=AV$3,$J218,0)</f>
        <v/>
      </c>
      <c r="AW218" s="47">
        <f>IF($E218=AW$3,$G218,0)-IF($H218=AW$3,$J218,0)</f>
        <v/>
      </c>
      <c r="AX218" s="47">
        <f>IF($E218=AX$3,$G218,0)-IF($H218=AX$3,$J218,0)</f>
        <v/>
      </c>
      <c r="AY218" s="47">
        <f>IF($E218=AY$3,$G218,0)-IF($H218=AY$3,$J218,0)</f>
        <v/>
      </c>
      <c r="AZ218" s="47">
        <f>IF($E218=AZ$3,$G218,0)-IF($H218=AZ$3,$J218,0)</f>
        <v/>
      </c>
      <c r="BA218" s="47">
        <f>IF($E218=BA$3,$G218,0)-IF($H218=BA$3,$J218,0)</f>
        <v/>
      </c>
      <c r="BB218" s="47">
        <f>IF($E218=BB$3,$G218,0)-IF($H218=BB$3,$J218,0)</f>
        <v/>
      </c>
      <c r="BC218" s="47">
        <f>IF($E218=BC$3,$G218,0)-IF($H218=BC$3,$J218,0)</f>
        <v/>
      </c>
      <c r="BD218" s="47">
        <f>IF($E218=BD$3,$G218,0)-IF($H218=BD$3,$J218,0)</f>
        <v/>
      </c>
      <c r="BE218" s="47">
        <f>IF($E218=BE$3,$G218,0)-IF($H218=BE$3,$J218,0)</f>
        <v/>
      </c>
      <c r="BF218" s="47">
        <f>IF($E218=BF$3,$G218,0)-IF($H218=BF$3,$J218,0)</f>
        <v/>
      </c>
      <c r="BG218" s="47">
        <f>IF($E218=BG$3,$G218,0)-IF($H218=BG$3,$J218,0)</f>
        <v/>
      </c>
      <c r="BH218" s="47">
        <f>IF($E218=BH$3,$G218,0)-IF($H218=BH$3,$J218,0)</f>
        <v/>
      </c>
      <c r="BI218" s="47">
        <f>IF($E218=BI$3,$G218,0)-IF($H218=BI$3,$J218,0)</f>
        <v/>
      </c>
      <c r="BJ218" s="47">
        <f>IF($E218=BJ$3,$G218,0)-IF($H218=BJ$3,$J218,0)</f>
        <v/>
      </c>
      <c r="BK218" s="47">
        <f>IF($E218=BK$3,$G218,0)-IF($H218=BK$3,$J218,0)</f>
        <v/>
      </c>
      <c r="BL218" s="46">
        <f>-IF($E218=BL$3,$G218,0)+IF($H218=BL$3,$J218,0)</f>
        <v/>
      </c>
      <c r="BM218" s="47">
        <f>-IF($E218=BM$3,$G218,0)+IF($H218=BM$3,$J218,0)</f>
        <v/>
      </c>
      <c r="BN218" s="47">
        <f>-IF($E218=BN$3,$G218,0)+IF($H218=BN$3,$J218,0)</f>
        <v/>
      </c>
      <c r="BO218" s="47">
        <f>-IF($E218=BO$3,$G218,0)+IF($H218=BO$3,$J218,0)</f>
        <v/>
      </c>
      <c r="BP218" s="47">
        <f>-IF($E218=BP$3,$G218,0)+IF($H218=BP$3,$J218,0)</f>
        <v/>
      </c>
      <c r="BQ218" s="47">
        <f>-IF($E218=BQ$3,$G218,0)+IF($H218=BQ$3,$J218,0)</f>
        <v/>
      </c>
      <c r="BR218" s="47">
        <f>-IF($E218=BR$3,$G218,0)+IF($H218=BR$3,$J218,0)</f>
        <v/>
      </c>
      <c r="BS218" s="47">
        <f>-IF($E218=BS$3,$G218,0)+IF($H218=BS$3,$J218,0)</f>
        <v/>
      </c>
      <c r="BT218" s="47">
        <f>-IF($E218=BT$3,$G218,0)+IF($H218=BT$3,$J218,0)</f>
        <v/>
      </c>
      <c r="BU218" s="46">
        <f>+G218-J218</f>
        <v/>
      </c>
      <c r="BV218" s="48">
        <f>-IF($E218=BV$3,$G218,0)+IF($H218=BV$3,$J218,0)</f>
        <v/>
      </c>
      <c r="BW218" s="3" t="n"/>
    </row>
    <row r="219" ht="15.75" customHeight="1" s="214">
      <c r="A219" s="7" t="n"/>
      <c r="B219" s="8" t="n"/>
      <c r="C219" s="9" t="n"/>
      <c r="D219" s="10" t="n"/>
      <c r="E219" s="247" t="n"/>
      <c r="F219" s="11">
        <f>IF(E219="","",IF(ISNA(VLOOKUP(E219,科目コード表!$C$4:$D$67,2,FALSE)),"該当科目なし",VLOOKUP(E219,科目コード表!$C$4:$D$67,2,FALSE)))</f>
        <v/>
      </c>
      <c r="G219" s="38" t="n"/>
      <c r="H219" s="248" t="n"/>
      <c r="I219" s="11">
        <f>IF(H219="","",IF(ISNA(VLOOKUP(H219,科目コード表!$C$4:$D$67,2,FALSE)),"該当科目なし",VLOOKUP(H219,科目コード表!$C$4:$D$67,2,FALSE)))</f>
        <v/>
      </c>
      <c r="J219" s="40" t="n"/>
      <c r="L219" s="46">
        <f>IF($E219=L$3,$G219,0)-IF($H219=L$3,$J219,0)</f>
        <v/>
      </c>
      <c r="M219" s="47">
        <f>IF($E219=M$3,$G219,0)-IF($H219=M$3,$J219,0)</f>
        <v/>
      </c>
      <c r="N219" s="47">
        <f>IF($E219=N$3,$G219,0)-IF($H219=N$3,$J219,0)</f>
        <v/>
      </c>
      <c r="O219" s="47">
        <f>IF($E219=O$3,$G219,0)-IF($H219=O$3,$J219,0)</f>
        <v/>
      </c>
      <c r="P219" s="47">
        <f>IF($E219=P$3,$G219,0)-IF($H219=P$3,$J219,0)</f>
        <v/>
      </c>
      <c r="Q219" s="47">
        <f>IF($E219=Q$3,$G219,0)-IF($H219=Q$3,$J219,0)</f>
        <v/>
      </c>
      <c r="R219" s="47">
        <f>IF($E219=R$3,$G219,0)-IF($H219=R$3,$J219,0)</f>
        <v/>
      </c>
      <c r="S219" s="47">
        <f>IF($E219=S$3,$G219,0)-IF($H219=S$3,$J219,0)</f>
        <v/>
      </c>
      <c r="T219" s="47">
        <f>IF($E219=T$3,$G219,0)-IF($H219=T$3,$J219,0)</f>
        <v/>
      </c>
      <c r="U219" s="47">
        <f>IF($E219=U$3,$G219,0)-IF($H219=U$3,$J219,0)</f>
        <v/>
      </c>
      <c r="V219" s="47">
        <f>IF($E219=V$3,$G219,0)-IF($H219=V$3,$J219,0)</f>
        <v/>
      </c>
      <c r="W219" s="47">
        <f>IF($E219=W$3,$G219,0)-IF($H219=W$3,$J219,0)</f>
        <v/>
      </c>
      <c r="X219" s="47">
        <f>IF($E219=X$3,$G219,0)-IF($H219=X$3,$J219,0)</f>
        <v/>
      </c>
      <c r="Y219" s="47">
        <f>IF($E219=Y$3,$G219,0)-IF($H219=Y$3,$J219,0)</f>
        <v/>
      </c>
      <c r="Z219" s="47">
        <f>IF($E219=Z$3,$G219,0)-IF($H219=Z$3,$J219,0)</f>
        <v/>
      </c>
      <c r="AA219" s="47">
        <f>IF($E219=AA$3,$G219,0)-IF($H219=AA$3,$J219,0)</f>
        <v/>
      </c>
      <c r="AB219" s="47">
        <f>IF($E219=AB$3,$G219,0)-IF($H219=AB$3,$J219,0)</f>
        <v/>
      </c>
      <c r="AC219" s="47">
        <f>IF($E219=AC$3,$G219,0)-IF($H219=AC$3,$J219,0)</f>
        <v/>
      </c>
      <c r="AD219" s="47">
        <f>IF($E219=AD$3,$G219,0)-IF($H219=AD$3,$J219,0)</f>
        <v/>
      </c>
      <c r="AE219" s="47">
        <f>IF($E219=AE$3,$G219,0)-IF($H219=AE$3,$J219,0)</f>
        <v/>
      </c>
      <c r="AF219" s="47">
        <f>IF($E219=AF$3,$G219,0)-IF($H219=AF$3,$J219,0)</f>
        <v/>
      </c>
      <c r="AG219" s="47">
        <f>IF($E219=AG$3,$G219,0)-IF($H219=AG$3,$J219,0)</f>
        <v/>
      </c>
      <c r="AH219" s="47">
        <f>IF($E219=AH$3,$G219,0)-IF($H219=AH$3,$J219,0)</f>
        <v/>
      </c>
      <c r="AI219" s="47">
        <f>IF($E219=AI$3,$G219,0)-IF($H219=AI$3,$J219,0)</f>
        <v/>
      </c>
      <c r="AJ219" s="47">
        <f>IF($E219=AJ$3,$G219,0)-IF($H219=AJ$3,$J219,0)</f>
        <v/>
      </c>
      <c r="AK219" s="47">
        <f>IF($E219=AK$3,$G219,0)-IF($H219=AK$3,$J219,0)</f>
        <v/>
      </c>
      <c r="AL219" s="48">
        <f>IF($E219=AL$3,$G219,0)-IF($H219=AL$3,$J219,0)</f>
        <v/>
      </c>
      <c r="AM219" s="46">
        <f>-IF($E219=AM$3,$G219,0)+IF($H219=AM$3,$J219,0)</f>
        <v/>
      </c>
      <c r="AN219" s="47">
        <f>-IF($E219=AN$3,$G219,0)+IF($H219=AN$3,$J219,0)</f>
        <v/>
      </c>
      <c r="AO219" s="48">
        <f>-IF($E219=AO$3,$G219,0)+IF($H219=AO$3,$J219,0)</f>
        <v/>
      </c>
      <c r="AP219" s="46">
        <f>IF($E219=AP$3,$G219,0)-IF($H219=AP$3,$J219,0)</f>
        <v/>
      </c>
      <c r="AQ219" s="47">
        <f>IF($E219=AQ$3,$G219,0)-IF($H219=AQ$3,$J219,0)</f>
        <v/>
      </c>
      <c r="AR219" s="47">
        <f>IF($E219=AR$3,$G219,0)-IF($H219=AR$3,$J219,0)</f>
        <v/>
      </c>
      <c r="AS219" s="47">
        <f>IF($E219=AS$3,$G219,0)-IF($H219=AS$3,$J219,0)</f>
        <v/>
      </c>
      <c r="AT219" s="47">
        <f>IF($E219=AT$3,$G219,0)-IF($H219=AT$3,$J219,0)</f>
        <v/>
      </c>
      <c r="AU219" s="47">
        <f>IF($E219=AU$3,$G219,0)-IF($H219=AU$3,$J219,0)</f>
        <v/>
      </c>
      <c r="AV219" s="47">
        <f>IF($E219=AV$3,$G219,0)-IF($H219=AV$3,$J219,0)</f>
        <v/>
      </c>
      <c r="AW219" s="47">
        <f>IF($E219=AW$3,$G219,0)-IF($H219=AW$3,$J219,0)</f>
        <v/>
      </c>
      <c r="AX219" s="47">
        <f>IF($E219=AX$3,$G219,0)-IF($H219=AX$3,$J219,0)</f>
        <v/>
      </c>
      <c r="AY219" s="47">
        <f>IF($E219=AY$3,$G219,0)-IF($H219=AY$3,$J219,0)</f>
        <v/>
      </c>
      <c r="AZ219" s="47">
        <f>IF($E219=AZ$3,$G219,0)-IF($H219=AZ$3,$J219,0)</f>
        <v/>
      </c>
      <c r="BA219" s="47">
        <f>IF($E219=BA$3,$G219,0)-IF($H219=BA$3,$J219,0)</f>
        <v/>
      </c>
      <c r="BB219" s="47">
        <f>IF($E219=BB$3,$G219,0)-IF($H219=BB$3,$J219,0)</f>
        <v/>
      </c>
      <c r="BC219" s="47">
        <f>IF($E219=BC$3,$G219,0)-IF($H219=BC$3,$J219,0)</f>
        <v/>
      </c>
      <c r="BD219" s="47">
        <f>IF($E219=BD$3,$G219,0)-IF($H219=BD$3,$J219,0)</f>
        <v/>
      </c>
      <c r="BE219" s="47">
        <f>IF($E219=BE$3,$G219,0)-IF($H219=BE$3,$J219,0)</f>
        <v/>
      </c>
      <c r="BF219" s="47">
        <f>IF($E219=BF$3,$G219,0)-IF($H219=BF$3,$J219,0)</f>
        <v/>
      </c>
      <c r="BG219" s="47">
        <f>IF($E219=BG$3,$G219,0)-IF($H219=BG$3,$J219,0)</f>
        <v/>
      </c>
      <c r="BH219" s="47">
        <f>IF($E219=BH$3,$G219,0)-IF($H219=BH$3,$J219,0)</f>
        <v/>
      </c>
      <c r="BI219" s="47">
        <f>IF($E219=BI$3,$G219,0)-IF($H219=BI$3,$J219,0)</f>
        <v/>
      </c>
      <c r="BJ219" s="47">
        <f>IF($E219=BJ$3,$G219,0)-IF($H219=BJ$3,$J219,0)</f>
        <v/>
      </c>
      <c r="BK219" s="47">
        <f>IF($E219=BK$3,$G219,0)-IF($H219=BK$3,$J219,0)</f>
        <v/>
      </c>
      <c r="BL219" s="46">
        <f>-IF($E219=BL$3,$G219,0)+IF($H219=BL$3,$J219,0)</f>
        <v/>
      </c>
      <c r="BM219" s="47">
        <f>-IF($E219=BM$3,$G219,0)+IF($H219=BM$3,$J219,0)</f>
        <v/>
      </c>
      <c r="BN219" s="47">
        <f>-IF($E219=BN$3,$G219,0)+IF($H219=BN$3,$J219,0)</f>
        <v/>
      </c>
      <c r="BO219" s="47">
        <f>-IF($E219=BO$3,$G219,0)+IF($H219=BO$3,$J219,0)</f>
        <v/>
      </c>
      <c r="BP219" s="47">
        <f>-IF($E219=BP$3,$G219,0)+IF($H219=BP$3,$J219,0)</f>
        <v/>
      </c>
      <c r="BQ219" s="47">
        <f>-IF($E219=BQ$3,$G219,0)+IF($H219=BQ$3,$J219,0)</f>
        <v/>
      </c>
      <c r="BR219" s="47">
        <f>-IF($E219=BR$3,$G219,0)+IF($H219=BR$3,$J219,0)</f>
        <v/>
      </c>
      <c r="BS219" s="47">
        <f>-IF($E219=BS$3,$G219,0)+IF($H219=BS$3,$J219,0)</f>
        <v/>
      </c>
      <c r="BT219" s="47">
        <f>-IF($E219=BT$3,$G219,0)+IF($H219=BT$3,$J219,0)</f>
        <v/>
      </c>
      <c r="BU219" s="46">
        <f>+G219-J219</f>
        <v/>
      </c>
      <c r="BV219" s="48">
        <f>-IF($E219=BV$3,$G219,0)+IF($H219=BV$3,$J219,0)</f>
        <v/>
      </c>
      <c r="BW219" s="3" t="n"/>
    </row>
    <row r="220" ht="15.75" customHeight="1" s="214">
      <c r="A220" s="7" t="n"/>
      <c r="B220" s="8" t="n"/>
      <c r="C220" s="9" t="n"/>
      <c r="D220" s="10" t="n"/>
      <c r="E220" s="247" t="n"/>
      <c r="F220" s="11">
        <f>IF(E220="","",IF(ISNA(VLOOKUP(E220,科目コード表!$C$4:$D$67,2,FALSE)),"該当科目なし",VLOOKUP(E220,科目コード表!$C$4:$D$67,2,FALSE)))</f>
        <v/>
      </c>
      <c r="G220" s="38" t="n"/>
      <c r="H220" s="248" t="n"/>
      <c r="I220" s="11">
        <f>IF(H220="","",IF(ISNA(VLOOKUP(H220,科目コード表!$C$4:$D$67,2,FALSE)),"該当科目なし",VLOOKUP(H220,科目コード表!$C$4:$D$67,2,FALSE)))</f>
        <v/>
      </c>
      <c r="J220" s="40" t="n"/>
      <c r="L220" s="46">
        <f>IF($E220=L$3,$G220,0)-IF($H220=L$3,$J220,0)</f>
        <v/>
      </c>
      <c r="M220" s="47">
        <f>IF($E220=M$3,$G220,0)-IF($H220=M$3,$J220,0)</f>
        <v/>
      </c>
      <c r="N220" s="47">
        <f>IF($E220=N$3,$G220,0)-IF($H220=N$3,$J220,0)</f>
        <v/>
      </c>
      <c r="O220" s="47">
        <f>IF($E220=O$3,$G220,0)-IF($H220=O$3,$J220,0)</f>
        <v/>
      </c>
      <c r="P220" s="47">
        <f>IF($E220=P$3,$G220,0)-IF($H220=P$3,$J220,0)</f>
        <v/>
      </c>
      <c r="Q220" s="47">
        <f>IF($E220=Q$3,$G220,0)-IF($H220=Q$3,$J220,0)</f>
        <v/>
      </c>
      <c r="R220" s="47">
        <f>IF($E220=R$3,$G220,0)-IF($H220=R$3,$J220,0)</f>
        <v/>
      </c>
      <c r="S220" s="47">
        <f>IF($E220=S$3,$G220,0)-IF($H220=S$3,$J220,0)</f>
        <v/>
      </c>
      <c r="T220" s="47">
        <f>IF($E220=T$3,$G220,0)-IF($H220=T$3,$J220,0)</f>
        <v/>
      </c>
      <c r="U220" s="47">
        <f>IF($E220=U$3,$G220,0)-IF($H220=U$3,$J220,0)</f>
        <v/>
      </c>
      <c r="V220" s="47">
        <f>IF($E220=V$3,$G220,0)-IF($H220=V$3,$J220,0)</f>
        <v/>
      </c>
      <c r="W220" s="47">
        <f>IF($E220=W$3,$G220,0)-IF($H220=W$3,$J220,0)</f>
        <v/>
      </c>
      <c r="X220" s="47">
        <f>IF($E220=X$3,$G220,0)-IF($H220=X$3,$J220,0)</f>
        <v/>
      </c>
      <c r="Y220" s="47">
        <f>IF($E220=Y$3,$G220,0)-IF($H220=Y$3,$J220,0)</f>
        <v/>
      </c>
      <c r="Z220" s="47">
        <f>IF($E220=Z$3,$G220,0)-IF($H220=Z$3,$J220,0)</f>
        <v/>
      </c>
      <c r="AA220" s="47">
        <f>IF($E220=AA$3,$G220,0)-IF($H220=AA$3,$J220,0)</f>
        <v/>
      </c>
      <c r="AB220" s="47">
        <f>IF($E220=AB$3,$G220,0)-IF($H220=AB$3,$J220,0)</f>
        <v/>
      </c>
      <c r="AC220" s="47">
        <f>IF($E220=AC$3,$G220,0)-IF($H220=AC$3,$J220,0)</f>
        <v/>
      </c>
      <c r="AD220" s="47">
        <f>IF($E220=AD$3,$G220,0)-IF($H220=AD$3,$J220,0)</f>
        <v/>
      </c>
      <c r="AE220" s="47">
        <f>IF($E220=AE$3,$G220,0)-IF($H220=AE$3,$J220,0)</f>
        <v/>
      </c>
      <c r="AF220" s="47">
        <f>IF($E220=AF$3,$G220,0)-IF($H220=AF$3,$J220,0)</f>
        <v/>
      </c>
      <c r="AG220" s="47">
        <f>IF($E220=AG$3,$G220,0)-IF($H220=AG$3,$J220,0)</f>
        <v/>
      </c>
      <c r="AH220" s="47">
        <f>IF($E220=AH$3,$G220,0)-IF($H220=AH$3,$J220,0)</f>
        <v/>
      </c>
      <c r="AI220" s="47">
        <f>IF($E220=AI$3,$G220,0)-IF($H220=AI$3,$J220,0)</f>
        <v/>
      </c>
      <c r="AJ220" s="47">
        <f>IF($E220=AJ$3,$G220,0)-IF($H220=AJ$3,$J220,0)</f>
        <v/>
      </c>
      <c r="AK220" s="47">
        <f>IF($E220=AK$3,$G220,0)-IF($H220=AK$3,$J220,0)</f>
        <v/>
      </c>
      <c r="AL220" s="48">
        <f>IF($E220=AL$3,$G220,0)-IF($H220=AL$3,$J220,0)</f>
        <v/>
      </c>
      <c r="AM220" s="46">
        <f>-IF($E220=AM$3,$G220,0)+IF($H220=AM$3,$J220,0)</f>
        <v/>
      </c>
      <c r="AN220" s="47">
        <f>-IF($E220=AN$3,$G220,0)+IF($H220=AN$3,$J220,0)</f>
        <v/>
      </c>
      <c r="AO220" s="48">
        <f>-IF($E220=AO$3,$G220,0)+IF($H220=AO$3,$J220,0)</f>
        <v/>
      </c>
      <c r="AP220" s="46">
        <f>IF($E220=AP$3,$G220,0)-IF($H220=AP$3,$J220,0)</f>
        <v/>
      </c>
      <c r="AQ220" s="47">
        <f>IF($E220=AQ$3,$G220,0)-IF($H220=AQ$3,$J220,0)</f>
        <v/>
      </c>
      <c r="AR220" s="47">
        <f>IF($E220=AR$3,$G220,0)-IF($H220=AR$3,$J220,0)</f>
        <v/>
      </c>
      <c r="AS220" s="47">
        <f>IF($E220=AS$3,$G220,0)-IF($H220=AS$3,$J220,0)</f>
        <v/>
      </c>
      <c r="AT220" s="47">
        <f>IF($E220=AT$3,$G220,0)-IF($H220=AT$3,$J220,0)</f>
        <v/>
      </c>
      <c r="AU220" s="47">
        <f>IF($E220=AU$3,$G220,0)-IF($H220=AU$3,$J220,0)</f>
        <v/>
      </c>
      <c r="AV220" s="47">
        <f>IF($E220=AV$3,$G220,0)-IF($H220=AV$3,$J220,0)</f>
        <v/>
      </c>
      <c r="AW220" s="47">
        <f>IF($E220=AW$3,$G220,0)-IF($H220=AW$3,$J220,0)</f>
        <v/>
      </c>
      <c r="AX220" s="47">
        <f>IF($E220=AX$3,$G220,0)-IF($H220=AX$3,$J220,0)</f>
        <v/>
      </c>
      <c r="AY220" s="47">
        <f>IF($E220=AY$3,$G220,0)-IF($H220=AY$3,$J220,0)</f>
        <v/>
      </c>
      <c r="AZ220" s="47">
        <f>IF($E220=AZ$3,$G220,0)-IF($H220=AZ$3,$J220,0)</f>
        <v/>
      </c>
      <c r="BA220" s="47">
        <f>IF($E220=BA$3,$G220,0)-IF($H220=BA$3,$J220,0)</f>
        <v/>
      </c>
      <c r="BB220" s="47">
        <f>IF($E220=BB$3,$G220,0)-IF($H220=BB$3,$J220,0)</f>
        <v/>
      </c>
      <c r="BC220" s="47">
        <f>IF($E220=BC$3,$G220,0)-IF($H220=BC$3,$J220,0)</f>
        <v/>
      </c>
      <c r="BD220" s="47">
        <f>IF($E220=BD$3,$G220,0)-IF($H220=BD$3,$J220,0)</f>
        <v/>
      </c>
      <c r="BE220" s="47">
        <f>IF($E220=BE$3,$G220,0)-IF($H220=BE$3,$J220,0)</f>
        <v/>
      </c>
      <c r="BF220" s="47">
        <f>IF($E220=BF$3,$G220,0)-IF($H220=BF$3,$J220,0)</f>
        <v/>
      </c>
      <c r="BG220" s="47">
        <f>IF($E220=BG$3,$G220,0)-IF($H220=BG$3,$J220,0)</f>
        <v/>
      </c>
      <c r="BH220" s="47">
        <f>IF($E220=BH$3,$G220,0)-IF($H220=BH$3,$J220,0)</f>
        <v/>
      </c>
      <c r="BI220" s="47">
        <f>IF($E220=BI$3,$G220,0)-IF($H220=BI$3,$J220,0)</f>
        <v/>
      </c>
      <c r="BJ220" s="47">
        <f>IF($E220=BJ$3,$G220,0)-IF($H220=BJ$3,$J220,0)</f>
        <v/>
      </c>
      <c r="BK220" s="47">
        <f>IF($E220=BK$3,$G220,0)-IF($H220=BK$3,$J220,0)</f>
        <v/>
      </c>
      <c r="BL220" s="46">
        <f>-IF($E220=BL$3,$G220,0)+IF($H220=BL$3,$J220,0)</f>
        <v/>
      </c>
      <c r="BM220" s="47">
        <f>-IF($E220=BM$3,$G220,0)+IF($H220=BM$3,$J220,0)</f>
        <v/>
      </c>
      <c r="BN220" s="47">
        <f>-IF($E220=BN$3,$G220,0)+IF($H220=BN$3,$J220,0)</f>
        <v/>
      </c>
      <c r="BO220" s="47">
        <f>-IF($E220=BO$3,$G220,0)+IF($H220=BO$3,$J220,0)</f>
        <v/>
      </c>
      <c r="BP220" s="47">
        <f>-IF($E220=BP$3,$G220,0)+IF($H220=BP$3,$J220,0)</f>
        <v/>
      </c>
      <c r="BQ220" s="47">
        <f>-IF($E220=BQ$3,$G220,0)+IF($H220=BQ$3,$J220,0)</f>
        <v/>
      </c>
      <c r="BR220" s="47">
        <f>-IF($E220=BR$3,$G220,0)+IF($H220=BR$3,$J220,0)</f>
        <v/>
      </c>
      <c r="BS220" s="47">
        <f>-IF($E220=BS$3,$G220,0)+IF($H220=BS$3,$J220,0)</f>
        <v/>
      </c>
      <c r="BT220" s="47">
        <f>-IF($E220=BT$3,$G220,0)+IF($H220=BT$3,$J220,0)</f>
        <v/>
      </c>
      <c r="BU220" s="46">
        <f>+G220-J220</f>
        <v/>
      </c>
      <c r="BV220" s="48">
        <f>-IF($E220=BV$3,$G220,0)+IF($H220=BV$3,$J220,0)</f>
        <v/>
      </c>
      <c r="BW220" s="3" t="n"/>
    </row>
    <row r="221" ht="15.75" customHeight="1" s="214">
      <c r="A221" s="7" t="n"/>
      <c r="B221" s="8" t="n"/>
      <c r="C221" s="9" t="n"/>
      <c r="D221" s="10" t="n"/>
      <c r="E221" s="247" t="n"/>
      <c r="F221" s="11">
        <f>IF(E221="","",IF(ISNA(VLOOKUP(E221,科目コード表!$C$4:$D$67,2,FALSE)),"該当科目なし",VLOOKUP(E221,科目コード表!$C$4:$D$67,2,FALSE)))</f>
        <v/>
      </c>
      <c r="G221" s="38" t="n"/>
      <c r="H221" s="248" t="n"/>
      <c r="I221" s="11">
        <f>IF(H221="","",IF(ISNA(VLOOKUP(H221,科目コード表!$C$4:$D$67,2,FALSE)),"該当科目なし",VLOOKUP(H221,科目コード表!$C$4:$D$67,2,FALSE)))</f>
        <v/>
      </c>
      <c r="J221" s="40" t="n"/>
      <c r="L221" s="46">
        <f>IF($E221=L$3,$G221,0)-IF($H221=L$3,$J221,0)</f>
        <v/>
      </c>
      <c r="M221" s="47">
        <f>IF($E221=M$3,$G221,0)-IF($H221=M$3,$J221,0)</f>
        <v/>
      </c>
      <c r="N221" s="47">
        <f>IF($E221=N$3,$G221,0)-IF($H221=N$3,$J221,0)</f>
        <v/>
      </c>
      <c r="O221" s="47">
        <f>IF($E221=O$3,$G221,0)-IF($H221=O$3,$J221,0)</f>
        <v/>
      </c>
      <c r="P221" s="47">
        <f>IF($E221=P$3,$G221,0)-IF($H221=P$3,$J221,0)</f>
        <v/>
      </c>
      <c r="Q221" s="47">
        <f>IF($E221=Q$3,$G221,0)-IF($H221=Q$3,$J221,0)</f>
        <v/>
      </c>
      <c r="R221" s="47">
        <f>IF($E221=R$3,$G221,0)-IF($H221=R$3,$J221,0)</f>
        <v/>
      </c>
      <c r="S221" s="47">
        <f>IF($E221=S$3,$G221,0)-IF($H221=S$3,$J221,0)</f>
        <v/>
      </c>
      <c r="T221" s="47">
        <f>IF($E221=T$3,$G221,0)-IF($H221=T$3,$J221,0)</f>
        <v/>
      </c>
      <c r="U221" s="47">
        <f>IF($E221=U$3,$G221,0)-IF($H221=U$3,$J221,0)</f>
        <v/>
      </c>
      <c r="V221" s="47">
        <f>IF($E221=V$3,$G221,0)-IF($H221=V$3,$J221,0)</f>
        <v/>
      </c>
      <c r="W221" s="47">
        <f>IF($E221=W$3,$G221,0)-IF($H221=W$3,$J221,0)</f>
        <v/>
      </c>
      <c r="X221" s="47">
        <f>IF($E221=X$3,$G221,0)-IF($H221=X$3,$J221,0)</f>
        <v/>
      </c>
      <c r="Y221" s="47">
        <f>IF($E221=Y$3,$G221,0)-IF($H221=Y$3,$J221,0)</f>
        <v/>
      </c>
      <c r="Z221" s="47">
        <f>IF($E221=Z$3,$G221,0)-IF($H221=Z$3,$J221,0)</f>
        <v/>
      </c>
      <c r="AA221" s="47">
        <f>IF($E221=AA$3,$G221,0)-IF($H221=AA$3,$J221,0)</f>
        <v/>
      </c>
      <c r="AB221" s="47">
        <f>IF($E221=AB$3,$G221,0)-IF($H221=AB$3,$J221,0)</f>
        <v/>
      </c>
      <c r="AC221" s="47">
        <f>IF($E221=AC$3,$G221,0)-IF($H221=AC$3,$J221,0)</f>
        <v/>
      </c>
      <c r="AD221" s="47">
        <f>IF($E221=AD$3,$G221,0)-IF($H221=AD$3,$J221,0)</f>
        <v/>
      </c>
      <c r="AE221" s="47">
        <f>IF($E221=AE$3,$G221,0)-IF($H221=AE$3,$J221,0)</f>
        <v/>
      </c>
      <c r="AF221" s="47">
        <f>IF($E221=AF$3,$G221,0)-IF($H221=AF$3,$J221,0)</f>
        <v/>
      </c>
      <c r="AG221" s="47">
        <f>IF($E221=AG$3,$G221,0)-IF($H221=AG$3,$J221,0)</f>
        <v/>
      </c>
      <c r="AH221" s="47">
        <f>IF($E221=AH$3,$G221,0)-IF($H221=AH$3,$J221,0)</f>
        <v/>
      </c>
      <c r="AI221" s="47">
        <f>IF($E221=AI$3,$G221,0)-IF($H221=AI$3,$J221,0)</f>
        <v/>
      </c>
      <c r="AJ221" s="47">
        <f>IF($E221=AJ$3,$G221,0)-IF($H221=AJ$3,$J221,0)</f>
        <v/>
      </c>
      <c r="AK221" s="47">
        <f>IF($E221=AK$3,$G221,0)-IF($H221=AK$3,$J221,0)</f>
        <v/>
      </c>
      <c r="AL221" s="48">
        <f>IF($E221=AL$3,$G221,0)-IF($H221=AL$3,$J221,0)</f>
        <v/>
      </c>
      <c r="AM221" s="46">
        <f>-IF($E221=AM$3,$G221,0)+IF($H221=AM$3,$J221,0)</f>
        <v/>
      </c>
      <c r="AN221" s="47">
        <f>-IF($E221=AN$3,$G221,0)+IF($H221=AN$3,$J221,0)</f>
        <v/>
      </c>
      <c r="AO221" s="48">
        <f>-IF($E221=AO$3,$G221,0)+IF($H221=AO$3,$J221,0)</f>
        <v/>
      </c>
      <c r="AP221" s="46">
        <f>IF($E221=AP$3,$G221,0)-IF($H221=AP$3,$J221,0)</f>
        <v/>
      </c>
      <c r="AQ221" s="47">
        <f>IF($E221=AQ$3,$G221,0)-IF($H221=AQ$3,$J221,0)</f>
        <v/>
      </c>
      <c r="AR221" s="47">
        <f>IF($E221=AR$3,$G221,0)-IF($H221=AR$3,$J221,0)</f>
        <v/>
      </c>
      <c r="AS221" s="47">
        <f>IF($E221=AS$3,$G221,0)-IF($H221=AS$3,$J221,0)</f>
        <v/>
      </c>
      <c r="AT221" s="47">
        <f>IF($E221=AT$3,$G221,0)-IF($H221=AT$3,$J221,0)</f>
        <v/>
      </c>
      <c r="AU221" s="47">
        <f>IF($E221=AU$3,$G221,0)-IF($H221=AU$3,$J221,0)</f>
        <v/>
      </c>
      <c r="AV221" s="47">
        <f>IF($E221=AV$3,$G221,0)-IF($H221=AV$3,$J221,0)</f>
        <v/>
      </c>
      <c r="AW221" s="47">
        <f>IF($E221=AW$3,$G221,0)-IF($H221=AW$3,$J221,0)</f>
        <v/>
      </c>
      <c r="AX221" s="47">
        <f>IF($E221=AX$3,$G221,0)-IF($H221=AX$3,$J221,0)</f>
        <v/>
      </c>
      <c r="AY221" s="47">
        <f>IF($E221=AY$3,$G221,0)-IF($H221=AY$3,$J221,0)</f>
        <v/>
      </c>
      <c r="AZ221" s="47">
        <f>IF($E221=AZ$3,$G221,0)-IF($H221=AZ$3,$J221,0)</f>
        <v/>
      </c>
      <c r="BA221" s="47">
        <f>IF($E221=BA$3,$G221,0)-IF($H221=BA$3,$J221,0)</f>
        <v/>
      </c>
      <c r="BB221" s="47">
        <f>IF($E221=BB$3,$G221,0)-IF($H221=BB$3,$J221,0)</f>
        <v/>
      </c>
      <c r="BC221" s="47">
        <f>IF($E221=BC$3,$G221,0)-IF($H221=BC$3,$J221,0)</f>
        <v/>
      </c>
      <c r="BD221" s="47">
        <f>IF($E221=BD$3,$G221,0)-IF($H221=BD$3,$J221,0)</f>
        <v/>
      </c>
      <c r="BE221" s="47">
        <f>IF($E221=BE$3,$G221,0)-IF($H221=BE$3,$J221,0)</f>
        <v/>
      </c>
      <c r="BF221" s="47">
        <f>IF($E221=BF$3,$G221,0)-IF($H221=BF$3,$J221,0)</f>
        <v/>
      </c>
      <c r="BG221" s="47">
        <f>IF($E221=BG$3,$G221,0)-IF($H221=BG$3,$J221,0)</f>
        <v/>
      </c>
      <c r="BH221" s="47">
        <f>IF($E221=BH$3,$G221,0)-IF($H221=BH$3,$J221,0)</f>
        <v/>
      </c>
      <c r="BI221" s="47">
        <f>IF($E221=BI$3,$G221,0)-IF($H221=BI$3,$J221,0)</f>
        <v/>
      </c>
      <c r="BJ221" s="47">
        <f>IF($E221=BJ$3,$G221,0)-IF($H221=BJ$3,$J221,0)</f>
        <v/>
      </c>
      <c r="BK221" s="47">
        <f>IF($E221=BK$3,$G221,0)-IF($H221=BK$3,$J221,0)</f>
        <v/>
      </c>
      <c r="BL221" s="46">
        <f>-IF($E221=BL$3,$G221,0)+IF($H221=BL$3,$J221,0)</f>
        <v/>
      </c>
      <c r="BM221" s="47">
        <f>-IF($E221=BM$3,$G221,0)+IF($H221=BM$3,$J221,0)</f>
        <v/>
      </c>
      <c r="BN221" s="47">
        <f>-IF($E221=BN$3,$G221,0)+IF($H221=BN$3,$J221,0)</f>
        <v/>
      </c>
      <c r="BO221" s="47">
        <f>-IF($E221=BO$3,$G221,0)+IF($H221=BO$3,$J221,0)</f>
        <v/>
      </c>
      <c r="BP221" s="47">
        <f>-IF($E221=BP$3,$G221,0)+IF($H221=BP$3,$J221,0)</f>
        <v/>
      </c>
      <c r="BQ221" s="47">
        <f>-IF($E221=BQ$3,$G221,0)+IF($H221=BQ$3,$J221,0)</f>
        <v/>
      </c>
      <c r="BR221" s="47">
        <f>-IF($E221=BR$3,$G221,0)+IF($H221=BR$3,$J221,0)</f>
        <v/>
      </c>
      <c r="BS221" s="47">
        <f>-IF($E221=BS$3,$G221,0)+IF($H221=BS$3,$J221,0)</f>
        <v/>
      </c>
      <c r="BT221" s="47">
        <f>-IF($E221=BT$3,$G221,0)+IF($H221=BT$3,$J221,0)</f>
        <v/>
      </c>
      <c r="BU221" s="46">
        <f>+G221-J221</f>
        <v/>
      </c>
      <c r="BV221" s="48">
        <f>-IF($E221=BV$3,$G221,0)+IF($H221=BV$3,$J221,0)</f>
        <v/>
      </c>
      <c r="BW221" s="3" t="n"/>
    </row>
    <row r="222" ht="15.75" customHeight="1" s="214">
      <c r="A222" s="7" t="n"/>
      <c r="B222" s="8" t="n"/>
      <c r="C222" s="9" t="n"/>
      <c r="D222" s="10" t="n"/>
      <c r="E222" s="247" t="n"/>
      <c r="F222" s="11">
        <f>IF(E222="","",IF(ISNA(VLOOKUP(E222,科目コード表!$C$4:$D$67,2,FALSE)),"該当科目なし",VLOOKUP(E222,科目コード表!$C$4:$D$67,2,FALSE)))</f>
        <v/>
      </c>
      <c r="G222" s="38" t="n"/>
      <c r="H222" s="248" t="n"/>
      <c r="I222" s="11">
        <f>IF(H222="","",IF(ISNA(VLOOKUP(H222,科目コード表!$C$4:$D$67,2,FALSE)),"該当科目なし",VLOOKUP(H222,科目コード表!$C$4:$D$67,2,FALSE)))</f>
        <v/>
      </c>
      <c r="J222" s="40" t="n"/>
      <c r="L222" s="46">
        <f>IF($E222=L$3,$G222,0)-IF($H222=L$3,$J222,0)</f>
        <v/>
      </c>
      <c r="M222" s="47">
        <f>IF($E222=M$3,$G222,0)-IF($H222=M$3,$J222,0)</f>
        <v/>
      </c>
      <c r="N222" s="47">
        <f>IF($E222=N$3,$G222,0)-IF($H222=N$3,$J222,0)</f>
        <v/>
      </c>
      <c r="O222" s="47">
        <f>IF($E222=O$3,$G222,0)-IF($H222=O$3,$J222,0)</f>
        <v/>
      </c>
      <c r="P222" s="47">
        <f>IF($E222=P$3,$G222,0)-IF($H222=P$3,$J222,0)</f>
        <v/>
      </c>
      <c r="Q222" s="47">
        <f>IF($E222=Q$3,$G222,0)-IF($H222=Q$3,$J222,0)</f>
        <v/>
      </c>
      <c r="R222" s="47">
        <f>IF($E222=R$3,$G222,0)-IF($H222=R$3,$J222,0)</f>
        <v/>
      </c>
      <c r="S222" s="47">
        <f>IF($E222=S$3,$G222,0)-IF($H222=S$3,$J222,0)</f>
        <v/>
      </c>
      <c r="T222" s="47">
        <f>IF($E222=T$3,$G222,0)-IF($H222=T$3,$J222,0)</f>
        <v/>
      </c>
      <c r="U222" s="47">
        <f>IF($E222=U$3,$G222,0)-IF($H222=U$3,$J222,0)</f>
        <v/>
      </c>
      <c r="V222" s="47">
        <f>IF($E222=V$3,$G222,0)-IF($H222=V$3,$J222,0)</f>
        <v/>
      </c>
      <c r="W222" s="47">
        <f>IF($E222=W$3,$G222,0)-IF($H222=W$3,$J222,0)</f>
        <v/>
      </c>
      <c r="X222" s="47">
        <f>IF($E222=X$3,$G222,0)-IF($H222=X$3,$J222,0)</f>
        <v/>
      </c>
      <c r="Y222" s="47">
        <f>IF($E222=Y$3,$G222,0)-IF($H222=Y$3,$J222,0)</f>
        <v/>
      </c>
      <c r="Z222" s="47">
        <f>IF($E222=Z$3,$G222,0)-IF($H222=Z$3,$J222,0)</f>
        <v/>
      </c>
      <c r="AA222" s="47">
        <f>IF($E222=AA$3,$G222,0)-IF($H222=AA$3,$J222,0)</f>
        <v/>
      </c>
      <c r="AB222" s="47">
        <f>IF($E222=AB$3,$G222,0)-IF($H222=AB$3,$J222,0)</f>
        <v/>
      </c>
      <c r="AC222" s="47">
        <f>IF($E222=AC$3,$G222,0)-IF($H222=AC$3,$J222,0)</f>
        <v/>
      </c>
      <c r="AD222" s="47">
        <f>IF($E222=AD$3,$G222,0)-IF($H222=AD$3,$J222,0)</f>
        <v/>
      </c>
      <c r="AE222" s="47">
        <f>IF($E222=AE$3,$G222,0)-IF($H222=AE$3,$J222,0)</f>
        <v/>
      </c>
      <c r="AF222" s="47">
        <f>IF($E222=AF$3,$G222,0)-IF($H222=AF$3,$J222,0)</f>
        <v/>
      </c>
      <c r="AG222" s="47">
        <f>IF($E222=AG$3,$G222,0)-IF($H222=AG$3,$J222,0)</f>
        <v/>
      </c>
      <c r="AH222" s="47">
        <f>IF($E222=AH$3,$G222,0)-IF($H222=AH$3,$J222,0)</f>
        <v/>
      </c>
      <c r="AI222" s="47">
        <f>IF($E222=AI$3,$G222,0)-IF($H222=AI$3,$J222,0)</f>
        <v/>
      </c>
      <c r="AJ222" s="47">
        <f>IF($E222=AJ$3,$G222,0)-IF($H222=AJ$3,$J222,0)</f>
        <v/>
      </c>
      <c r="AK222" s="47">
        <f>IF($E222=AK$3,$G222,0)-IF($H222=AK$3,$J222,0)</f>
        <v/>
      </c>
      <c r="AL222" s="48">
        <f>IF($E222=AL$3,$G222,0)-IF($H222=AL$3,$J222,0)</f>
        <v/>
      </c>
      <c r="AM222" s="46">
        <f>-IF($E222=AM$3,$G222,0)+IF($H222=AM$3,$J222,0)</f>
        <v/>
      </c>
      <c r="AN222" s="47">
        <f>-IF($E222=AN$3,$G222,0)+IF($H222=AN$3,$J222,0)</f>
        <v/>
      </c>
      <c r="AO222" s="48">
        <f>-IF($E222=AO$3,$G222,0)+IF($H222=AO$3,$J222,0)</f>
        <v/>
      </c>
      <c r="AP222" s="46">
        <f>IF($E222=AP$3,$G222,0)-IF($H222=AP$3,$J222,0)</f>
        <v/>
      </c>
      <c r="AQ222" s="47">
        <f>IF($E222=AQ$3,$G222,0)-IF($H222=AQ$3,$J222,0)</f>
        <v/>
      </c>
      <c r="AR222" s="47">
        <f>IF($E222=AR$3,$G222,0)-IF($H222=AR$3,$J222,0)</f>
        <v/>
      </c>
      <c r="AS222" s="47">
        <f>IF($E222=AS$3,$G222,0)-IF($H222=AS$3,$J222,0)</f>
        <v/>
      </c>
      <c r="AT222" s="47">
        <f>IF($E222=AT$3,$G222,0)-IF($H222=AT$3,$J222,0)</f>
        <v/>
      </c>
      <c r="AU222" s="47">
        <f>IF($E222=AU$3,$G222,0)-IF($H222=AU$3,$J222,0)</f>
        <v/>
      </c>
      <c r="AV222" s="47">
        <f>IF($E222=AV$3,$G222,0)-IF($H222=AV$3,$J222,0)</f>
        <v/>
      </c>
      <c r="AW222" s="47">
        <f>IF($E222=AW$3,$G222,0)-IF($H222=AW$3,$J222,0)</f>
        <v/>
      </c>
      <c r="AX222" s="47">
        <f>IF($E222=AX$3,$G222,0)-IF($H222=AX$3,$J222,0)</f>
        <v/>
      </c>
      <c r="AY222" s="47">
        <f>IF($E222=AY$3,$G222,0)-IF($H222=AY$3,$J222,0)</f>
        <v/>
      </c>
      <c r="AZ222" s="47">
        <f>IF($E222=AZ$3,$G222,0)-IF($H222=AZ$3,$J222,0)</f>
        <v/>
      </c>
      <c r="BA222" s="47">
        <f>IF($E222=BA$3,$G222,0)-IF($H222=BA$3,$J222,0)</f>
        <v/>
      </c>
      <c r="BB222" s="47">
        <f>IF($E222=BB$3,$G222,0)-IF($H222=BB$3,$J222,0)</f>
        <v/>
      </c>
      <c r="BC222" s="47">
        <f>IF($E222=BC$3,$G222,0)-IF($H222=BC$3,$J222,0)</f>
        <v/>
      </c>
      <c r="BD222" s="47">
        <f>IF($E222=BD$3,$G222,0)-IF($H222=BD$3,$J222,0)</f>
        <v/>
      </c>
      <c r="BE222" s="47">
        <f>IF($E222=BE$3,$G222,0)-IF($H222=BE$3,$J222,0)</f>
        <v/>
      </c>
      <c r="BF222" s="47">
        <f>IF($E222=BF$3,$G222,0)-IF($H222=BF$3,$J222,0)</f>
        <v/>
      </c>
      <c r="BG222" s="47">
        <f>IF($E222=BG$3,$G222,0)-IF($H222=BG$3,$J222,0)</f>
        <v/>
      </c>
      <c r="BH222" s="47">
        <f>IF($E222=BH$3,$G222,0)-IF($H222=BH$3,$J222,0)</f>
        <v/>
      </c>
      <c r="BI222" s="47">
        <f>IF($E222=BI$3,$G222,0)-IF($H222=BI$3,$J222,0)</f>
        <v/>
      </c>
      <c r="BJ222" s="47">
        <f>IF($E222=BJ$3,$G222,0)-IF($H222=BJ$3,$J222,0)</f>
        <v/>
      </c>
      <c r="BK222" s="47">
        <f>IF($E222=BK$3,$G222,0)-IF($H222=BK$3,$J222,0)</f>
        <v/>
      </c>
      <c r="BL222" s="46">
        <f>-IF($E222=BL$3,$G222,0)+IF($H222=BL$3,$J222,0)</f>
        <v/>
      </c>
      <c r="BM222" s="47">
        <f>-IF($E222=BM$3,$G222,0)+IF($H222=BM$3,$J222,0)</f>
        <v/>
      </c>
      <c r="BN222" s="47">
        <f>-IF($E222=BN$3,$G222,0)+IF($H222=BN$3,$J222,0)</f>
        <v/>
      </c>
      <c r="BO222" s="47">
        <f>-IF($E222=BO$3,$G222,0)+IF($H222=BO$3,$J222,0)</f>
        <v/>
      </c>
      <c r="BP222" s="47">
        <f>-IF($E222=BP$3,$G222,0)+IF($H222=BP$3,$J222,0)</f>
        <v/>
      </c>
      <c r="BQ222" s="47">
        <f>-IF($E222=BQ$3,$G222,0)+IF($H222=BQ$3,$J222,0)</f>
        <v/>
      </c>
      <c r="BR222" s="47">
        <f>-IF($E222=BR$3,$G222,0)+IF($H222=BR$3,$J222,0)</f>
        <v/>
      </c>
      <c r="BS222" s="47">
        <f>-IF($E222=BS$3,$G222,0)+IF($H222=BS$3,$J222,0)</f>
        <v/>
      </c>
      <c r="BT222" s="47">
        <f>-IF($E222=BT$3,$G222,0)+IF($H222=BT$3,$J222,0)</f>
        <v/>
      </c>
      <c r="BU222" s="46">
        <f>+G222-J222</f>
        <v/>
      </c>
      <c r="BV222" s="48">
        <f>-IF($E222=BV$3,$G222,0)+IF($H222=BV$3,$J222,0)</f>
        <v/>
      </c>
      <c r="BW222" s="3" t="n"/>
    </row>
    <row r="223" ht="15.75" customHeight="1" s="214">
      <c r="A223" s="7" t="n"/>
      <c r="B223" s="8" t="n"/>
      <c r="C223" s="9" t="n"/>
      <c r="D223" s="10" t="n"/>
      <c r="E223" s="247" t="n"/>
      <c r="F223" s="11">
        <f>IF(E223="","",IF(ISNA(VLOOKUP(E223,科目コード表!$C$4:$D$67,2,FALSE)),"該当科目なし",VLOOKUP(E223,科目コード表!$C$4:$D$67,2,FALSE)))</f>
        <v/>
      </c>
      <c r="G223" s="38" t="n"/>
      <c r="H223" s="248" t="n"/>
      <c r="I223" s="11">
        <f>IF(H223="","",IF(ISNA(VLOOKUP(H223,科目コード表!$C$4:$D$67,2,FALSE)),"該当科目なし",VLOOKUP(H223,科目コード表!$C$4:$D$67,2,FALSE)))</f>
        <v/>
      </c>
      <c r="J223" s="40" t="n"/>
      <c r="L223" s="46">
        <f>IF($E223=L$3,$G223,0)-IF($H223=L$3,$J223,0)</f>
        <v/>
      </c>
      <c r="M223" s="47">
        <f>IF($E223=M$3,$G223,0)-IF($H223=M$3,$J223,0)</f>
        <v/>
      </c>
      <c r="N223" s="47">
        <f>IF($E223=N$3,$G223,0)-IF($H223=N$3,$J223,0)</f>
        <v/>
      </c>
      <c r="O223" s="47">
        <f>IF($E223=O$3,$G223,0)-IF($H223=O$3,$J223,0)</f>
        <v/>
      </c>
      <c r="P223" s="47">
        <f>IF($E223=P$3,$G223,0)-IF($H223=P$3,$J223,0)</f>
        <v/>
      </c>
      <c r="Q223" s="47">
        <f>IF($E223=Q$3,$G223,0)-IF($H223=Q$3,$J223,0)</f>
        <v/>
      </c>
      <c r="R223" s="47">
        <f>IF($E223=R$3,$G223,0)-IF($H223=R$3,$J223,0)</f>
        <v/>
      </c>
      <c r="S223" s="47">
        <f>IF($E223=S$3,$G223,0)-IF($H223=S$3,$J223,0)</f>
        <v/>
      </c>
      <c r="T223" s="47">
        <f>IF($E223=T$3,$G223,0)-IF($H223=T$3,$J223,0)</f>
        <v/>
      </c>
      <c r="U223" s="47">
        <f>IF($E223=U$3,$G223,0)-IF($H223=U$3,$J223,0)</f>
        <v/>
      </c>
      <c r="V223" s="47">
        <f>IF($E223=V$3,$G223,0)-IF($H223=V$3,$J223,0)</f>
        <v/>
      </c>
      <c r="W223" s="47">
        <f>IF($E223=W$3,$G223,0)-IF($H223=W$3,$J223,0)</f>
        <v/>
      </c>
      <c r="X223" s="47">
        <f>IF($E223=X$3,$G223,0)-IF($H223=X$3,$J223,0)</f>
        <v/>
      </c>
      <c r="Y223" s="47">
        <f>IF($E223=Y$3,$G223,0)-IF($H223=Y$3,$J223,0)</f>
        <v/>
      </c>
      <c r="Z223" s="47">
        <f>IF($E223=Z$3,$G223,0)-IF($H223=Z$3,$J223,0)</f>
        <v/>
      </c>
      <c r="AA223" s="47">
        <f>IF($E223=AA$3,$G223,0)-IF($H223=AA$3,$J223,0)</f>
        <v/>
      </c>
      <c r="AB223" s="47">
        <f>IF($E223=AB$3,$G223,0)-IF($H223=AB$3,$J223,0)</f>
        <v/>
      </c>
      <c r="AC223" s="47">
        <f>IF($E223=AC$3,$G223,0)-IF($H223=AC$3,$J223,0)</f>
        <v/>
      </c>
      <c r="AD223" s="47">
        <f>IF($E223=AD$3,$G223,0)-IF($H223=AD$3,$J223,0)</f>
        <v/>
      </c>
      <c r="AE223" s="47">
        <f>IF($E223=AE$3,$G223,0)-IF($H223=AE$3,$J223,0)</f>
        <v/>
      </c>
      <c r="AF223" s="47">
        <f>IF($E223=AF$3,$G223,0)-IF($H223=AF$3,$J223,0)</f>
        <v/>
      </c>
      <c r="AG223" s="47">
        <f>IF($E223=AG$3,$G223,0)-IF($H223=AG$3,$J223,0)</f>
        <v/>
      </c>
      <c r="AH223" s="47">
        <f>IF($E223=AH$3,$G223,0)-IF($H223=AH$3,$J223,0)</f>
        <v/>
      </c>
      <c r="AI223" s="47">
        <f>IF($E223=AI$3,$G223,0)-IF($H223=AI$3,$J223,0)</f>
        <v/>
      </c>
      <c r="AJ223" s="47">
        <f>IF($E223=AJ$3,$G223,0)-IF($H223=AJ$3,$J223,0)</f>
        <v/>
      </c>
      <c r="AK223" s="47">
        <f>IF($E223=AK$3,$G223,0)-IF($H223=AK$3,$J223,0)</f>
        <v/>
      </c>
      <c r="AL223" s="48">
        <f>IF($E223=AL$3,$G223,0)-IF($H223=AL$3,$J223,0)</f>
        <v/>
      </c>
      <c r="AM223" s="46">
        <f>-IF($E223=AM$3,$G223,0)+IF($H223=AM$3,$J223,0)</f>
        <v/>
      </c>
      <c r="AN223" s="47">
        <f>-IF($E223=AN$3,$G223,0)+IF($H223=AN$3,$J223,0)</f>
        <v/>
      </c>
      <c r="AO223" s="48">
        <f>-IF($E223=AO$3,$G223,0)+IF($H223=AO$3,$J223,0)</f>
        <v/>
      </c>
      <c r="AP223" s="46">
        <f>IF($E223=AP$3,$G223,0)-IF($H223=AP$3,$J223,0)</f>
        <v/>
      </c>
      <c r="AQ223" s="47">
        <f>IF($E223=AQ$3,$G223,0)-IF($H223=AQ$3,$J223,0)</f>
        <v/>
      </c>
      <c r="AR223" s="47">
        <f>IF($E223=AR$3,$G223,0)-IF($H223=AR$3,$J223,0)</f>
        <v/>
      </c>
      <c r="AS223" s="47">
        <f>IF($E223=AS$3,$G223,0)-IF($H223=AS$3,$J223,0)</f>
        <v/>
      </c>
      <c r="AT223" s="47">
        <f>IF($E223=AT$3,$G223,0)-IF($H223=AT$3,$J223,0)</f>
        <v/>
      </c>
      <c r="AU223" s="47">
        <f>IF($E223=AU$3,$G223,0)-IF($H223=AU$3,$J223,0)</f>
        <v/>
      </c>
      <c r="AV223" s="47">
        <f>IF($E223=AV$3,$G223,0)-IF($H223=AV$3,$J223,0)</f>
        <v/>
      </c>
      <c r="AW223" s="47">
        <f>IF($E223=AW$3,$G223,0)-IF($H223=AW$3,$J223,0)</f>
        <v/>
      </c>
      <c r="AX223" s="47">
        <f>IF($E223=AX$3,$G223,0)-IF($H223=AX$3,$J223,0)</f>
        <v/>
      </c>
      <c r="AY223" s="47">
        <f>IF($E223=AY$3,$G223,0)-IF($H223=AY$3,$J223,0)</f>
        <v/>
      </c>
      <c r="AZ223" s="47">
        <f>IF($E223=AZ$3,$G223,0)-IF($H223=AZ$3,$J223,0)</f>
        <v/>
      </c>
      <c r="BA223" s="47">
        <f>IF($E223=BA$3,$G223,0)-IF($H223=BA$3,$J223,0)</f>
        <v/>
      </c>
      <c r="BB223" s="47">
        <f>IF($E223=BB$3,$G223,0)-IF($H223=BB$3,$J223,0)</f>
        <v/>
      </c>
      <c r="BC223" s="47">
        <f>IF($E223=BC$3,$G223,0)-IF($H223=BC$3,$J223,0)</f>
        <v/>
      </c>
      <c r="BD223" s="47">
        <f>IF($E223=BD$3,$G223,0)-IF($H223=BD$3,$J223,0)</f>
        <v/>
      </c>
      <c r="BE223" s="47">
        <f>IF($E223=BE$3,$G223,0)-IF($H223=BE$3,$J223,0)</f>
        <v/>
      </c>
      <c r="BF223" s="47">
        <f>IF($E223=BF$3,$G223,0)-IF($H223=BF$3,$J223,0)</f>
        <v/>
      </c>
      <c r="BG223" s="47">
        <f>IF($E223=BG$3,$G223,0)-IF($H223=BG$3,$J223,0)</f>
        <v/>
      </c>
      <c r="BH223" s="47">
        <f>IF($E223=BH$3,$G223,0)-IF($H223=BH$3,$J223,0)</f>
        <v/>
      </c>
      <c r="BI223" s="47">
        <f>IF($E223=BI$3,$G223,0)-IF($H223=BI$3,$J223,0)</f>
        <v/>
      </c>
      <c r="BJ223" s="47">
        <f>IF($E223=BJ$3,$G223,0)-IF($H223=BJ$3,$J223,0)</f>
        <v/>
      </c>
      <c r="BK223" s="47">
        <f>IF($E223=BK$3,$G223,0)-IF($H223=BK$3,$J223,0)</f>
        <v/>
      </c>
      <c r="BL223" s="46">
        <f>-IF($E223=BL$3,$G223,0)+IF($H223=BL$3,$J223,0)</f>
        <v/>
      </c>
      <c r="BM223" s="47">
        <f>-IF($E223=BM$3,$G223,0)+IF($H223=BM$3,$J223,0)</f>
        <v/>
      </c>
      <c r="BN223" s="47">
        <f>-IF($E223=BN$3,$G223,0)+IF($H223=BN$3,$J223,0)</f>
        <v/>
      </c>
      <c r="BO223" s="47">
        <f>-IF($E223=BO$3,$G223,0)+IF($H223=BO$3,$J223,0)</f>
        <v/>
      </c>
      <c r="BP223" s="47">
        <f>-IF($E223=BP$3,$G223,0)+IF($H223=BP$3,$J223,0)</f>
        <v/>
      </c>
      <c r="BQ223" s="47">
        <f>-IF($E223=BQ$3,$G223,0)+IF($H223=BQ$3,$J223,0)</f>
        <v/>
      </c>
      <c r="BR223" s="47">
        <f>-IF($E223=BR$3,$G223,0)+IF($H223=BR$3,$J223,0)</f>
        <v/>
      </c>
      <c r="BS223" s="47">
        <f>-IF($E223=BS$3,$G223,0)+IF($H223=BS$3,$J223,0)</f>
        <v/>
      </c>
      <c r="BT223" s="47">
        <f>-IF($E223=BT$3,$G223,0)+IF($H223=BT$3,$J223,0)</f>
        <v/>
      </c>
      <c r="BU223" s="46">
        <f>+G223-J223</f>
        <v/>
      </c>
      <c r="BV223" s="48">
        <f>-IF($E223=BV$3,$G223,0)+IF($H223=BV$3,$J223,0)</f>
        <v/>
      </c>
      <c r="BW223" s="3" t="n"/>
    </row>
    <row r="224" ht="15.75" customHeight="1" s="214">
      <c r="A224" s="7" t="n"/>
      <c r="B224" s="8" t="n"/>
      <c r="C224" s="9" t="n"/>
      <c r="D224" s="10" t="n"/>
      <c r="E224" s="247" t="n"/>
      <c r="F224" s="11">
        <f>IF(E224="","",IF(ISNA(VLOOKUP(E224,科目コード表!$C$4:$D$67,2,FALSE)),"該当科目なし",VLOOKUP(E224,科目コード表!$C$4:$D$67,2,FALSE)))</f>
        <v/>
      </c>
      <c r="G224" s="38" t="n"/>
      <c r="H224" s="248" t="n"/>
      <c r="I224" s="11">
        <f>IF(H224="","",IF(ISNA(VLOOKUP(H224,科目コード表!$C$4:$D$67,2,FALSE)),"該当科目なし",VLOOKUP(H224,科目コード表!$C$4:$D$67,2,FALSE)))</f>
        <v/>
      </c>
      <c r="J224" s="40" t="n"/>
      <c r="L224" s="46">
        <f>IF($E224=L$3,$G224,0)-IF($H224=L$3,$J224,0)</f>
        <v/>
      </c>
      <c r="M224" s="47">
        <f>IF($E224=M$3,$G224,0)-IF($H224=M$3,$J224,0)</f>
        <v/>
      </c>
      <c r="N224" s="47">
        <f>IF($E224=N$3,$G224,0)-IF($H224=N$3,$J224,0)</f>
        <v/>
      </c>
      <c r="O224" s="47">
        <f>IF($E224=O$3,$G224,0)-IF($H224=O$3,$J224,0)</f>
        <v/>
      </c>
      <c r="P224" s="47">
        <f>IF($E224=P$3,$G224,0)-IF($H224=P$3,$J224,0)</f>
        <v/>
      </c>
      <c r="Q224" s="47">
        <f>IF($E224=Q$3,$G224,0)-IF($H224=Q$3,$J224,0)</f>
        <v/>
      </c>
      <c r="R224" s="47">
        <f>IF($E224=R$3,$G224,0)-IF($H224=R$3,$J224,0)</f>
        <v/>
      </c>
      <c r="S224" s="47">
        <f>IF($E224=S$3,$G224,0)-IF($H224=S$3,$J224,0)</f>
        <v/>
      </c>
      <c r="T224" s="47">
        <f>IF($E224=T$3,$G224,0)-IF($H224=T$3,$J224,0)</f>
        <v/>
      </c>
      <c r="U224" s="47">
        <f>IF($E224=U$3,$G224,0)-IF($H224=U$3,$J224,0)</f>
        <v/>
      </c>
      <c r="V224" s="47">
        <f>IF($E224=V$3,$G224,0)-IF($H224=V$3,$J224,0)</f>
        <v/>
      </c>
      <c r="W224" s="47">
        <f>IF($E224=W$3,$G224,0)-IF($H224=W$3,$J224,0)</f>
        <v/>
      </c>
      <c r="X224" s="47">
        <f>IF($E224=X$3,$G224,0)-IF($H224=X$3,$J224,0)</f>
        <v/>
      </c>
      <c r="Y224" s="47">
        <f>IF($E224=Y$3,$G224,0)-IF($H224=Y$3,$J224,0)</f>
        <v/>
      </c>
      <c r="Z224" s="47">
        <f>IF($E224=Z$3,$G224,0)-IF($H224=Z$3,$J224,0)</f>
        <v/>
      </c>
      <c r="AA224" s="47">
        <f>IF($E224=AA$3,$G224,0)-IF($H224=AA$3,$J224,0)</f>
        <v/>
      </c>
      <c r="AB224" s="47">
        <f>IF($E224=AB$3,$G224,0)-IF($H224=AB$3,$J224,0)</f>
        <v/>
      </c>
      <c r="AC224" s="47">
        <f>IF($E224=AC$3,$G224,0)-IF($H224=AC$3,$J224,0)</f>
        <v/>
      </c>
      <c r="AD224" s="47">
        <f>IF($E224=AD$3,$G224,0)-IF($H224=AD$3,$J224,0)</f>
        <v/>
      </c>
      <c r="AE224" s="47">
        <f>IF($E224=AE$3,$G224,0)-IF($H224=AE$3,$J224,0)</f>
        <v/>
      </c>
      <c r="AF224" s="47">
        <f>IF($E224=AF$3,$G224,0)-IF($H224=AF$3,$J224,0)</f>
        <v/>
      </c>
      <c r="AG224" s="47">
        <f>IF($E224=AG$3,$G224,0)-IF($H224=AG$3,$J224,0)</f>
        <v/>
      </c>
      <c r="AH224" s="47">
        <f>IF($E224=AH$3,$G224,0)-IF($H224=AH$3,$J224,0)</f>
        <v/>
      </c>
      <c r="AI224" s="47">
        <f>IF($E224=AI$3,$G224,0)-IF($H224=AI$3,$J224,0)</f>
        <v/>
      </c>
      <c r="AJ224" s="47">
        <f>IF($E224=AJ$3,$G224,0)-IF($H224=AJ$3,$J224,0)</f>
        <v/>
      </c>
      <c r="AK224" s="47">
        <f>IF($E224=AK$3,$G224,0)-IF($H224=AK$3,$J224,0)</f>
        <v/>
      </c>
      <c r="AL224" s="48">
        <f>IF($E224=AL$3,$G224,0)-IF($H224=AL$3,$J224,0)</f>
        <v/>
      </c>
      <c r="AM224" s="46">
        <f>-IF($E224=AM$3,$G224,0)+IF($H224=AM$3,$J224,0)</f>
        <v/>
      </c>
      <c r="AN224" s="47">
        <f>-IF($E224=AN$3,$G224,0)+IF($H224=AN$3,$J224,0)</f>
        <v/>
      </c>
      <c r="AO224" s="48">
        <f>-IF($E224=AO$3,$G224,0)+IF($H224=AO$3,$J224,0)</f>
        <v/>
      </c>
      <c r="AP224" s="46">
        <f>IF($E224=AP$3,$G224,0)-IF($H224=AP$3,$J224,0)</f>
        <v/>
      </c>
      <c r="AQ224" s="47">
        <f>IF($E224=AQ$3,$G224,0)-IF($H224=AQ$3,$J224,0)</f>
        <v/>
      </c>
      <c r="AR224" s="47">
        <f>IF($E224=AR$3,$G224,0)-IF($H224=AR$3,$J224,0)</f>
        <v/>
      </c>
      <c r="AS224" s="47">
        <f>IF($E224=AS$3,$G224,0)-IF($H224=AS$3,$J224,0)</f>
        <v/>
      </c>
      <c r="AT224" s="47">
        <f>IF($E224=AT$3,$G224,0)-IF($H224=AT$3,$J224,0)</f>
        <v/>
      </c>
      <c r="AU224" s="47">
        <f>IF($E224=AU$3,$G224,0)-IF($H224=AU$3,$J224,0)</f>
        <v/>
      </c>
      <c r="AV224" s="47">
        <f>IF($E224=AV$3,$G224,0)-IF($H224=AV$3,$J224,0)</f>
        <v/>
      </c>
      <c r="AW224" s="47">
        <f>IF($E224=AW$3,$G224,0)-IF($H224=AW$3,$J224,0)</f>
        <v/>
      </c>
      <c r="AX224" s="47">
        <f>IF($E224=AX$3,$G224,0)-IF($H224=AX$3,$J224,0)</f>
        <v/>
      </c>
      <c r="AY224" s="47">
        <f>IF($E224=AY$3,$G224,0)-IF($H224=AY$3,$J224,0)</f>
        <v/>
      </c>
      <c r="AZ224" s="47">
        <f>IF($E224=AZ$3,$G224,0)-IF($H224=AZ$3,$J224,0)</f>
        <v/>
      </c>
      <c r="BA224" s="47">
        <f>IF($E224=BA$3,$G224,0)-IF($H224=BA$3,$J224,0)</f>
        <v/>
      </c>
      <c r="BB224" s="47">
        <f>IF($E224=BB$3,$G224,0)-IF($H224=BB$3,$J224,0)</f>
        <v/>
      </c>
      <c r="BC224" s="47">
        <f>IF($E224=BC$3,$G224,0)-IF($H224=BC$3,$J224,0)</f>
        <v/>
      </c>
      <c r="BD224" s="47">
        <f>IF($E224=BD$3,$G224,0)-IF($H224=BD$3,$J224,0)</f>
        <v/>
      </c>
      <c r="BE224" s="47">
        <f>IF($E224=BE$3,$G224,0)-IF($H224=BE$3,$J224,0)</f>
        <v/>
      </c>
      <c r="BF224" s="47">
        <f>IF($E224=BF$3,$G224,0)-IF($H224=BF$3,$J224,0)</f>
        <v/>
      </c>
      <c r="BG224" s="47">
        <f>IF($E224=BG$3,$G224,0)-IF($H224=BG$3,$J224,0)</f>
        <v/>
      </c>
      <c r="BH224" s="47">
        <f>IF($E224=BH$3,$G224,0)-IF($H224=BH$3,$J224,0)</f>
        <v/>
      </c>
      <c r="BI224" s="47">
        <f>IF($E224=BI$3,$G224,0)-IF($H224=BI$3,$J224,0)</f>
        <v/>
      </c>
      <c r="BJ224" s="47">
        <f>IF($E224=BJ$3,$G224,0)-IF($H224=BJ$3,$J224,0)</f>
        <v/>
      </c>
      <c r="BK224" s="47">
        <f>IF($E224=BK$3,$G224,0)-IF($H224=BK$3,$J224,0)</f>
        <v/>
      </c>
      <c r="BL224" s="46">
        <f>-IF($E224=BL$3,$G224,0)+IF($H224=BL$3,$J224,0)</f>
        <v/>
      </c>
      <c r="BM224" s="47">
        <f>-IF($E224=BM$3,$G224,0)+IF($H224=BM$3,$J224,0)</f>
        <v/>
      </c>
      <c r="BN224" s="47">
        <f>-IF($E224=BN$3,$G224,0)+IF($H224=BN$3,$J224,0)</f>
        <v/>
      </c>
      <c r="BO224" s="47">
        <f>-IF($E224=BO$3,$G224,0)+IF($H224=BO$3,$J224,0)</f>
        <v/>
      </c>
      <c r="BP224" s="47">
        <f>-IF($E224=BP$3,$G224,0)+IF($H224=BP$3,$J224,0)</f>
        <v/>
      </c>
      <c r="BQ224" s="47">
        <f>-IF($E224=BQ$3,$G224,0)+IF($H224=BQ$3,$J224,0)</f>
        <v/>
      </c>
      <c r="BR224" s="47">
        <f>-IF($E224=BR$3,$G224,0)+IF($H224=BR$3,$J224,0)</f>
        <v/>
      </c>
      <c r="BS224" s="47">
        <f>-IF($E224=BS$3,$G224,0)+IF($H224=BS$3,$J224,0)</f>
        <v/>
      </c>
      <c r="BT224" s="47">
        <f>-IF($E224=BT$3,$G224,0)+IF($H224=BT$3,$J224,0)</f>
        <v/>
      </c>
      <c r="BU224" s="46">
        <f>+G224-J224</f>
        <v/>
      </c>
      <c r="BV224" s="48">
        <f>-IF($E224=BV$3,$G224,0)+IF($H224=BV$3,$J224,0)</f>
        <v/>
      </c>
      <c r="BW224" s="3" t="n"/>
    </row>
    <row r="225" ht="15.75" customHeight="1" s="214">
      <c r="A225" s="7" t="n"/>
      <c r="B225" s="8" t="n"/>
      <c r="C225" s="9" t="n"/>
      <c r="D225" s="10" t="n"/>
      <c r="E225" s="247" t="n"/>
      <c r="F225" s="11">
        <f>IF(E225="","",IF(ISNA(VLOOKUP(E225,科目コード表!$C$4:$D$67,2,FALSE)),"該当科目なし",VLOOKUP(E225,科目コード表!$C$4:$D$67,2,FALSE)))</f>
        <v/>
      </c>
      <c r="G225" s="38" t="n"/>
      <c r="H225" s="248" t="n"/>
      <c r="I225" s="11">
        <f>IF(H225="","",IF(ISNA(VLOOKUP(H225,科目コード表!$C$4:$D$67,2,FALSE)),"該当科目なし",VLOOKUP(H225,科目コード表!$C$4:$D$67,2,FALSE)))</f>
        <v/>
      </c>
      <c r="J225" s="40" t="n"/>
      <c r="L225" s="46">
        <f>IF($E225=L$3,$G225,0)-IF($H225=L$3,$J225,0)</f>
        <v/>
      </c>
      <c r="M225" s="47">
        <f>IF($E225=M$3,$G225,0)-IF($H225=M$3,$J225,0)</f>
        <v/>
      </c>
      <c r="N225" s="47">
        <f>IF($E225=N$3,$G225,0)-IF($H225=N$3,$J225,0)</f>
        <v/>
      </c>
      <c r="O225" s="47">
        <f>IF($E225=O$3,$G225,0)-IF($H225=O$3,$J225,0)</f>
        <v/>
      </c>
      <c r="P225" s="47">
        <f>IF($E225=P$3,$G225,0)-IF($H225=P$3,$J225,0)</f>
        <v/>
      </c>
      <c r="Q225" s="47">
        <f>IF($E225=Q$3,$G225,0)-IF($H225=Q$3,$J225,0)</f>
        <v/>
      </c>
      <c r="R225" s="47">
        <f>IF($E225=R$3,$G225,0)-IF($H225=R$3,$J225,0)</f>
        <v/>
      </c>
      <c r="S225" s="47">
        <f>IF($E225=S$3,$G225,0)-IF($H225=S$3,$J225,0)</f>
        <v/>
      </c>
      <c r="T225" s="47">
        <f>IF($E225=T$3,$G225,0)-IF($H225=T$3,$J225,0)</f>
        <v/>
      </c>
      <c r="U225" s="47">
        <f>IF($E225=U$3,$G225,0)-IF($H225=U$3,$J225,0)</f>
        <v/>
      </c>
      <c r="V225" s="47">
        <f>IF($E225=V$3,$G225,0)-IF($H225=V$3,$J225,0)</f>
        <v/>
      </c>
      <c r="W225" s="47">
        <f>IF($E225=W$3,$G225,0)-IF($H225=W$3,$J225,0)</f>
        <v/>
      </c>
      <c r="X225" s="47">
        <f>IF($E225=X$3,$G225,0)-IF($H225=X$3,$J225,0)</f>
        <v/>
      </c>
      <c r="Y225" s="47">
        <f>IF($E225=Y$3,$G225,0)-IF($H225=Y$3,$J225,0)</f>
        <v/>
      </c>
      <c r="Z225" s="47">
        <f>IF($E225=Z$3,$G225,0)-IF($H225=Z$3,$J225,0)</f>
        <v/>
      </c>
      <c r="AA225" s="47">
        <f>IF($E225=AA$3,$G225,0)-IF($H225=AA$3,$J225,0)</f>
        <v/>
      </c>
      <c r="AB225" s="47">
        <f>IF($E225=AB$3,$G225,0)-IF($H225=AB$3,$J225,0)</f>
        <v/>
      </c>
      <c r="AC225" s="47">
        <f>IF($E225=AC$3,$G225,0)-IF($H225=AC$3,$J225,0)</f>
        <v/>
      </c>
      <c r="AD225" s="47">
        <f>IF($E225=AD$3,$G225,0)-IF($H225=AD$3,$J225,0)</f>
        <v/>
      </c>
      <c r="AE225" s="47">
        <f>IF($E225=AE$3,$G225,0)-IF($H225=AE$3,$J225,0)</f>
        <v/>
      </c>
      <c r="AF225" s="47">
        <f>IF($E225=AF$3,$G225,0)-IF($H225=AF$3,$J225,0)</f>
        <v/>
      </c>
      <c r="AG225" s="47">
        <f>IF($E225=AG$3,$G225,0)-IF($H225=AG$3,$J225,0)</f>
        <v/>
      </c>
      <c r="AH225" s="47">
        <f>IF($E225=AH$3,$G225,0)-IF($H225=AH$3,$J225,0)</f>
        <v/>
      </c>
      <c r="AI225" s="47">
        <f>IF($E225=AI$3,$G225,0)-IF($H225=AI$3,$J225,0)</f>
        <v/>
      </c>
      <c r="AJ225" s="47">
        <f>IF($E225=AJ$3,$G225,0)-IF($H225=AJ$3,$J225,0)</f>
        <v/>
      </c>
      <c r="AK225" s="47">
        <f>IF($E225=AK$3,$G225,0)-IF($H225=AK$3,$J225,0)</f>
        <v/>
      </c>
      <c r="AL225" s="48">
        <f>IF($E225=AL$3,$G225,0)-IF($H225=AL$3,$J225,0)</f>
        <v/>
      </c>
      <c r="AM225" s="46">
        <f>-IF($E225=AM$3,$G225,0)+IF($H225=AM$3,$J225,0)</f>
        <v/>
      </c>
      <c r="AN225" s="47">
        <f>-IF($E225=AN$3,$G225,0)+IF($H225=AN$3,$J225,0)</f>
        <v/>
      </c>
      <c r="AO225" s="48">
        <f>-IF($E225=AO$3,$G225,0)+IF($H225=AO$3,$J225,0)</f>
        <v/>
      </c>
      <c r="AP225" s="46">
        <f>IF($E225=AP$3,$G225,0)-IF($H225=AP$3,$J225,0)</f>
        <v/>
      </c>
      <c r="AQ225" s="47">
        <f>IF($E225=AQ$3,$G225,0)-IF($H225=AQ$3,$J225,0)</f>
        <v/>
      </c>
      <c r="AR225" s="47">
        <f>IF($E225=AR$3,$G225,0)-IF($H225=AR$3,$J225,0)</f>
        <v/>
      </c>
      <c r="AS225" s="47">
        <f>IF($E225=AS$3,$G225,0)-IF($H225=AS$3,$J225,0)</f>
        <v/>
      </c>
      <c r="AT225" s="47">
        <f>IF($E225=AT$3,$G225,0)-IF($H225=AT$3,$J225,0)</f>
        <v/>
      </c>
      <c r="AU225" s="47">
        <f>IF($E225=AU$3,$G225,0)-IF($H225=AU$3,$J225,0)</f>
        <v/>
      </c>
      <c r="AV225" s="47">
        <f>IF($E225=AV$3,$G225,0)-IF($H225=AV$3,$J225,0)</f>
        <v/>
      </c>
      <c r="AW225" s="47">
        <f>IF($E225=AW$3,$G225,0)-IF($H225=AW$3,$J225,0)</f>
        <v/>
      </c>
      <c r="AX225" s="47">
        <f>IF($E225=AX$3,$G225,0)-IF($H225=AX$3,$J225,0)</f>
        <v/>
      </c>
      <c r="AY225" s="47">
        <f>IF($E225=AY$3,$G225,0)-IF($H225=AY$3,$J225,0)</f>
        <v/>
      </c>
      <c r="AZ225" s="47">
        <f>IF($E225=AZ$3,$G225,0)-IF($H225=AZ$3,$J225,0)</f>
        <v/>
      </c>
      <c r="BA225" s="47">
        <f>IF($E225=BA$3,$G225,0)-IF($H225=BA$3,$J225,0)</f>
        <v/>
      </c>
      <c r="BB225" s="47">
        <f>IF($E225=BB$3,$G225,0)-IF($H225=BB$3,$J225,0)</f>
        <v/>
      </c>
      <c r="BC225" s="47">
        <f>IF($E225=BC$3,$G225,0)-IF($H225=BC$3,$J225,0)</f>
        <v/>
      </c>
      <c r="BD225" s="47">
        <f>IF($E225=BD$3,$G225,0)-IF($H225=BD$3,$J225,0)</f>
        <v/>
      </c>
      <c r="BE225" s="47">
        <f>IF($E225=BE$3,$G225,0)-IF($H225=BE$3,$J225,0)</f>
        <v/>
      </c>
      <c r="BF225" s="47">
        <f>IF($E225=BF$3,$G225,0)-IF($H225=BF$3,$J225,0)</f>
        <v/>
      </c>
      <c r="BG225" s="47">
        <f>IF($E225=BG$3,$G225,0)-IF($H225=BG$3,$J225,0)</f>
        <v/>
      </c>
      <c r="BH225" s="47">
        <f>IF($E225=BH$3,$G225,0)-IF($H225=BH$3,$J225,0)</f>
        <v/>
      </c>
      <c r="BI225" s="47">
        <f>IF($E225=BI$3,$G225,0)-IF($H225=BI$3,$J225,0)</f>
        <v/>
      </c>
      <c r="BJ225" s="47">
        <f>IF($E225=BJ$3,$G225,0)-IF($H225=BJ$3,$J225,0)</f>
        <v/>
      </c>
      <c r="BK225" s="47">
        <f>IF($E225=BK$3,$G225,0)-IF($H225=BK$3,$J225,0)</f>
        <v/>
      </c>
      <c r="BL225" s="46">
        <f>-IF($E225=BL$3,$G225,0)+IF($H225=BL$3,$J225,0)</f>
        <v/>
      </c>
      <c r="BM225" s="47">
        <f>-IF($E225=BM$3,$G225,0)+IF($H225=BM$3,$J225,0)</f>
        <v/>
      </c>
      <c r="BN225" s="47">
        <f>-IF($E225=BN$3,$G225,0)+IF($H225=BN$3,$J225,0)</f>
        <v/>
      </c>
      <c r="BO225" s="47">
        <f>-IF($E225=BO$3,$G225,0)+IF($H225=BO$3,$J225,0)</f>
        <v/>
      </c>
      <c r="BP225" s="47">
        <f>-IF($E225=BP$3,$G225,0)+IF($H225=BP$3,$J225,0)</f>
        <v/>
      </c>
      <c r="BQ225" s="47">
        <f>-IF($E225=BQ$3,$G225,0)+IF($H225=BQ$3,$J225,0)</f>
        <v/>
      </c>
      <c r="BR225" s="47">
        <f>-IF($E225=BR$3,$G225,0)+IF($H225=BR$3,$J225,0)</f>
        <v/>
      </c>
      <c r="BS225" s="47">
        <f>-IF($E225=BS$3,$G225,0)+IF($H225=BS$3,$J225,0)</f>
        <v/>
      </c>
      <c r="BT225" s="47">
        <f>-IF($E225=BT$3,$G225,0)+IF($H225=BT$3,$J225,0)</f>
        <v/>
      </c>
      <c r="BU225" s="46">
        <f>+G225-J225</f>
        <v/>
      </c>
      <c r="BV225" s="48">
        <f>-IF($E225=BV$3,$G225,0)+IF($H225=BV$3,$J225,0)</f>
        <v/>
      </c>
      <c r="BW225" s="3" t="n"/>
    </row>
    <row r="226" ht="15.75" customHeight="1" s="214">
      <c r="A226" s="7" t="n"/>
      <c r="B226" s="8" t="n"/>
      <c r="C226" s="9" t="n"/>
      <c r="D226" s="10" t="n"/>
      <c r="E226" s="247" t="n"/>
      <c r="F226" s="11">
        <f>IF(E226="","",IF(ISNA(VLOOKUP(E226,科目コード表!$C$4:$D$67,2,FALSE)),"該当科目なし",VLOOKUP(E226,科目コード表!$C$4:$D$67,2,FALSE)))</f>
        <v/>
      </c>
      <c r="G226" s="38" t="n"/>
      <c r="H226" s="248" t="n"/>
      <c r="I226" s="11">
        <f>IF(H226="","",IF(ISNA(VLOOKUP(H226,科目コード表!$C$4:$D$67,2,FALSE)),"該当科目なし",VLOOKUP(H226,科目コード表!$C$4:$D$67,2,FALSE)))</f>
        <v/>
      </c>
      <c r="J226" s="40" t="n"/>
      <c r="L226" s="46">
        <f>IF($E226=L$3,$G226,0)-IF($H226=L$3,$J226,0)</f>
        <v/>
      </c>
      <c r="M226" s="47">
        <f>IF($E226=M$3,$G226,0)-IF($H226=M$3,$J226,0)</f>
        <v/>
      </c>
      <c r="N226" s="47">
        <f>IF($E226=N$3,$G226,0)-IF($H226=N$3,$J226,0)</f>
        <v/>
      </c>
      <c r="O226" s="47">
        <f>IF($E226=O$3,$G226,0)-IF($H226=O$3,$J226,0)</f>
        <v/>
      </c>
      <c r="P226" s="47">
        <f>IF($E226=P$3,$G226,0)-IF($H226=P$3,$J226,0)</f>
        <v/>
      </c>
      <c r="Q226" s="47">
        <f>IF($E226=Q$3,$G226,0)-IF($H226=Q$3,$J226,0)</f>
        <v/>
      </c>
      <c r="R226" s="47">
        <f>IF($E226=R$3,$G226,0)-IF($H226=R$3,$J226,0)</f>
        <v/>
      </c>
      <c r="S226" s="47">
        <f>IF($E226=S$3,$G226,0)-IF($H226=S$3,$J226,0)</f>
        <v/>
      </c>
      <c r="T226" s="47">
        <f>IF($E226=T$3,$G226,0)-IF($H226=T$3,$J226,0)</f>
        <v/>
      </c>
      <c r="U226" s="47">
        <f>IF($E226=U$3,$G226,0)-IF($H226=U$3,$J226,0)</f>
        <v/>
      </c>
      <c r="V226" s="47">
        <f>IF($E226=V$3,$G226,0)-IF($H226=V$3,$J226,0)</f>
        <v/>
      </c>
      <c r="W226" s="47">
        <f>IF($E226=W$3,$G226,0)-IF($H226=W$3,$J226,0)</f>
        <v/>
      </c>
      <c r="X226" s="47">
        <f>IF($E226=X$3,$G226,0)-IF($H226=X$3,$J226,0)</f>
        <v/>
      </c>
      <c r="Y226" s="47">
        <f>IF($E226=Y$3,$G226,0)-IF($H226=Y$3,$J226,0)</f>
        <v/>
      </c>
      <c r="Z226" s="47">
        <f>IF($E226=Z$3,$G226,0)-IF($H226=Z$3,$J226,0)</f>
        <v/>
      </c>
      <c r="AA226" s="47">
        <f>IF($E226=AA$3,$G226,0)-IF($H226=AA$3,$J226,0)</f>
        <v/>
      </c>
      <c r="AB226" s="47">
        <f>IF($E226=AB$3,$G226,0)-IF($H226=AB$3,$J226,0)</f>
        <v/>
      </c>
      <c r="AC226" s="47">
        <f>IF($E226=AC$3,$G226,0)-IF($H226=AC$3,$J226,0)</f>
        <v/>
      </c>
      <c r="AD226" s="47">
        <f>IF($E226=AD$3,$G226,0)-IF($H226=AD$3,$J226,0)</f>
        <v/>
      </c>
      <c r="AE226" s="47">
        <f>IF($E226=AE$3,$G226,0)-IF($H226=AE$3,$J226,0)</f>
        <v/>
      </c>
      <c r="AF226" s="47">
        <f>IF($E226=AF$3,$G226,0)-IF($H226=AF$3,$J226,0)</f>
        <v/>
      </c>
      <c r="AG226" s="47">
        <f>IF($E226=AG$3,$G226,0)-IF($H226=AG$3,$J226,0)</f>
        <v/>
      </c>
      <c r="AH226" s="47">
        <f>IF($E226=AH$3,$G226,0)-IF($H226=AH$3,$J226,0)</f>
        <v/>
      </c>
      <c r="AI226" s="47">
        <f>IF($E226=AI$3,$G226,0)-IF($H226=AI$3,$J226,0)</f>
        <v/>
      </c>
      <c r="AJ226" s="47">
        <f>IF($E226=AJ$3,$G226,0)-IF($H226=AJ$3,$J226,0)</f>
        <v/>
      </c>
      <c r="AK226" s="47">
        <f>IF($E226=AK$3,$G226,0)-IF($H226=AK$3,$J226,0)</f>
        <v/>
      </c>
      <c r="AL226" s="48">
        <f>IF($E226=AL$3,$G226,0)-IF($H226=AL$3,$J226,0)</f>
        <v/>
      </c>
      <c r="AM226" s="46">
        <f>-IF($E226=AM$3,$G226,0)+IF($H226=AM$3,$J226,0)</f>
        <v/>
      </c>
      <c r="AN226" s="47">
        <f>-IF($E226=AN$3,$G226,0)+IF($H226=AN$3,$J226,0)</f>
        <v/>
      </c>
      <c r="AO226" s="48">
        <f>-IF($E226=AO$3,$G226,0)+IF($H226=AO$3,$J226,0)</f>
        <v/>
      </c>
      <c r="AP226" s="46">
        <f>IF($E226=AP$3,$G226,0)-IF($H226=AP$3,$J226,0)</f>
        <v/>
      </c>
      <c r="AQ226" s="47">
        <f>IF($E226=AQ$3,$G226,0)-IF($H226=AQ$3,$J226,0)</f>
        <v/>
      </c>
      <c r="AR226" s="47">
        <f>IF($E226=AR$3,$G226,0)-IF($H226=AR$3,$J226,0)</f>
        <v/>
      </c>
      <c r="AS226" s="47">
        <f>IF($E226=AS$3,$G226,0)-IF($H226=AS$3,$J226,0)</f>
        <v/>
      </c>
      <c r="AT226" s="47">
        <f>IF($E226=AT$3,$G226,0)-IF($H226=AT$3,$J226,0)</f>
        <v/>
      </c>
      <c r="AU226" s="47">
        <f>IF($E226=AU$3,$G226,0)-IF($H226=AU$3,$J226,0)</f>
        <v/>
      </c>
      <c r="AV226" s="47">
        <f>IF($E226=AV$3,$G226,0)-IF($H226=AV$3,$J226,0)</f>
        <v/>
      </c>
      <c r="AW226" s="47">
        <f>IF($E226=AW$3,$G226,0)-IF($H226=AW$3,$J226,0)</f>
        <v/>
      </c>
      <c r="AX226" s="47">
        <f>IF($E226=AX$3,$G226,0)-IF($H226=AX$3,$J226,0)</f>
        <v/>
      </c>
      <c r="AY226" s="47">
        <f>IF($E226=AY$3,$G226,0)-IF($H226=AY$3,$J226,0)</f>
        <v/>
      </c>
      <c r="AZ226" s="47">
        <f>IF($E226=AZ$3,$G226,0)-IF($H226=AZ$3,$J226,0)</f>
        <v/>
      </c>
      <c r="BA226" s="47">
        <f>IF($E226=BA$3,$G226,0)-IF($H226=BA$3,$J226,0)</f>
        <v/>
      </c>
      <c r="BB226" s="47">
        <f>IF($E226=BB$3,$G226,0)-IF($H226=BB$3,$J226,0)</f>
        <v/>
      </c>
      <c r="BC226" s="47">
        <f>IF($E226=BC$3,$G226,0)-IF($H226=BC$3,$J226,0)</f>
        <v/>
      </c>
      <c r="BD226" s="47">
        <f>IF($E226=BD$3,$G226,0)-IF($H226=BD$3,$J226,0)</f>
        <v/>
      </c>
      <c r="BE226" s="47">
        <f>IF($E226=BE$3,$G226,0)-IF($H226=BE$3,$J226,0)</f>
        <v/>
      </c>
      <c r="BF226" s="47">
        <f>IF($E226=BF$3,$G226,0)-IF($H226=BF$3,$J226,0)</f>
        <v/>
      </c>
      <c r="BG226" s="47">
        <f>IF($E226=BG$3,$G226,0)-IF($H226=BG$3,$J226,0)</f>
        <v/>
      </c>
      <c r="BH226" s="47">
        <f>IF($E226=BH$3,$G226,0)-IF($H226=BH$3,$J226,0)</f>
        <v/>
      </c>
      <c r="BI226" s="47">
        <f>IF($E226=BI$3,$G226,0)-IF($H226=BI$3,$J226,0)</f>
        <v/>
      </c>
      <c r="BJ226" s="47">
        <f>IF($E226=BJ$3,$G226,0)-IF($H226=BJ$3,$J226,0)</f>
        <v/>
      </c>
      <c r="BK226" s="47">
        <f>IF($E226=BK$3,$G226,0)-IF($H226=BK$3,$J226,0)</f>
        <v/>
      </c>
      <c r="BL226" s="46">
        <f>-IF($E226=BL$3,$G226,0)+IF($H226=BL$3,$J226,0)</f>
        <v/>
      </c>
      <c r="BM226" s="47">
        <f>-IF($E226=BM$3,$G226,0)+IF($H226=BM$3,$J226,0)</f>
        <v/>
      </c>
      <c r="BN226" s="47">
        <f>-IF($E226=BN$3,$G226,0)+IF($H226=BN$3,$J226,0)</f>
        <v/>
      </c>
      <c r="BO226" s="47">
        <f>-IF($E226=BO$3,$G226,0)+IF($H226=BO$3,$J226,0)</f>
        <v/>
      </c>
      <c r="BP226" s="47">
        <f>-IF($E226=BP$3,$G226,0)+IF($H226=BP$3,$J226,0)</f>
        <v/>
      </c>
      <c r="BQ226" s="47">
        <f>-IF($E226=BQ$3,$G226,0)+IF($H226=BQ$3,$J226,0)</f>
        <v/>
      </c>
      <c r="BR226" s="47">
        <f>-IF($E226=BR$3,$G226,0)+IF($H226=BR$3,$J226,0)</f>
        <v/>
      </c>
      <c r="BS226" s="47">
        <f>-IF($E226=BS$3,$G226,0)+IF($H226=BS$3,$J226,0)</f>
        <v/>
      </c>
      <c r="BT226" s="47">
        <f>-IF($E226=BT$3,$G226,0)+IF($H226=BT$3,$J226,0)</f>
        <v/>
      </c>
      <c r="BU226" s="46">
        <f>+G226-J226</f>
        <v/>
      </c>
      <c r="BV226" s="48">
        <f>-IF($E226=BV$3,$G226,0)+IF($H226=BV$3,$J226,0)</f>
        <v/>
      </c>
      <c r="BW226" s="3" t="n"/>
    </row>
    <row r="227" ht="15.75" customHeight="1" s="214">
      <c r="A227" s="7" t="n"/>
      <c r="B227" s="8" t="n"/>
      <c r="C227" s="9" t="n"/>
      <c r="D227" s="10" t="n"/>
      <c r="E227" s="247" t="n"/>
      <c r="F227" s="11">
        <f>IF(E227="","",IF(ISNA(VLOOKUP(E227,科目コード表!$C$4:$D$67,2,FALSE)),"該当科目なし",VLOOKUP(E227,科目コード表!$C$4:$D$67,2,FALSE)))</f>
        <v/>
      </c>
      <c r="G227" s="38" t="n"/>
      <c r="H227" s="248" t="n"/>
      <c r="I227" s="11">
        <f>IF(H227="","",IF(ISNA(VLOOKUP(H227,科目コード表!$C$4:$D$67,2,FALSE)),"該当科目なし",VLOOKUP(H227,科目コード表!$C$4:$D$67,2,FALSE)))</f>
        <v/>
      </c>
      <c r="J227" s="40" t="n"/>
      <c r="L227" s="46">
        <f>IF($E227=L$3,$G227,0)-IF($H227=L$3,$J227,0)</f>
        <v/>
      </c>
      <c r="M227" s="47">
        <f>IF($E227=M$3,$G227,0)-IF($H227=M$3,$J227,0)</f>
        <v/>
      </c>
      <c r="N227" s="47">
        <f>IF($E227=N$3,$G227,0)-IF($H227=N$3,$J227,0)</f>
        <v/>
      </c>
      <c r="O227" s="47">
        <f>IF($E227=O$3,$G227,0)-IF($H227=O$3,$J227,0)</f>
        <v/>
      </c>
      <c r="P227" s="47">
        <f>IF($E227=P$3,$G227,0)-IF($H227=P$3,$J227,0)</f>
        <v/>
      </c>
      <c r="Q227" s="47">
        <f>IF($E227=Q$3,$G227,0)-IF($H227=Q$3,$J227,0)</f>
        <v/>
      </c>
      <c r="R227" s="47">
        <f>IF($E227=R$3,$G227,0)-IF($H227=R$3,$J227,0)</f>
        <v/>
      </c>
      <c r="S227" s="47">
        <f>IF($E227=S$3,$G227,0)-IF($H227=S$3,$J227,0)</f>
        <v/>
      </c>
      <c r="T227" s="47">
        <f>IF($E227=T$3,$G227,0)-IF($H227=T$3,$J227,0)</f>
        <v/>
      </c>
      <c r="U227" s="47">
        <f>IF($E227=U$3,$G227,0)-IF($H227=U$3,$J227,0)</f>
        <v/>
      </c>
      <c r="V227" s="47">
        <f>IF($E227=V$3,$G227,0)-IF($H227=V$3,$J227,0)</f>
        <v/>
      </c>
      <c r="W227" s="47">
        <f>IF($E227=W$3,$G227,0)-IF($H227=W$3,$J227,0)</f>
        <v/>
      </c>
      <c r="X227" s="47">
        <f>IF($E227=X$3,$G227,0)-IF($H227=X$3,$J227,0)</f>
        <v/>
      </c>
      <c r="Y227" s="47">
        <f>IF($E227=Y$3,$G227,0)-IF($H227=Y$3,$J227,0)</f>
        <v/>
      </c>
      <c r="Z227" s="47">
        <f>IF($E227=Z$3,$G227,0)-IF($H227=Z$3,$J227,0)</f>
        <v/>
      </c>
      <c r="AA227" s="47">
        <f>IF($E227=AA$3,$G227,0)-IF($H227=AA$3,$J227,0)</f>
        <v/>
      </c>
      <c r="AB227" s="47">
        <f>IF($E227=AB$3,$G227,0)-IF($H227=AB$3,$J227,0)</f>
        <v/>
      </c>
      <c r="AC227" s="47">
        <f>IF($E227=AC$3,$G227,0)-IF($H227=AC$3,$J227,0)</f>
        <v/>
      </c>
      <c r="AD227" s="47">
        <f>IF($E227=AD$3,$G227,0)-IF($H227=AD$3,$J227,0)</f>
        <v/>
      </c>
      <c r="AE227" s="47">
        <f>IF($E227=AE$3,$G227,0)-IF($H227=AE$3,$J227,0)</f>
        <v/>
      </c>
      <c r="AF227" s="47">
        <f>IF($E227=AF$3,$G227,0)-IF($H227=AF$3,$J227,0)</f>
        <v/>
      </c>
      <c r="AG227" s="47">
        <f>IF($E227=AG$3,$G227,0)-IF($H227=AG$3,$J227,0)</f>
        <v/>
      </c>
      <c r="AH227" s="47">
        <f>IF($E227=AH$3,$G227,0)-IF($H227=AH$3,$J227,0)</f>
        <v/>
      </c>
      <c r="AI227" s="47">
        <f>IF($E227=AI$3,$G227,0)-IF($H227=AI$3,$J227,0)</f>
        <v/>
      </c>
      <c r="AJ227" s="47">
        <f>IF($E227=AJ$3,$G227,0)-IF($H227=AJ$3,$J227,0)</f>
        <v/>
      </c>
      <c r="AK227" s="47">
        <f>IF($E227=AK$3,$G227,0)-IF($H227=AK$3,$J227,0)</f>
        <v/>
      </c>
      <c r="AL227" s="48">
        <f>IF($E227=AL$3,$G227,0)-IF($H227=AL$3,$J227,0)</f>
        <v/>
      </c>
      <c r="AM227" s="46">
        <f>-IF($E227=AM$3,$G227,0)+IF($H227=AM$3,$J227,0)</f>
        <v/>
      </c>
      <c r="AN227" s="47">
        <f>-IF($E227=AN$3,$G227,0)+IF($H227=AN$3,$J227,0)</f>
        <v/>
      </c>
      <c r="AO227" s="48">
        <f>-IF($E227=AO$3,$G227,0)+IF($H227=AO$3,$J227,0)</f>
        <v/>
      </c>
      <c r="AP227" s="46">
        <f>IF($E227=AP$3,$G227,0)-IF($H227=AP$3,$J227,0)</f>
        <v/>
      </c>
      <c r="AQ227" s="47">
        <f>IF($E227=AQ$3,$G227,0)-IF($H227=AQ$3,$J227,0)</f>
        <v/>
      </c>
      <c r="AR227" s="47">
        <f>IF($E227=AR$3,$G227,0)-IF($H227=AR$3,$J227,0)</f>
        <v/>
      </c>
      <c r="AS227" s="47">
        <f>IF($E227=AS$3,$G227,0)-IF($H227=AS$3,$J227,0)</f>
        <v/>
      </c>
      <c r="AT227" s="47">
        <f>IF($E227=AT$3,$G227,0)-IF($H227=AT$3,$J227,0)</f>
        <v/>
      </c>
      <c r="AU227" s="47">
        <f>IF($E227=AU$3,$G227,0)-IF($H227=AU$3,$J227,0)</f>
        <v/>
      </c>
      <c r="AV227" s="47">
        <f>IF($E227=AV$3,$G227,0)-IF($H227=AV$3,$J227,0)</f>
        <v/>
      </c>
      <c r="AW227" s="47">
        <f>IF($E227=AW$3,$G227,0)-IF($H227=AW$3,$J227,0)</f>
        <v/>
      </c>
      <c r="AX227" s="47">
        <f>IF($E227=AX$3,$G227,0)-IF($H227=AX$3,$J227,0)</f>
        <v/>
      </c>
      <c r="AY227" s="47">
        <f>IF($E227=AY$3,$G227,0)-IF($H227=AY$3,$J227,0)</f>
        <v/>
      </c>
      <c r="AZ227" s="47">
        <f>IF($E227=AZ$3,$G227,0)-IF($H227=AZ$3,$J227,0)</f>
        <v/>
      </c>
      <c r="BA227" s="47">
        <f>IF($E227=BA$3,$G227,0)-IF($H227=BA$3,$J227,0)</f>
        <v/>
      </c>
      <c r="BB227" s="47">
        <f>IF($E227=BB$3,$G227,0)-IF($H227=BB$3,$J227,0)</f>
        <v/>
      </c>
      <c r="BC227" s="47">
        <f>IF($E227=BC$3,$G227,0)-IF($H227=BC$3,$J227,0)</f>
        <v/>
      </c>
      <c r="BD227" s="47">
        <f>IF($E227=BD$3,$G227,0)-IF($H227=BD$3,$J227,0)</f>
        <v/>
      </c>
      <c r="BE227" s="47">
        <f>IF($E227=BE$3,$G227,0)-IF($H227=BE$3,$J227,0)</f>
        <v/>
      </c>
      <c r="BF227" s="47">
        <f>IF($E227=BF$3,$G227,0)-IF($H227=BF$3,$J227,0)</f>
        <v/>
      </c>
      <c r="BG227" s="47">
        <f>IF($E227=BG$3,$G227,0)-IF($H227=BG$3,$J227,0)</f>
        <v/>
      </c>
      <c r="BH227" s="47">
        <f>IF($E227=BH$3,$G227,0)-IF($H227=BH$3,$J227,0)</f>
        <v/>
      </c>
      <c r="BI227" s="47">
        <f>IF($E227=BI$3,$G227,0)-IF($H227=BI$3,$J227,0)</f>
        <v/>
      </c>
      <c r="BJ227" s="47">
        <f>IF($E227=BJ$3,$G227,0)-IF($H227=BJ$3,$J227,0)</f>
        <v/>
      </c>
      <c r="BK227" s="47">
        <f>IF($E227=BK$3,$G227,0)-IF($H227=BK$3,$J227,0)</f>
        <v/>
      </c>
      <c r="BL227" s="46">
        <f>-IF($E227=BL$3,$G227,0)+IF($H227=BL$3,$J227,0)</f>
        <v/>
      </c>
      <c r="BM227" s="47">
        <f>-IF($E227=BM$3,$G227,0)+IF($H227=BM$3,$J227,0)</f>
        <v/>
      </c>
      <c r="BN227" s="47">
        <f>-IF($E227=BN$3,$G227,0)+IF($H227=BN$3,$J227,0)</f>
        <v/>
      </c>
      <c r="BO227" s="47">
        <f>-IF($E227=BO$3,$G227,0)+IF($H227=BO$3,$J227,0)</f>
        <v/>
      </c>
      <c r="BP227" s="47">
        <f>-IF($E227=BP$3,$G227,0)+IF($H227=BP$3,$J227,0)</f>
        <v/>
      </c>
      <c r="BQ227" s="47">
        <f>-IF($E227=BQ$3,$G227,0)+IF($H227=BQ$3,$J227,0)</f>
        <v/>
      </c>
      <c r="BR227" s="47">
        <f>-IF($E227=BR$3,$G227,0)+IF($H227=BR$3,$J227,0)</f>
        <v/>
      </c>
      <c r="BS227" s="47">
        <f>-IF($E227=BS$3,$G227,0)+IF($H227=BS$3,$J227,0)</f>
        <v/>
      </c>
      <c r="BT227" s="47">
        <f>-IF($E227=BT$3,$G227,0)+IF($H227=BT$3,$J227,0)</f>
        <v/>
      </c>
      <c r="BU227" s="46">
        <f>+G227-J227</f>
        <v/>
      </c>
      <c r="BV227" s="48">
        <f>-IF($E227=BV$3,$G227,0)+IF($H227=BV$3,$J227,0)</f>
        <v/>
      </c>
      <c r="BW227" s="3" t="n"/>
    </row>
    <row r="228" ht="15.75" customHeight="1" s="214">
      <c r="A228" s="7" t="n"/>
      <c r="B228" s="8" t="n"/>
      <c r="C228" s="9" t="n"/>
      <c r="D228" s="10" t="n"/>
      <c r="E228" s="247" t="n"/>
      <c r="F228" s="11">
        <f>IF(E228="","",IF(ISNA(VLOOKUP(E228,科目コード表!$C$4:$D$67,2,FALSE)),"該当科目なし",VLOOKUP(E228,科目コード表!$C$4:$D$67,2,FALSE)))</f>
        <v/>
      </c>
      <c r="G228" s="38" t="n"/>
      <c r="H228" s="248" t="n"/>
      <c r="I228" s="11">
        <f>IF(H228="","",IF(ISNA(VLOOKUP(H228,科目コード表!$C$4:$D$67,2,FALSE)),"該当科目なし",VLOOKUP(H228,科目コード表!$C$4:$D$67,2,FALSE)))</f>
        <v/>
      </c>
      <c r="J228" s="40" t="n"/>
      <c r="L228" s="46">
        <f>IF($E228=L$3,$G228,0)-IF($H228=L$3,$J228,0)</f>
        <v/>
      </c>
      <c r="M228" s="47">
        <f>IF($E228=M$3,$G228,0)-IF($H228=M$3,$J228,0)</f>
        <v/>
      </c>
      <c r="N228" s="47">
        <f>IF($E228=N$3,$G228,0)-IF($H228=N$3,$J228,0)</f>
        <v/>
      </c>
      <c r="O228" s="47">
        <f>IF($E228=O$3,$G228,0)-IF($H228=O$3,$J228,0)</f>
        <v/>
      </c>
      <c r="P228" s="47">
        <f>IF($E228=P$3,$G228,0)-IF($H228=P$3,$J228,0)</f>
        <v/>
      </c>
      <c r="Q228" s="47">
        <f>IF($E228=Q$3,$G228,0)-IF($H228=Q$3,$J228,0)</f>
        <v/>
      </c>
      <c r="R228" s="47">
        <f>IF($E228=R$3,$G228,0)-IF($H228=R$3,$J228,0)</f>
        <v/>
      </c>
      <c r="S228" s="47">
        <f>IF($E228=S$3,$G228,0)-IF($H228=S$3,$J228,0)</f>
        <v/>
      </c>
      <c r="T228" s="47">
        <f>IF($E228=T$3,$G228,0)-IF($H228=T$3,$J228,0)</f>
        <v/>
      </c>
      <c r="U228" s="47">
        <f>IF($E228=U$3,$G228,0)-IF($H228=U$3,$J228,0)</f>
        <v/>
      </c>
      <c r="V228" s="47">
        <f>IF($E228=V$3,$G228,0)-IF($H228=V$3,$J228,0)</f>
        <v/>
      </c>
      <c r="W228" s="47">
        <f>IF($E228=W$3,$G228,0)-IF($H228=W$3,$J228,0)</f>
        <v/>
      </c>
      <c r="X228" s="47">
        <f>IF($E228=X$3,$G228,0)-IF($H228=X$3,$J228,0)</f>
        <v/>
      </c>
      <c r="Y228" s="47">
        <f>IF($E228=Y$3,$G228,0)-IF($H228=Y$3,$J228,0)</f>
        <v/>
      </c>
      <c r="Z228" s="47">
        <f>IF($E228=Z$3,$G228,0)-IF($H228=Z$3,$J228,0)</f>
        <v/>
      </c>
      <c r="AA228" s="47">
        <f>IF($E228=AA$3,$G228,0)-IF($H228=AA$3,$J228,0)</f>
        <v/>
      </c>
      <c r="AB228" s="47">
        <f>IF($E228=AB$3,$G228,0)-IF($H228=AB$3,$J228,0)</f>
        <v/>
      </c>
      <c r="AC228" s="47">
        <f>IF($E228=AC$3,$G228,0)-IF($H228=AC$3,$J228,0)</f>
        <v/>
      </c>
      <c r="AD228" s="47">
        <f>IF($E228=AD$3,$G228,0)-IF($H228=AD$3,$J228,0)</f>
        <v/>
      </c>
      <c r="AE228" s="47">
        <f>IF($E228=AE$3,$G228,0)-IF($H228=AE$3,$J228,0)</f>
        <v/>
      </c>
      <c r="AF228" s="47">
        <f>IF($E228=AF$3,$G228,0)-IF($H228=AF$3,$J228,0)</f>
        <v/>
      </c>
      <c r="AG228" s="47">
        <f>IF($E228=AG$3,$G228,0)-IF($H228=AG$3,$J228,0)</f>
        <v/>
      </c>
      <c r="AH228" s="47">
        <f>IF($E228=AH$3,$G228,0)-IF($H228=AH$3,$J228,0)</f>
        <v/>
      </c>
      <c r="AI228" s="47">
        <f>IF($E228=AI$3,$G228,0)-IF($H228=AI$3,$J228,0)</f>
        <v/>
      </c>
      <c r="AJ228" s="47">
        <f>IF($E228=AJ$3,$G228,0)-IF($H228=AJ$3,$J228,0)</f>
        <v/>
      </c>
      <c r="AK228" s="47">
        <f>IF($E228=AK$3,$G228,0)-IF($H228=AK$3,$J228,0)</f>
        <v/>
      </c>
      <c r="AL228" s="48">
        <f>IF($E228=AL$3,$G228,0)-IF($H228=AL$3,$J228,0)</f>
        <v/>
      </c>
      <c r="AM228" s="46">
        <f>-IF($E228=AM$3,$G228,0)+IF($H228=AM$3,$J228,0)</f>
        <v/>
      </c>
      <c r="AN228" s="47">
        <f>-IF($E228=AN$3,$G228,0)+IF($H228=AN$3,$J228,0)</f>
        <v/>
      </c>
      <c r="AO228" s="48">
        <f>-IF($E228=AO$3,$G228,0)+IF($H228=AO$3,$J228,0)</f>
        <v/>
      </c>
      <c r="AP228" s="46">
        <f>IF($E228=AP$3,$G228,0)-IF($H228=AP$3,$J228,0)</f>
        <v/>
      </c>
      <c r="AQ228" s="47">
        <f>IF($E228=AQ$3,$G228,0)-IF($H228=AQ$3,$J228,0)</f>
        <v/>
      </c>
      <c r="AR228" s="47">
        <f>IF($E228=AR$3,$G228,0)-IF($H228=AR$3,$J228,0)</f>
        <v/>
      </c>
      <c r="AS228" s="47">
        <f>IF($E228=AS$3,$G228,0)-IF($H228=AS$3,$J228,0)</f>
        <v/>
      </c>
      <c r="AT228" s="47">
        <f>IF($E228=AT$3,$G228,0)-IF($H228=AT$3,$J228,0)</f>
        <v/>
      </c>
      <c r="AU228" s="47">
        <f>IF($E228=AU$3,$G228,0)-IF($H228=AU$3,$J228,0)</f>
        <v/>
      </c>
      <c r="AV228" s="47">
        <f>IF($E228=AV$3,$G228,0)-IF($H228=AV$3,$J228,0)</f>
        <v/>
      </c>
      <c r="AW228" s="47">
        <f>IF($E228=AW$3,$G228,0)-IF($H228=AW$3,$J228,0)</f>
        <v/>
      </c>
      <c r="AX228" s="47">
        <f>IF($E228=AX$3,$G228,0)-IF($H228=AX$3,$J228,0)</f>
        <v/>
      </c>
      <c r="AY228" s="47">
        <f>IF($E228=AY$3,$G228,0)-IF($H228=AY$3,$J228,0)</f>
        <v/>
      </c>
      <c r="AZ228" s="47">
        <f>IF($E228=AZ$3,$G228,0)-IF($H228=AZ$3,$J228,0)</f>
        <v/>
      </c>
      <c r="BA228" s="47">
        <f>IF($E228=BA$3,$G228,0)-IF($H228=BA$3,$J228,0)</f>
        <v/>
      </c>
      <c r="BB228" s="47">
        <f>IF($E228=BB$3,$G228,0)-IF($H228=BB$3,$J228,0)</f>
        <v/>
      </c>
      <c r="BC228" s="47">
        <f>IF($E228=BC$3,$G228,0)-IF($H228=BC$3,$J228,0)</f>
        <v/>
      </c>
      <c r="BD228" s="47">
        <f>IF($E228=BD$3,$G228,0)-IF($H228=BD$3,$J228,0)</f>
        <v/>
      </c>
      <c r="BE228" s="47">
        <f>IF($E228=BE$3,$G228,0)-IF($H228=BE$3,$J228,0)</f>
        <v/>
      </c>
      <c r="BF228" s="47">
        <f>IF($E228=BF$3,$G228,0)-IF($H228=BF$3,$J228,0)</f>
        <v/>
      </c>
      <c r="BG228" s="47">
        <f>IF($E228=BG$3,$G228,0)-IF($H228=BG$3,$J228,0)</f>
        <v/>
      </c>
      <c r="BH228" s="47">
        <f>IF($E228=BH$3,$G228,0)-IF($H228=BH$3,$J228,0)</f>
        <v/>
      </c>
      <c r="BI228" s="47">
        <f>IF($E228=BI$3,$G228,0)-IF($H228=BI$3,$J228,0)</f>
        <v/>
      </c>
      <c r="BJ228" s="47">
        <f>IF($E228=BJ$3,$G228,0)-IF($H228=BJ$3,$J228,0)</f>
        <v/>
      </c>
      <c r="BK228" s="47">
        <f>IF($E228=BK$3,$G228,0)-IF($H228=BK$3,$J228,0)</f>
        <v/>
      </c>
      <c r="BL228" s="46">
        <f>-IF($E228=BL$3,$G228,0)+IF($H228=BL$3,$J228,0)</f>
        <v/>
      </c>
      <c r="BM228" s="47">
        <f>-IF($E228=BM$3,$G228,0)+IF($H228=BM$3,$J228,0)</f>
        <v/>
      </c>
      <c r="BN228" s="47">
        <f>-IF($E228=BN$3,$G228,0)+IF($H228=BN$3,$J228,0)</f>
        <v/>
      </c>
      <c r="BO228" s="47">
        <f>-IF($E228=BO$3,$G228,0)+IF($H228=BO$3,$J228,0)</f>
        <v/>
      </c>
      <c r="BP228" s="47">
        <f>-IF($E228=BP$3,$G228,0)+IF($H228=BP$3,$J228,0)</f>
        <v/>
      </c>
      <c r="BQ228" s="47">
        <f>-IF($E228=BQ$3,$G228,0)+IF($H228=BQ$3,$J228,0)</f>
        <v/>
      </c>
      <c r="BR228" s="47">
        <f>-IF($E228=BR$3,$G228,0)+IF($H228=BR$3,$J228,0)</f>
        <v/>
      </c>
      <c r="BS228" s="47">
        <f>-IF($E228=BS$3,$G228,0)+IF($H228=BS$3,$J228,0)</f>
        <v/>
      </c>
      <c r="BT228" s="47">
        <f>-IF($E228=BT$3,$G228,0)+IF($H228=BT$3,$J228,0)</f>
        <v/>
      </c>
      <c r="BU228" s="46">
        <f>+G228-J228</f>
        <v/>
      </c>
      <c r="BV228" s="48">
        <f>-IF($E228=BV$3,$G228,0)+IF($H228=BV$3,$J228,0)</f>
        <v/>
      </c>
      <c r="BW228" s="3" t="n"/>
    </row>
    <row r="229" ht="15.75" customHeight="1" s="214">
      <c r="A229" s="7" t="n"/>
      <c r="B229" s="8" t="n"/>
      <c r="C229" s="9" t="n"/>
      <c r="D229" s="10" t="n"/>
      <c r="E229" s="247" t="n"/>
      <c r="F229" s="11">
        <f>IF(E229="","",IF(ISNA(VLOOKUP(E229,科目コード表!$C$4:$D$67,2,FALSE)),"該当科目なし",VLOOKUP(E229,科目コード表!$C$4:$D$67,2,FALSE)))</f>
        <v/>
      </c>
      <c r="G229" s="38" t="n"/>
      <c r="H229" s="248" t="n"/>
      <c r="I229" s="11">
        <f>IF(H229="","",IF(ISNA(VLOOKUP(H229,科目コード表!$C$4:$D$67,2,FALSE)),"該当科目なし",VLOOKUP(H229,科目コード表!$C$4:$D$67,2,FALSE)))</f>
        <v/>
      </c>
      <c r="J229" s="40" t="n"/>
      <c r="L229" s="46">
        <f>IF($E229=L$3,$G229,0)-IF($H229=L$3,$J229,0)</f>
        <v/>
      </c>
      <c r="M229" s="47">
        <f>IF($E229=M$3,$G229,0)-IF($H229=M$3,$J229,0)</f>
        <v/>
      </c>
      <c r="N229" s="47">
        <f>IF($E229=N$3,$G229,0)-IF($H229=N$3,$J229,0)</f>
        <v/>
      </c>
      <c r="O229" s="47">
        <f>IF($E229=O$3,$G229,0)-IF($H229=O$3,$J229,0)</f>
        <v/>
      </c>
      <c r="P229" s="47">
        <f>IF($E229=P$3,$G229,0)-IF($H229=P$3,$J229,0)</f>
        <v/>
      </c>
      <c r="Q229" s="47">
        <f>IF($E229=Q$3,$G229,0)-IF($H229=Q$3,$J229,0)</f>
        <v/>
      </c>
      <c r="R229" s="47">
        <f>IF($E229=R$3,$G229,0)-IF($H229=R$3,$J229,0)</f>
        <v/>
      </c>
      <c r="S229" s="47">
        <f>IF($E229=S$3,$G229,0)-IF($H229=S$3,$J229,0)</f>
        <v/>
      </c>
      <c r="T229" s="47">
        <f>IF($E229=T$3,$G229,0)-IF($H229=T$3,$J229,0)</f>
        <v/>
      </c>
      <c r="U229" s="47">
        <f>IF($E229=U$3,$G229,0)-IF($H229=U$3,$J229,0)</f>
        <v/>
      </c>
      <c r="V229" s="47">
        <f>IF($E229=V$3,$G229,0)-IF($H229=V$3,$J229,0)</f>
        <v/>
      </c>
      <c r="W229" s="47">
        <f>IF($E229=W$3,$G229,0)-IF($H229=W$3,$J229,0)</f>
        <v/>
      </c>
      <c r="X229" s="47">
        <f>IF($E229=X$3,$G229,0)-IF($H229=X$3,$J229,0)</f>
        <v/>
      </c>
      <c r="Y229" s="47">
        <f>IF($E229=Y$3,$G229,0)-IF($H229=Y$3,$J229,0)</f>
        <v/>
      </c>
      <c r="Z229" s="47">
        <f>IF($E229=Z$3,$G229,0)-IF($H229=Z$3,$J229,0)</f>
        <v/>
      </c>
      <c r="AA229" s="47">
        <f>IF($E229=AA$3,$G229,0)-IF($H229=AA$3,$J229,0)</f>
        <v/>
      </c>
      <c r="AB229" s="47">
        <f>IF($E229=AB$3,$G229,0)-IF($H229=AB$3,$J229,0)</f>
        <v/>
      </c>
      <c r="AC229" s="47">
        <f>IF($E229=AC$3,$G229,0)-IF($H229=AC$3,$J229,0)</f>
        <v/>
      </c>
      <c r="AD229" s="47">
        <f>IF($E229=AD$3,$G229,0)-IF($H229=AD$3,$J229,0)</f>
        <v/>
      </c>
      <c r="AE229" s="47">
        <f>IF($E229=AE$3,$G229,0)-IF($H229=AE$3,$J229,0)</f>
        <v/>
      </c>
      <c r="AF229" s="47">
        <f>IF($E229=AF$3,$G229,0)-IF($H229=AF$3,$J229,0)</f>
        <v/>
      </c>
      <c r="AG229" s="47">
        <f>IF($E229=AG$3,$G229,0)-IF($H229=AG$3,$J229,0)</f>
        <v/>
      </c>
      <c r="AH229" s="47">
        <f>IF($E229=AH$3,$G229,0)-IF($H229=AH$3,$J229,0)</f>
        <v/>
      </c>
      <c r="AI229" s="47">
        <f>IF($E229=AI$3,$G229,0)-IF($H229=AI$3,$J229,0)</f>
        <v/>
      </c>
      <c r="AJ229" s="47">
        <f>IF($E229=AJ$3,$G229,0)-IF($H229=AJ$3,$J229,0)</f>
        <v/>
      </c>
      <c r="AK229" s="47">
        <f>IF($E229=AK$3,$G229,0)-IF($H229=AK$3,$J229,0)</f>
        <v/>
      </c>
      <c r="AL229" s="48">
        <f>IF($E229=AL$3,$G229,0)-IF($H229=AL$3,$J229,0)</f>
        <v/>
      </c>
      <c r="AM229" s="46">
        <f>-IF($E229=AM$3,$G229,0)+IF($H229=AM$3,$J229,0)</f>
        <v/>
      </c>
      <c r="AN229" s="47">
        <f>-IF($E229=AN$3,$G229,0)+IF($H229=AN$3,$J229,0)</f>
        <v/>
      </c>
      <c r="AO229" s="48">
        <f>-IF($E229=AO$3,$G229,0)+IF($H229=AO$3,$J229,0)</f>
        <v/>
      </c>
      <c r="AP229" s="46">
        <f>IF($E229=AP$3,$G229,0)-IF($H229=AP$3,$J229,0)</f>
        <v/>
      </c>
      <c r="AQ229" s="47">
        <f>IF($E229=AQ$3,$G229,0)-IF($H229=AQ$3,$J229,0)</f>
        <v/>
      </c>
      <c r="AR229" s="47">
        <f>IF($E229=AR$3,$G229,0)-IF($H229=AR$3,$J229,0)</f>
        <v/>
      </c>
      <c r="AS229" s="47">
        <f>IF($E229=AS$3,$G229,0)-IF($H229=AS$3,$J229,0)</f>
        <v/>
      </c>
      <c r="AT229" s="47">
        <f>IF($E229=AT$3,$G229,0)-IF($H229=AT$3,$J229,0)</f>
        <v/>
      </c>
      <c r="AU229" s="47">
        <f>IF($E229=AU$3,$G229,0)-IF($H229=AU$3,$J229,0)</f>
        <v/>
      </c>
      <c r="AV229" s="47">
        <f>IF($E229=AV$3,$G229,0)-IF($H229=AV$3,$J229,0)</f>
        <v/>
      </c>
      <c r="AW229" s="47">
        <f>IF($E229=AW$3,$G229,0)-IF($H229=AW$3,$J229,0)</f>
        <v/>
      </c>
      <c r="AX229" s="47">
        <f>IF($E229=AX$3,$G229,0)-IF($H229=AX$3,$J229,0)</f>
        <v/>
      </c>
      <c r="AY229" s="47">
        <f>IF($E229=AY$3,$G229,0)-IF($H229=AY$3,$J229,0)</f>
        <v/>
      </c>
      <c r="AZ229" s="47">
        <f>IF($E229=AZ$3,$G229,0)-IF($H229=AZ$3,$J229,0)</f>
        <v/>
      </c>
      <c r="BA229" s="47">
        <f>IF($E229=BA$3,$G229,0)-IF($H229=BA$3,$J229,0)</f>
        <v/>
      </c>
      <c r="BB229" s="47">
        <f>IF($E229=BB$3,$G229,0)-IF($H229=BB$3,$J229,0)</f>
        <v/>
      </c>
      <c r="BC229" s="47">
        <f>IF($E229=BC$3,$G229,0)-IF($H229=BC$3,$J229,0)</f>
        <v/>
      </c>
      <c r="BD229" s="47">
        <f>IF($E229=BD$3,$G229,0)-IF($H229=BD$3,$J229,0)</f>
        <v/>
      </c>
      <c r="BE229" s="47">
        <f>IF($E229=BE$3,$G229,0)-IF($H229=BE$3,$J229,0)</f>
        <v/>
      </c>
      <c r="BF229" s="47">
        <f>IF($E229=BF$3,$G229,0)-IF($H229=BF$3,$J229,0)</f>
        <v/>
      </c>
      <c r="BG229" s="47">
        <f>IF($E229=BG$3,$G229,0)-IF($H229=BG$3,$J229,0)</f>
        <v/>
      </c>
      <c r="BH229" s="47">
        <f>IF($E229=BH$3,$G229,0)-IF($H229=BH$3,$J229,0)</f>
        <v/>
      </c>
      <c r="BI229" s="47">
        <f>IF($E229=BI$3,$G229,0)-IF($H229=BI$3,$J229,0)</f>
        <v/>
      </c>
      <c r="BJ229" s="47">
        <f>IF($E229=BJ$3,$G229,0)-IF($H229=BJ$3,$J229,0)</f>
        <v/>
      </c>
      <c r="BK229" s="47">
        <f>IF($E229=BK$3,$G229,0)-IF($H229=BK$3,$J229,0)</f>
        <v/>
      </c>
      <c r="BL229" s="46">
        <f>-IF($E229=BL$3,$G229,0)+IF($H229=BL$3,$J229,0)</f>
        <v/>
      </c>
      <c r="BM229" s="47">
        <f>-IF($E229=BM$3,$G229,0)+IF($H229=BM$3,$J229,0)</f>
        <v/>
      </c>
      <c r="BN229" s="47">
        <f>-IF($E229=BN$3,$G229,0)+IF($H229=BN$3,$J229,0)</f>
        <v/>
      </c>
      <c r="BO229" s="47">
        <f>-IF($E229=BO$3,$G229,0)+IF($H229=BO$3,$J229,0)</f>
        <v/>
      </c>
      <c r="BP229" s="47">
        <f>-IF($E229=BP$3,$G229,0)+IF($H229=BP$3,$J229,0)</f>
        <v/>
      </c>
      <c r="BQ229" s="47">
        <f>-IF($E229=BQ$3,$G229,0)+IF($H229=BQ$3,$J229,0)</f>
        <v/>
      </c>
      <c r="BR229" s="47">
        <f>-IF($E229=BR$3,$G229,0)+IF($H229=BR$3,$J229,0)</f>
        <v/>
      </c>
      <c r="BS229" s="47">
        <f>-IF($E229=BS$3,$G229,0)+IF($H229=BS$3,$J229,0)</f>
        <v/>
      </c>
      <c r="BT229" s="47">
        <f>-IF($E229=BT$3,$G229,0)+IF($H229=BT$3,$J229,0)</f>
        <v/>
      </c>
      <c r="BU229" s="46">
        <f>+G229-J229</f>
        <v/>
      </c>
      <c r="BV229" s="48">
        <f>-IF($E229=BV$3,$G229,0)+IF($H229=BV$3,$J229,0)</f>
        <v/>
      </c>
      <c r="BW229" s="3" t="n"/>
    </row>
    <row r="230" ht="15.75" customHeight="1" s="214">
      <c r="A230" s="7" t="n"/>
      <c r="B230" s="8" t="n"/>
      <c r="C230" s="9" t="n"/>
      <c r="D230" s="10" t="n"/>
      <c r="E230" s="247" t="n"/>
      <c r="F230" s="11">
        <f>IF(E230="","",IF(ISNA(VLOOKUP(E230,科目コード表!$C$4:$D$67,2,FALSE)),"該当科目なし",VLOOKUP(E230,科目コード表!$C$4:$D$67,2,FALSE)))</f>
        <v/>
      </c>
      <c r="G230" s="38" t="n"/>
      <c r="H230" s="248" t="n"/>
      <c r="I230" s="11">
        <f>IF(H230="","",IF(ISNA(VLOOKUP(H230,科目コード表!$C$4:$D$67,2,FALSE)),"該当科目なし",VLOOKUP(H230,科目コード表!$C$4:$D$67,2,FALSE)))</f>
        <v/>
      </c>
      <c r="J230" s="40" t="n"/>
      <c r="L230" s="46">
        <f>IF($E230=L$3,$G230,0)-IF($H230=L$3,$J230,0)</f>
        <v/>
      </c>
      <c r="M230" s="47">
        <f>IF($E230=M$3,$G230,0)-IF($H230=M$3,$J230,0)</f>
        <v/>
      </c>
      <c r="N230" s="47">
        <f>IF($E230=N$3,$G230,0)-IF($H230=N$3,$J230,0)</f>
        <v/>
      </c>
      <c r="O230" s="47">
        <f>IF($E230=O$3,$G230,0)-IF($H230=O$3,$J230,0)</f>
        <v/>
      </c>
      <c r="P230" s="47">
        <f>IF($E230=P$3,$G230,0)-IF($H230=P$3,$J230,0)</f>
        <v/>
      </c>
      <c r="Q230" s="47">
        <f>IF($E230=Q$3,$G230,0)-IF($H230=Q$3,$J230,0)</f>
        <v/>
      </c>
      <c r="R230" s="47">
        <f>IF($E230=R$3,$G230,0)-IF($H230=R$3,$J230,0)</f>
        <v/>
      </c>
      <c r="S230" s="47">
        <f>IF($E230=S$3,$G230,0)-IF($H230=S$3,$J230,0)</f>
        <v/>
      </c>
      <c r="T230" s="47">
        <f>IF($E230=T$3,$G230,0)-IF($H230=T$3,$J230,0)</f>
        <v/>
      </c>
      <c r="U230" s="47">
        <f>IF($E230=U$3,$G230,0)-IF($H230=U$3,$J230,0)</f>
        <v/>
      </c>
      <c r="V230" s="47">
        <f>IF($E230=V$3,$G230,0)-IF($H230=V$3,$J230,0)</f>
        <v/>
      </c>
      <c r="W230" s="47">
        <f>IF($E230=W$3,$G230,0)-IF($H230=W$3,$J230,0)</f>
        <v/>
      </c>
      <c r="X230" s="47">
        <f>IF($E230=X$3,$G230,0)-IF($H230=X$3,$J230,0)</f>
        <v/>
      </c>
      <c r="Y230" s="47">
        <f>IF($E230=Y$3,$G230,0)-IF($H230=Y$3,$J230,0)</f>
        <v/>
      </c>
      <c r="Z230" s="47">
        <f>IF($E230=Z$3,$G230,0)-IF($H230=Z$3,$J230,0)</f>
        <v/>
      </c>
      <c r="AA230" s="47">
        <f>IF($E230=AA$3,$G230,0)-IF($H230=AA$3,$J230,0)</f>
        <v/>
      </c>
      <c r="AB230" s="47">
        <f>IF($E230=AB$3,$G230,0)-IF($H230=AB$3,$J230,0)</f>
        <v/>
      </c>
      <c r="AC230" s="47">
        <f>IF($E230=AC$3,$G230,0)-IF($H230=AC$3,$J230,0)</f>
        <v/>
      </c>
      <c r="AD230" s="47">
        <f>IF($E230=AD$3,$G230,0)-IF($H230=AD$3,$J230,0)</f>
        <v/>
      </c>
      <c r="AE230" s="47">
        <f>IF($E230=AE$3,$G230,0)-IF($H230=AE$3,$J230,0)</f>
        <v/>
      </c>
      <c r="AF230" s="47">
        <f>IF($E230=AF$3,$G230,0)-IF($H230=AF$3,$J230,0)</f>
        <v/>
      </c>
      <c r="AG230" s="47">
        <f>IF($E230=AG$3,$G230,0)-IF($H230=AG$3,$J230,0)</f>
        <v/>
      </c>
      <c r="AH230" s="47">
        <f>IF($E230=AH$3,$G230,0)-IF($H230=AH$3,$J230,0)</f>
        <v/>
      </c>
      <c r="AI230" s="47">
        <f>IF($E230=AI$3,$G230,0)-IF($H230=AI$3,$J230,0)</f>
        <v/>
      </c>
      <c r="AJ230" s="47">
        <f>IF($E230=AJ$3,$G230,0)-IF($H230=AJ$3,$J230,0)</f>
        <v/>
      </c>
      <c r="AK230" s="47">
        <f>IF($E230=AK$3,$G230,0)-IF($H230=AK$3,$J230,0)</f>
        <v/>
      </c>
      <c r="AL230" s="48">
        <f>IF($E230=AL$3,$G230,0)-IF($H230=AL$3,$J230,0)</f>
        <v/>
      </c>
      <c r="AM230" s="46">
        <f>-IF($E230=AM$3,$G230,0)+IF($H230=AM$3,$J230,0)</f>
        <v/>
      </c>
      <c r="AN230" s="47">
        <f>-IF($E230=AN$3,$G230,0)+IF($H230=AN$3,$J230,0)</f>
        <v/>
      </c>
      <c r="AO230" s="48">
        <f>-IF($E230=AO$3,$G230,0)+IF($H230=AO$3,$J230,0)</f>
        <v/>
      </c>
      <c r="AP230" s="46">
        <f>IF($E230=AP$3,$G230,0)-IF($H230=AP$3,$J230,0)</f>
        <v/>
      </c>
      <c r="AQ230" s="47">
        <f>IF($E230=AQ$3,$G230,0)-IF($H230=AQ$3,$J230,0)</f>
        <v/>
      </c>
      <c r="AR230" s="47">
        <f>IF($E230=AR$3,$G230,0)-IF($H230=AR$3,$J230,0)</f>
        <v/>
      </c>
      <c r="AS230" s="47">
        <f>IF($E230=AS$3,$G230,0)-IF($H230=AS$3,$J230,0)</f>
        <v/>
      </c>
      <c r="AT230" s="47">
        <f>IF($E230=AT$3,$G230,0)-IF($H230=AT$3,$J230,0)</f>
        <v/>
      </c>
      <c r="AU230" s="47">
        <f>IF($E230=AU$3,$G230,0)-IF($H230=AU$3,$J230,0)</f>
        <v/>
      </c>
      <c r="AV230" s="47">
        <f>IF($E230=AV$3,$G230,0)-IF($H230=AV$3,$J230,0)</f>
        <v/>
      </c>
      <c r="AW230" s="47">
        <f>IF($E230=AW$3,$G230,0)-IF($H230=AW$3,$J230,0)</f>
        <v/>
      </c>
      <c r="AX230" s="47">
        <f>IF($E230=AX$3,$G230,0)-IF($H230=AX$3,$J230,0)</f>
        <v/>
      </c>
      <c r="AY230" s="47">
        <f>IF($E230=AY$3,$G230,0)-IF($H230=AY$3,$J230,0)</f>
        <v/>
      </c>
      <c r="AZ230" s="47">
        <f>IF($E230=AZ$3,$G230,0)-IF($H230=AZ$3,$J230,0)</f>
        <v/>
      </c>
      <c r="BA230" s="47">
        <f>IF($E230=BA$3,$G230,0)-IF($H230=BA$3,$J230,0)</f>
        <v/>
      </c>
      <c r="BB230" s="47">
        <f>IF($E230=BB$3,$G230,0)-IF($H230=BB$3,$J230,0)</f>
        <v/>
      </c>
      <c r="BC230" s="47">
        <f>IF($E230=BC$3,$G230,0)-IF($H230=BC$3,$J230,0)</f>
        <v/>
      </c>
      <c r="BD230" s="47">
        <f>IF($E230=BD$3,$G230,0)-IF($H230=BD$3,$J230,0)</f>
        <v/>
      </c>
      <c r="BE230" s="47">
        <f>IF($E230=BE$3,$G230,0)-IF($H230=BE$3,$J230,0)</f>
        <v/>
      </c>
      <c r="BF230" s="47">
        <f>IF($E230=BF$3,$G230,0)-IF($H230=BF$3,$J230,0)</f>
        <v/>
      </c>
      <c r="BG230" s="47">
        <f>IF($E230=BG$3,$G230,0)-IF($H230=BG$3,$J230,0)</f>
        <v/>
      </c>
      <c r="BH230" s="47">
        <f>IF($E230=BH$3,$G230,0)-IF($H230=BH$3,$J230,0)</f>
        <v/>
      </c>
      <c r="BI230" s="47">
        <f>IF($E230=BI$3,$G230,0)-IF($H230=BI$3,$J230,0)</f>
        <v/>
      </c>
      <c r="BJ230" s="47">
        <f>IF($E230=BJ$3,$G230,0)-IF($H230=BJ$3,$J230,0)</f>
        <v/>
      </c>
      <c r="BK230" s="47">
        <f>IF($E230=BK$3,$G230,0)-IF($H230=BK$3,$J230,0)</f>
        <v/>
      </c>
      <c r="BL230" s="46">
        <f>-IF($E230=BL$3,$G230,0)+IF($H230=BL$3,$J230,0)</f>
        <v/>
      </c>
      <c r="BM230" s="47">
        <f>-IF($E230=BM$3,$G230,0)+IF($H230=BM$3,$J230,0)</f>
        <v/>
      </c>
      <c r="BN230" s="47">
        <f>-IF($E230=BN$3,$G230,0)+IF($H230=BN$3,$J230,0)</f>
        <v/>
      </c>
      <c r="BO230" s="47">
        <f>-IF($E230=BO$3,$G230,0)+IF($H230=BO$3,$J230,0)</f>
        <v/>
      </c>
      <c r="BP230" s="47">
        <f>-IF($E230=BP$3,$G230,0)+IF($H230=BP$3,$J230,0)</f>
        <v/>
      </c>
      <c r="BQ230" s="47">
        <f>-IF($E230=BQ$3,$G230,0)+IF($H230=BQ$3,$J230,0)</f>
        <v/>
      </c>
      <c r="BR230" s="47">
        <f>-IF($E230=BR$3,$G230,0)+IF($H230=BR$3,$J230,0)</f>
        <v/>
      </c>
      <c r="BS230" s="47">
        <f>-IF($E230=BS$3,$G230,0)+IF($H230=BS$3,$J230,0)</f>
        <v/>
      </c>
      <c r="BT230" s="47">
        <f>-IF($E230=BT$3,$G230,0)+IF($H230=BT$3,$J230,0)</f>
        <v/>
      </c>
      <c r="BU230" s="46">
        <f>+G230-J230</f>
        <v/>
      </c>
      <c r="BV230" s="48">
        <f>-IF($E230=BV$3,$G230,0)+IF($H230=BV$3,$J230,0)</f>
        <v/>
      </c>
      <c r="BW230" s="3" t="n"/>
    </row>
    <row r="231" ht="15.75" customHeight="1" s="214">
      <c r="A231" s="7" t="n"/>
      <c r="B231" s="8" t="n"/>
      <c r="C231" s="9" t="n"/>
      <c r="D231" s="10" t="n"/>
      <c r="E231" s="247" t="n"/>
      <c r="F231" s="11">
        <f>IF(E231="","",IF(ISNA(VLOOKUP(E231,科目コード表!$C$4:$D$67,2,FALSE)),"該当科目なし",VLOOKUP(E231,科目コード表!$C$4:$D$67,2,FALSE)))</f>
        <v/>
      </c>
      <c r="G231" s="38" t="n"/>
      <c r="H231" s="248" t="n"/>
      <c r="I231" s="11">
        <f>IF(H231="","",IF(ISNA(VLOOKUP(H231,科目コード表!$C$4:$D$67,2,FALSE)),"該当科目なし",VLOOKUP(H231,科目コード表!$C$4:$D$67,2,FALSE)))</f>
        <v/>
      </c>
      <c r="J231" s="40" t="n"/>
      <c r="L231" s="46">
        <f>IF($E231=L$3,$G231,0)-IF($H231=L$3,$J231,0)</f>
        <v/>
      </c>
      <c r="M231" s="47">
        <f>IF($E231=M$3,$G231,0)-IF($H231=M$3,$J231,0)</f>
        <v/>
      </c>
      <c r="N231" s="47">
        <f>IF($E231=N$3,$G231,0)-IF($H231=N$3,$J231,0)</f>
        <v/>
      </c>
      <c r="O231" s="47">
        <f>IF($E231=O$3,$G231,0)-IF($H231=O$3,$J231,0)</f>
        <v/>
      </c>
      <c r="P231" s="47">
        <f>IF($E231=P$3,$G231,0)-IF($H231=P$3,$J231,0)</f>
        <v/>
      </c>
      <c r="Q231" s="47">
        <f>IF($E231=Q$3,$G231,0)-IF($H231=Q$3,$J231,0)</f>
        <v/>
      </c>
      <c r="R231" s="47">
        <f>IF($E231=R$3,$G231,0)-IF($H231=R$3,$J231,0)</f>
        <v/>
      </c>
      <c r="S231" s="47">
        <f>IF($E231=S$3,$G231,0)-IF($H231=S$3,$J231,0)</f>
        <v/>
      </c>
      <c r="T231" s="47">
        <f>IF($E231=T$3,$G231,0)-IF($H231=T$3,$J231,0)</f>
        <v/>
      </c>
      <c r="U231" s="47">
        <f>IF($E231=U$3,$G231,0)-IF($H231=U$3,$J231,0)</f>
        <v/>
      </c>
      <c r="V231" s="47">
        <f>IF($E231=V$3,$G231,0)-IF($H231=V$3,$J231,0)</f>
        <v/>
      </c>
      <c r="W231" s="47">
        <f>IF($E231=W$3,$G231,0)-IF($H231=W$3,$J231,0)</f>
        <v/>
      </c>
      <c r="X231" s="47">
        <f>IF($E231=X$3,$G231,0)-IF($H231=X$3,$J231,0)</f>
        <v/>
      </c>
      <c r="Y231" s="47">
        <f>IF($E231=Y$3,$G231,0)-IF($H231=Y$3,$J231,0)</f>
        <v/>
      </c>
      <c r="Z231" s="47">
        <f>IF($E231=Z$3,$G231,0)-IF($H231=Z$3,$J231,0)</f>
        <v/>
      </c>
      <c r="AA231" s="47">
        <f>IF($E231=AA$3,$G231,0)-IF($H231=AA$3,$J231,0)</f>
        <v/>
      </c>
      <c r="AB231" s="47">
        <f>IF($E231=AB$3,$G231,0)-IF($H231=AB$3,$J231,0)</f>
        <v/>
      </c>
      <c r="AC231" s="47">
        <f>IF($E231=AC$3,$G231,0)-IF($H231=AC$3,$J231,0)</f>
        <v/>
      </c>
      <c r="AD231" s="47">
        <f>IF($E231=AD$3,$G231,0)-IF($H231=AD$3,$J231,0)</f>
        <v/>
      </c>
      <c r="AE231" s="47">
        <f>IF($E231=AE$3,$G231,0)-IF($H231=AE$3,$J231,0)</f>
        <v/>
      </c>
      <c r="AF231" s="47">
        <f>IF($E231=AF$3,$G231,0)-IF($H231=AF$3,$J231,0)</f>
        <v/>
      </c>
      <c r="AG231" s="47">
        <f>IF($E231=AG$3,$G231,0)-IF($H231=AG$3,$J231,0)</f>
        <v/>
      </c>
      <c r="AH231" s="47">
        <f>IF($E231=AH$3,$G231,0)-IF($H231=AH$3,$J231,0)</f>
        <v/>
      </c>
      <c r="AI231" s="47">
        <f>IF($E231=AI$3,$G231,0)-IF($H231=AI$3,$J231,0)</f>
        <v/>
      </c>
      <c r="AJ231" s="47">
        <f>IF($E231=AJ$3,$G231,0)-IF($H231=AJ$3,$J231,0)</f>
        <v/>
      </c>
      <c r="AK231" s="47">
        <f>IF($E231=AK$3,$G231,0)-IF($H231=AK$3,$J231,0)</f>
        <v/>
      </c>
      <c r="AL231" s="48">
        <f>IF($E231=AL$3,$G231,0)-IF($H231=AL$3,$J231,0)</f>
        <v/>
      </c>
      <c r="AM231" s="46">
        <f>-IF($E231=AM$3,$G231,0)+IF($H231=AM$3,$J231,0)</f>
        <v/>
      </c>
      <c r="AN231" s="47">
        <f>-IF($E231=AN$3,$G231,0)+IF($H231=AN$3,$J231,0)</f>
        <v/>
      </c>
      <c r="AO231" s="48">
        <f>-IF($E231=AO$3,$G231,0)+IF($H231=AO$3,$J231,0)</f>
        <v/>
      </c>
      <c r="AP231" s="46">
        <f>IF($E231=AP$3,$G231,0)-IF($H231=AP$3,$J231,0)</f>
        <v/>
      </c>
      <c r="AQ231" s="47">
        <f>IF($E231=AQ$3,$G231,0)-IF($H231=AQ$3,$J231,0)</f>
        <v/>
      </c>
      <c r="AR231" s="47">
        <f>IF($E231=AR$3,$G231,0)-IF($H231=AR$3,$J231,0)</f>
        <v/>
      </c>
      <c r="AS231" s="47">
        <f>IF($E231=AS$3,$G231,0)-IF($H231=AS$3,$J231,0)</f>
        <v/>
      </c>
      <c r="AT231" s="47">
        <f>IF($E231=AT$3,$G231,0)-IF($H231=AT$3,$J231,0)</f>
        <v/>
      </c>
      <c r="AU231" s="47">
        <f>IF($E231=AU$3,$G231,0)-IF($H231=AU$3,$J231,0)</f>
        <v/>
      </c>
      <c r="AV231" s="47">
        <f>IF($E231=AV$3,$G231,0)-IF($H231=AV$3,$J231,0)</f>
        <v/>
      </c>
      <c r="AW231" s="47">
        <f>IF($E231=AW$3,$G231,0)-IF($H231=AW$3,$J231,0)</f>
        <v/>
      </c>
      <c r="AX231" s="47">
        <f>IF($E231=AX$3,$G231,0)-IF($H231=AX$3,$J231,0)</f>
        <v/>
      </c>
      <c r="AY231" s="47">
        <f>IF($E231=AY$3,$G231,0)-IF($H231=AY$3,$J231,0)</f>
        <v/>
      </c>
      <c r="AZ231" s="47">
        <f>IF($E231=AZ$3,$G231,0)-IF($H231=AZ$3,$J231,0)</f>
        <v/>
      </c>
      <c r="BA231" s="47">
        <f>IF($E231=BA$3,$G231,0)-IF($H231=BA$3,$J231,0)</f>
        <v/>
      </c>
      <c r="BB231" s="47">
        <f>IF($E231=BB$3,$G231,0)-IF($H231=BB$3,$J231,0)</f>
        <v/>
      </c>
      <c r="BC231" s="47">
        <f>IF($E231=BC$3,$G231,0)-IF($H231=BC$3,$J231,0)</f>
        <v/>
      </c>
      <c r="BD231" s="47">
        <f>IF($E231=BD$3,$G231,0)-IF($H231=BD$3,$J231,0)</f>
        <v/>
      </c>
      <c r="BE231" s="47">
        <f>IF($E231=BE$3,$G231,0)-IF($H231=BE$3,$J231,0)</f>
        <v/>
      </c>
      <c r="BF231" s="47">
        <f>IF($E231=BF$3,$G231,0)-IF($H231=BF$3,$J231,0)</f>
        <v/>
      </c>
      <c r="BG231" s="47">
        <f>IF($E231=BG$3,$G231,0)-IF($H231=BG$3,$J231,0)</f>
        <v/>
      </c>
      <c r="BH231" s="47">
        <f>IF($E231=BH$3,$G231,0)-IF($H231=BH$3,$J231,0)</f>
        <v/>
      </c>
      <c r="BI231" s="47">
        <f>IF($E231=BI$3,$G231,0)-IF($H231=BI$3,$J231,0)</f>
        <v/>
      </c>
      <c r="BJ231" s="47">
        <f>IF($E231=BJ$3,$G231,0)-IF($H231=BJ$3,$J231,0)</f>
        <v/>
      </c>
      <c r="BK231" s="47">
        <f>IF($E231=BK$3,$G231,0)-IF($H231=BK$3,$J231,0)</f>
        <v/>
      </c>
      <c r="BL231" s="46">
        <f>-IF($E231=BL$3,$G231,0)+IF($H231=BL$3,$J231,0)</f>
        <v/>
      </c>
      <c r="BM231" s="47">
        <f>-IF($E231=BM$3,$G231,0)+IF($H231=BM$3,$J231,0)</f>
        <v/>
      </c>
      <c r="BN231" s="47">
        <f>-IF($E231=BN$3,$G231,0)+IF($H231=BN$3,$J231,0)</f>
        <v/>
      </c>
      <c r="BO231" s="47">
        <f>-IF($E231=BO$3,$G231,0)+IF($H231=BO$3,$J231,0)</f>
        <v/>
      </c>
      <c r="BP231" s="47">
        <f>-IF($E231=BP$3,$G231,0)+IF($H231=BP$3,$J231,0)</f>
        <v/>
      </c>
      <c r="BQ231" s="47">
        <f>-IF($E231=BQ$3,$G231,0)+IF($H231=BQ$3,$J231,0)</f>
        <v/>
      </c>
      <c r="BR231" s="47">
        <f>-IF($E231=BR$3,$G231,0)+IF($H231=BR$3,$J231,0)</f>
        <v/>
      </c>
      <c r="BS231" s="47">
        <f>-IF($E231=BS$3,$G231,0)+IF($H231=BS$3,$J231,0)</f>
        <v/>
      </c>
      <c r="BT231" s="47">
        <f>-IF($E231=BT$3,$G231,0)+IF($H231=BT$3,$J231,0)</f>
        <v/>
      </c>
      <c r="BU231" s="46">
        <f>+G231-J231</f>
        <v/>
      </c>
      <c r="BV231" s="48">
        <f>-IF($E231=BV$3,$G231,0)+IF($H231=BV$3,$J231,0)</f>
        <v/>
      </c>
      <c r="BW231" s="3" t="n"/>
    </row>
    <row r="232" ht="15.75" customHeight="1" s="214">
      <c r="A232" s="7" t="n"/>
      <c r="B232" s="8" t="n"/>
      <c r="C232" s="9" t="n"/>
      <c r="D232" s="10" t="n"/>
      <c r="E232" s="247" t="n"/>
      <c r="F232" s="11">
        <f>IF(E232="","",IF(ISNA(VLOOKUP(E232,科目コード表!$C$4:$D$67,2,FALSE)),"該当科目なし",VLOOKUP(E232,科目コード表!$C$4:$D$67,2,FALSE)))</f>
        <v/>
      </c>
      <c r="G232" s="38" t="n"/>
      <c r="H232" s="248" t="n"/>
      <c r="I232" s="11">
        <f>IF(H232="","",IF(ISNA(VLOOKUP(H232,科目コード表!$C$4:$D$67,2,FALSE)),"該当科目なし",VLOOKUP(H232,科目コード表!$C$4:$D$67,2,FALSE)))</f>
        <v/>
      </c>
      <c r="J232" s="40" t="n"/>
      <c r="L232" s="46">
        <f>IF($E232=L$3,$G232,0)-IF($H232=L$3,$J232,0)</f>
        <v/>
      </c>
      <c r="M232" s="47">
        <f>IF($E232=M$3,$G232,0)-IF($H232=M$3,$J232,0)</f>
        <v/>
      </c>
      <c r="N232" s="47">
        <f>IF($E232=N$3,$G232,0)-IF($H232=N$3,$J232,0)</f>
        <v/>
      </c>
      <c r="O232" s="47">
        <f>IF($E232=O$3,$G232,0)-IF($H232=O$3,$J232,0)</f>
        <v/>
      </c>
      <c r="P232" s="47">
        <f>IF($E232=P$3,$G232,0)-IF($H232=P$3,$J232,0)</f>
        <v/>
      </c>
      <c r="Q232" s="47">
        <f>IF($E232=Q$3,$G232,0)-IF($H232=Q$3,$J232,0)</f>
        <v/>
      </c>
      <c r="R232" s="47">
        <f>IF($E232=R$3,$G232,0)-IF($H232=R$3,$J232,0)</f>
        <v/>
      </c>
      <c r="S232" s="47">
        <f>IF($E232=S$3,$G232,0)-IF($H232=S$3,$J232,0)</f>
        <v/>
      </c>
      <c r="T232" s="47">
        <f>IF($E232=T$3,$G232,0)-IF($H232=T$3,$J232,0)</f>
        <v/>
      </c>
      <c r="U232" s="47">
        <f>IF($E232=U$3,$G232,0)-IF($H232=U$3,$J232,0)</f>
        <v/>
      </c>
      <c r="V232" s="47">
        <f>IF($E232=V$3,$G232,0)-IF($H232=V$3,$J232,0)</f>
        <v/>
      </c>
      <c r="W232" s="47">
        <f>IF($E232=W$3,$G232,0)-IF($H232=W$3,$J232,0)</f>
        <v/>
      </c>
      <c r="X232" s="47">
        <f>IF($E232=X$3,$G232,0)-IF($H232=X$3,$J232,0)</f>
        <v/>
      </c>
      <c r="Y232" s="47">
        <f>IF($E232=Y$3,$G232,0)-IF($H232=Y$3,$J232,0)</f>
        <v/>
      </c>
      <c r="Z232" s="47">
        <f>IF($E232=Z$3,$G232,0)-IF($H232=Z$3,$J232,0)</f>
        <v/>
      </c>
      <c r="AA232" s="47">
        <f>IF($E232=AA$3,$G232,0)-IF($H232=AA$3,$J232,0)</f>
        <v/>
      </c>
      <c r="AB232" s="47">
        <f>IF($E232=AB$3,$G232,0)-IF($H232=AB$3,$J232,0)</f>
        <v/>
      </c>
      <c r="AC232" s="47">
        <f>IF($E232=AC$3,$G232,0)-IF($H232=AC$3,$J232,0)</f>
        <v/>
      </c>
      <c r="AD232" s="47">
        <f>IF($E232=AD$3,$G232,0)-IF($H232=AD$3,$J232,0)</f>
        <v/>
      </c>
      <c r="AE232" s="47">
        <f>IF($E232=AE$3,$G232,0)-IF($H232=AE$3,$J232,0)</f>
        <v/>
      </c>
      <c r="AF232" s="47">
        <f>IF($E232=AF$3,$G232,0)-IF($H232=AF$3,$J232,0)</f>
        <v/>
      </c>
      <c r="AG232" s="47">
        <f>IF($E232=AG$3,$G232,0)-IF($H232=AG$3,$J232,0)</f>
        <v/>
      </c>
      <c r="AH232" s="47">
        <f>IF($E232=AH$3,$G232,0)-IF($H232=AH$3,$J232,0)</f>
        <v/>
      </c>
      <c r="AI232" s="47">
        <f>IF($E232=AI$3,$G232,0)-IF($H232=AI$3,$J232,0)</f>
        <v/>
      </c>
      <c r="AJ232" s="47">
        <f>IF($E232=AJ$3,$G232,0)-IF($H232=AJ$3,$J232,0)</f>
        <v/>
      </c>
      <c r="AK232" s="47">
        <f>IF($E232=AK$3,$G232,0)-IF($H232=AK$3,$J232,0)</f>
        <v/>
      </c>
      <c r="AL232" s="48">
        <f>IF($E232=AL$3,$G232,0)-IF($H232=AL$3,$J232,0)</f>
        <v/>
      </c>
      <c r="AM232" s="46">
        <f>-IF($E232=AM$3,$G232,0)+IF($H232=AM$3,$J232,0)</f>
        <v/>
      </c>
      <c r="AN232" s="47">
        <f>-IF($E232=AN$3,$G232,0)+IF($H232=AN$3,$J232,0)</f>
        <v/>
      </c>
      <c r="AO232" s="48">
        <f>-IF($E232=AO$3,$G232,0)+IF($H232=AO$3,$J232,0)</f>
        <v/>
      </c>
      <c r="AP232" s="46">
        <f>IF($E232=AP$3,$G232,0)-IF($H232=AP$3,$J232,0)</f>
        <v/>
      </c>
      <c r="AQ232" s="47">
        <f>IF($E232=AQ$3,$G232,0)-IF($H232=AQ$3,$J232,0)</f>
        <v/>
      </c>
      <c r="AR232" s="47">
        <f>IF($E232=AR$3,$G232,0)-IF($H232=AR$3,$J232,0)</f>
        <v/>
      </c>
      <c r="AS232" s="47">
        <f>IF($E232=AS$3,$G232,0)-IF($H232=AS$3,$J232,0)</f>
        <v/>
      </c>
      <c r="AT232" s="47">
        <f>IF($E232=AT$3,$G232,0)-IF($H232=AT$3,$J232,0)</f>
        <v/>
      </c>
      <c r="AU232" s="47">
        <f>IF($E232=AU$3,$G232,0)-IF($H232=AU$3,$J232,0)</f>
        <v/>
      </c>
      <c r="AV232" s="47">
        <f>IF($E232=AV$3,$G232,0)-IF($H232=AV$3,$J232,0)</f>
        <v/>
      </c>
      <c r="AW232" s="47">
        <f>IF($E232=AW$3,$G232,0)-IF($H232=AW$3,$J232,0)</f>
        <v/>
      </c>
      <c r="AX232" s="47">
        <f>IF($E232=AX$3,$G232,0)-IF($H232=AX$3,$J232,0)</f>
        <v/>
      </c>
      <c r="AY232" s="47">
        <f>IF($E232=AY$3,$G232,0)-IF($H232=AY$3,$J232,0)</f>
        <v/>
      </c>
      <c r="AZ232" s="47">
        <f>IF($E232=AZ$3,$G232,0)-IF($H232=AZ$3,$J232,0)</f>
        <v/>
      </c>
      <c r="BA232" s="47">
        <f>IF($E232=BA$3,$G232,0)-IF($H232=BA$3,$J232,0)</f>
        <v/>
      </c>
      <c r="BB232" s="47">
        <f>IF($E232=BB$3,$G232,0)-IF($H232=BB$3,$J232,0)</f>
        <v/>
      </c>
      <c r="BC232" s="47">
        <f>IF($E232=BC$3,$G232,0)-IF($H232=BC$3,$J232,0)</f>
        <v/>
      </c>
      <c r="BD232" s="47">
        <f>IF($E232=BD$3,$G232,0)-IF($H232=BD$3,$J232,0)</f>
        <v/>
      </c>
      <c r="BE232" s="47">
        <f>IF($E232=BE$3,$G232,0)-IF($H232=BE$3,$J232,0)</f>
        <v/>
      </c>
      <c r="BF232" s="47">
        <f>IF($E232=BF$3,$G232,0)-IF($H232=BF$3,$J232,0)</f>
        <v/>
      </c>
      <c r="BG232" s="47">
        <f>IF($E232=BG$3,$G232,0)-IF($H232=BG$3,$J232,0)</f>
        <v/>
      </c>
      <c r="BH232" s="47">
        <f>IF($E232=BH$3,$G232,0)-IF($H232=BH$3,$J232,0)</f>
        <v/>
      </c>
      <c r="BI232" s="47">
        <f>IF($E232=BI$3,$G232,0)-IF($H232=BI$3,$J232,0)</f>
        <v/>
      </c>
      <c r="BJ232" s="47">
        <f>IF($E232=BJ$3,$G232,0)-IF($H232=BJ$3,$J232,0)</f>
        <v/>
      </c>
      <c r="BK232" s="47">
        <f>IF($E232=BK$3,$G232,0)-IF($H232=BK$3,$J232,0)</f>
        <v/>
      </c>
      <c r="BL232" s="46">
        <f>-IF($E232=BL$3,$G232,0)+IF($H232=BL$3,$J232,0)</f>
        <v/>
      </c>
      <c r="BM232" s="47">
        <f>-IF($E232=BM$3,$G232,0)+IF($H232=BM$3,$J232,0)</f>
        <v/>
      </c>
      <c r="BN232" s="47">
        <f>-IF($E232=BN$3,$G232,0)+IF($H232=BN$3,$J232,0)</f>
        <v/>
      </c>
      <c r="BO232" s="47">
        <f>-IF($E232=BO$3,$G232,0)+IF($H232=BO$3,$J232,0)</f>
        <v/>
      </c>
      <c r="BP232" s="47">
        <f>-IF($E232=BP$3,$G232,0)+IF($H232=BP$3,$J232,0)</f>
        <v/>
      </c>
      <c r="BQ232" s="47">
        <f>-IF($E232=BQ$3,$G232,0)+IF($H232=BQ$3,$J232,0)</f>
        <v/>
      </c>
      <c r="BR232" s="47">
        <f>-IF($E232=BR$3,$G232,0)+IF($H232=BR$3,$J232,0)</f>
        <v/>
      </c>
      <c r="BS232" s="47">
        <f>-IF($E232=BS$3,$G232,0)+IF($H232=BS$3,$J232,0)</f>
        <v/>
      </c>
      <c r="BT232" s="47">
        <f>-IF($E232=BT$3,$G232,0)+IF($H232=BT$3,$J232,0)</f>
        <v/>
      </c>
      <c r="BU232" s="46">
        <f>+G232-J232</f>
        <v/>
      </c>
      <c r="BV232" s="48">
        <f>-IF($E232=BV$3,$G232,0)+IF($H232=BV$3,$J232,0)</f>
        <v/>
      </c>
      <c r="BW232" s="3" t="n"/>
    </row>
    <row r="233" ht="15.75" customHeight="1" s="214">
      <c r="A233" s="7" t="n"/>
      <c r="B233" s="8" t="n"/>
      <c r="C233" s="9" t="n"/>
      <c r="D233" s="10" t="n"/>
      <c r="E233" s="247" t="n"/>
      <c r="F233" s="11">
        <f>IF(E233="","",IF(ISNA(VLOOKUP(E233,科目コード表!$C$4:$D$67,2,FALSE)),"該当科目なし",VLOOKUP(E233,科目コード表!$C$4:$D$67,2,FALSE)))</f>
        <v/>
      </c>
      <c r="G233" s="38" t="n"/>
      <c r="H233" s="248" t="n"/>
      <c r="I233" s="11">
        <f>IF(H233="","",IF(ISNA(VLOOKUP(H233,科目コード表!$C$4:$D$67,2,FALSE)),"該当科目なし",VLOOKUP(H233,科目コード表!$C$4:$D$67,2,FALSE)))</f>
        <v/>
      </c>
      <c r="J233" s="40" t="n"/>
      <c r="L233" s="46">
        <f>IF($E233=L$3,$G233,0)-IF($H233=L$3,$J233,0)</f>
        <v/>
      </c>
      <c r="M233" s="47">
        <f>IF($E233=M$3,$G233,0)-IF($H233=M$3,$J233,0)</f>
        <v/>
      </c>
      <c r="N233" s="47">
        <f>IF($E233=N$3,$G233,0)-IF($H233=N$3,$J233,0)</f>
        <v/>
      </c>
      <c r="O233" s="47">
        <f>IF($E233=O$3,$G233,0)-IF($H233=O$3,$J233,0)</f>
        <v/>
      </c>
      <c r="P233" s="47">
        <f>IF($E233=P$3,$G233,0)-IF($H233=P$3,$J233,0)</f>
        <v/>
      </c>
      <c r="Q233" s="47">
        <f>IF($E233=Q$3,$G233,0)-IF($H233=Q$3,$J233,0)</f>
        <v/>
      </c>
      <c r="R233" s="47">
        <f>IF($E233=R$3,$G233,0)-IF($H233=R$3,$J233,0)</f>
        <v/>
      </c>
      <c r="S233" s="47">
        <f>IF($E233=S$3,$G233,0)-IF($H233=S$3,$J233,0)</f>
        <v/>
      </c>
      <c r="T233" s="47">
        <f>IF($E233=T$3,$G233,0)-IF($H233=T$3,$J233,0)</f>
        <v/>
      </c>
      <c r="U233" s="47">
        <f>IF($E233=U$3,$G233,0)-IF($H233=U$3,$J233,0)</f>
        <v/>
      </c>
      <c r="V233" s="47">
        <f>IF($E233=V$3,$G233,0)-IF($H233=V$3,$J233,0)</f>
        <v/>
      </c>
      <c r="W233" s="47">
        <f>IF($E233=W$3,$G233,0)-IF($H233=W$3,$J233,0)</f>
        <v/>
      </c>
      <c r="X233" s="47">
        <f>IF($E233=X$3,$G233,0)-IF($H233=X$3,$J233,0)</f>
        <v/>
      </c>
      <c r="Y233" s="47">
        <f>IF($E233=Y$3,$G233,0)-IF($H233=Y$3,$J233,0)</f>
        <v/>
      </c>
      <c r="Z233" s="47">
        <f>IF($E233=Z$3,$G233,0)-IF($H233=Z$3,$J233,0)</f>
        <v/>
      </c>
      <c r="AA233" s="47">
        <f>IF($E233=AA$3,$G233,0)-IF($H233=AA$3,$J233,0)</f>
        <v/>
      </c>
      <c r="AB233" s="47">
        <f>IF($E233=AB$3,$G233,0)-IF($H233=AB$3,$J233,0)</f>
        <v/>
      </c>
      <c r="AC233" s="47">
        <f>IF($E233=AC$3,$G233,0)-IF($H233=AC$3,$J233,0)</f>
        <v/>
      </c>
      <c r="AD233" s="47">
        <f>IF($E233=AD$3,$G233,0)-IF($H233=AD$3,$J233,0)</f>
        <v/>
      </c>
      <c r="AE233" s="47">
        <f>IF($E233=AE$3,$G233,0)-IF($H233=AE$3,$J233,0)</f>
        <v/>
      </c>
      <c r="AF233" s="47">
        <f>IF($E233=AF$3,$G233,0)-IF($H233=AF$3,$J233,0)</f>
        <v/>
      </c>
      <c r="AG233" s="47">
        <f>IF($E233=AG$3,$G233,0)-IF($H233=AG$3,$J233,0)</f>
        <v/>
      </c>
      <c r="AH233" s="47">
        <f>IF($E233=AH$3,$G233,0)-IF($H233=AH$3,$J233,0)</f>
        <v/>
      </c>
      <c r="AI233" s="47">
        <f>IF($E233=AI$3,$G233,0)-IF($H233=AI$3,$J233,0)</f>
        <v/>
      </c>
      <c r="AJ233" s="47">
        <f>IF($E233=AJ$3,$G233,0)-IF($H233=AJ$3,$J233,0)</f>
        <v/>
      </c>
      <c r="AK233" s="47">
        <f>IF($E233=AK$3,$G233,0)-IF($H233=AK$3,$J233,0)</f>
        <v/>
      </c>
      <c r="AL233" s="48">
        <f>IF($E233=AL$3,$G233,0)-IF($H233=AL$3,$J233,0)</f>
        <v/>
      </c>
      <c r="AM233" s="46">
        <f>-IF($E233=AM$3,$G233,0)+IF($H233=AM$3,$J233,0)</f>
        <v/>
      </c>
      <c r="AN233" s="47">
        <f>-IF($E233=AN$3,$G233,0)+IF($H233=AN$3,$J233,0)</f>
        <v/>
      </c>
      <c r="AO233" s="48">
        <f>-IF($E233=AO$3,$G233,0)+IF($H233=AO$3,$J233,0)</f>
        <v/>
      </c>
      <c r="AP233" s="46">
        <f>IF($E233=AP$3,$G233,0)-IF($H233=AP$3,$J233,0)</f>
        <v/>
      </c>
      <c r="AQ233" s="47">
        <f>IF($E233=AQ$3,$G233,0)-IF($H233=AQ$3,$J233,0)</f>
        <v/>
      </c>
      <c r="AR233" s="47">
        <f>IF($E233=AR$3,$G233,0)-IF($H233=AR$3,$J233,0)</f>
        <v/>
      </c>
      <c r="AS233" s="47">
        <f>IF($E233=AS$3,$G233,0)-IF($H233=AS$3,$J233,0)</f>
        <v/>
      </c>
      <c r="AT233" s="47">
        <f>IF($E233=AT$3,$G233,0)-IF($H233=AT$3,$J233,0)</f>
        <v/>
      </c>
      <c r="AU233" s="47">
        <f>IF($E233=AU$3,$G233,0)-IF($H233=AU$3,$J233,0)</f>
        <v/>
      </c>
      <c r="AV233" s="47">
        <f>IF($E233=AV$3,$G233,0)-IF($H233=AV$3,$J233,0)</f>
        <v/>
      </c>
      <c r="AW233" s="47">
        <f>IF($E233=AW$3,$G233,0)-IF($H233=AW$3,$J233,0)</f>
        <v/>
      </c>
      <c r="AX233" s="47">
        <f>IF($E233=AX$3,$G233,0)-IF($H233=AX$3,$J233,0)</f>
        <v/>
      </c>
      <c r="AY233" s="47">
        <f>IF($E233=AY$3,$G233,0)-IF($H233=AY$3,$J233,0)</f>
        <v/>
      </c>
      <c r="AZ233" s="47">
        <f>IF($E233=AZ$3,$G233,0)-IF($H233=AZ$3,$J233,0)</f>
        <v/>
      </c>
      <c r="BA233" s="47">
        <f>IF($E233=BA$3,$G233,0)-IF($H233=BA$3,$J233,0)</f>
        <v/>
      </c>
      <c r="BB233" s="47">
        <f>IF($E233=BB$3,$G233,0)-IF($H233=BB$3,$J233,0)</f>
        <v/>
      </c>
      <c r="BC233" s="47">
        <f>IF($E233=BC$3,$G233,0)-IF($H233=BC$3,$J233,0)</f>
        <v/>
      </c>
      <c r="BD233" s="47">
        <f>IF($E233=BD$3,$G233,0)-IF($H233=BD$3,$J233,0)</f>
        <v/>
      </c>
      <c r="BE233" s="47">
        <f>IF($E233=BE$3,$G233,0)-IF($H233=BE$3,$J233,0)</f>
        <v/>
      </c>
      <c r="BF233" s="47">
        <f>IF($E233=BF$3,$G233,0)-IF($H233=BF$3,$J233,0)</f>
        <v/>
      </c>
      <c r="BG233" s="47">
        <f>IF($E233=BG$3,$G233,0)-IF($H233=BG$3,$J233,0)</f>
        <v/>
      </c>
      <c r="BH233" s="47">
        <f>IF($E233=BH$3,$G233,0)-IF($H233=BH$3,$J233,0)</f>
        <v/>
      </c>
      <c r="BI233" s="47">
        <f>IF($E233=BI$3,$G233,0)-IF($H233=BI$3,$J233,0)</f>
        <v/>
      </c>
      <c r="BJ233" s="47">
        <f>IF($E233=BJ$3,$G233,0)-IF($H233=BJ$3,$J233,0)</f>
        <v/>
      </c>
      <c r="BK233" s="47">
        <f>IF($E233=BK$3,$G233,0)-IF($H233=BK$3,$J233,0)</f>
        <v/>
      </c>
      <c r="BL233" s="46">
        <f>-IF($E233=BL$3,$G233,0)+IF($H233=BL$3,$J233,0)</f>
        <v/>
      </c>
      <c r="BM233" s="47">
        <f>-IF($E233=BM$3,$G233,0)+IF($H233=BM$3,$J233,0)</f>
        <v/>
      </c>
      <c r="BN233" s="47">
        <f>-IF($E233=BN$3,$G233,0)+IF($H233=BN$3,$J233,0)</f>
        <v/>
      </c>
      <c r="BO233" s="47">
        <f>-IF($E233=BO$3,$G233,0)+IF($H233=BO$3,$J233,0)</f>
        <v/>
      </c>
      <c r="BP233" s="47">
        <f>-IF($E233=BP$3,$G233,0)+IF($H233=BP$3,$J233,0)</f>
        <v/>
      </c>
      <c r="BQ233" s="47">
        <f>-IF($E233=BQ$3,$G233,0)+IF($H233=BQ$3,$J233,0)</f>
        <v/>
      </c>
      <c r="BR233" s="47">
        <f>-IF($E233=BR$3,$G233,0)+IF($H233=BR$3,$J233,0)</f>
        <v/>
      </c>
      <c r="BS233" s="47">
        <f>-IF($E233=BS$3,$G233,0)+IF($H233=BS$3,$J233,0)</f>
        <v/>
      </c>
      <c r="BT233" s="47">
        <f>-IF($E233=BT$3,$G233,0)+IF($H233=BT$3,$J233,0)</f>
        <v/>
      </c>
      <c r="BU233" s="46">
        <f>+G233-J233</f>
        <v/>
      </c>
      <c r="BV233" s="48">
        <f>-IF($E233=BV$3,$G233,0)+IF($H233=BV$3,$J233,0)</f>
        <v/>
      </c>
      <c r="BW233" s="3" t="n"/>
    </row>
    <row r="234" ht="15.75" customHeight="1" s="214">
      <c r="A234" s="7" t="n"/>
      <c r="B234" s="8" t="n"/>
      <c r="C234" s="9" t="n"/>
      <c r="D234" s="10" t="n"/>
      <c r="E234" s="247" t="n"/>
      <c r="F234" s="11">
        <f>IF(E234="","",IF(ISNA(VLOOKUP(E234,科目コード表!$C$4:$D$67,2,FALSE)),"該当科目なし",VLOOKUP(E234,科目コード表!$C$4:$D$67,2,FALSE)))</f>
        <v/>
      </c>
      <c r="G234" s="38" t="n"/>
      <c r="H234" s="248" t="n"/>
      <c r="I234" s="11">
        <f>IF(H234="","",IF(ISNA(VLOOKUP(H234,科目コード表!$C$4:$D$67,2,FALSE)),"該当科目なし",VLOOKUP(H234,科目コード表!$C$4:$D$67,2,FALSE)))</f>
        <v/>
      </c>
      <c r="J234" s="40" t="n"/>
      <c r="L234" s="46">
        <f>IF($E234=L$3,$G234,0)-IF($H234=L$3,$J234,0)</f>
        <v/>
      </c>
      <c r="M234" s="47">
        <f>IF($E234=M$3,$G234,0)-IF($H234=M$3,$J234,0)</f>
        <v/>
      </c>
      <c r="N234" s="47">
        <f>IF($E234=N$3,$G234,0)-IF($H234=N$3,$J234,0)</f>
        <v/>
      </c>
      <c r="O234" s="47">
        <f>IF($E234=O$3,$G234,0)-IF($H234=O$3,$J234,0)</f>
        <v/>
      </c>
      <c r="P234" s="47">
        <f>IF($E234=P$3,$G234,0)-IF($H234=P$3,$J234,0)</f>
        <v/>
      </c>
      <c r="Q234" s="47">
        <f>IF($E234=Q$3,$G234,0)-IF($H234=Q$3,$J234,0)</f>
        <v/>
      </c>
      <c r="R234" s="47">
        <f>IF($E234=R$3,$G234,0)-IF($H234=R$3,$J234,0)</f>
        <v/>
      </c>
      <c r="S234" s="47">
        <f>IF($E234=S$3,$G234,0)-IF($H234=S$3,$J234,0)</f>
        <v/>
      </c>
      <c r="T234" s="47">
        <f>IF($E234=T$3,$G234,0)-IF($H234=T$3,$J234,0)</f>
        <v/>
      </c>
      <c r="U234" s="47">
        <f>IF($E234=U$3,$G234,0)-IF($H234=U$3,$J234,0)</f>
        <v/>
      </c>
      <c r="V234" s="47">
        <f>IF($E234=V$3,$G234,0)-IF($H234=V$3,$J234,0)</f>
        <v/>
      </c>
      <c r="W234" s="47">
        <f>IF($E234=W$3,$G234,0)-IF($H234=W$3,$J234,0)</f>
        <v/>
      </c>
      <c r="X234" s="47">
        <f>IF($E234=X$3,$G234,0)-IF($H234=X$3,$J234,0)</f>
        <v/>
      </c>
      <c r="Y234" s="47">
        <f>IF($E234=Y$3,$G234,0)-IF($H234=Y$3,$J234,0)</f>
        <v/>
      </c>
      <c r="Z234" s="47">
        <f>IF($E234=Z$3,$G234,0)-IF($H234=Z$3,$J234,0)</f>
        <v/>
      </c>
      <c r="AA234" s="47">
        <f>IF($E234=AA$3,$G234,0)-IF($H234=AA$3,$J234,0)</f>
        <v/>
      </c>
      <c r="AB234" s="47">
        <f>IF($E234=AB$3,$G234,0)-IF($H234=AB$3,$J234,0)</f>
        <v/>
      </c>
      <c r="AC234" s="47">
        <f>IF($E234=AC$3,$G234,0)-IF($H234=AC$3,$J234,0)</f>
        <v/>
      </c>
      <c r="AD234" s="47">
        <f>IF($E234=AD$3,$G234,0)-IF($H234=AD$3,$J234,0)</f>
        <v/>
      </c>
      <c r="AE234" s="47">
        <f>IF($E234=AE$3,$G234,0)-IF($H234=AE$3,$J234,0)</f>
        <v/>
      </c>
      <c r="AF234" s="47">
        <f>IF($E234=AF$3,$G234,0)-IF($H234=AF$3,$J234,0)</f>
        <v/>
      </c>
      <c r="AG234" s="47">
        <f>IF($E234=AG$3,$G234,0)-IF($H234=AG$3,$J234,0)</f>
        <v/>
      </c>
      <c r="AH234" s="47">
        <f>IF($E234=AH$3,$G234,0)-IF($H234=AH$3,$J234,0)</f>
        <v/>
      </c>
      <c r="AI234" s="47">
        <f>IF($E234=AI$3,$G234,0)-IF($H234=AI$3,$J234,0)</f>
        <v/>
      </c>
      <c r="AJ234" s="47">
        <f>IF($E234=AJ$3,$G234,0)-IF($H234=AJ$3,$J234,0)</f>
        <v/>
      </c>
      <c r="AK234" s="47">
        <f>IF($E234=AK$3,$G234,0)-IF($H234=AK$3,$J234,0)</f>
        <v/>
      </c>
      <c r="AL234" s="48">
        <f>IF($E234=AL$3,$G234,0)-IF($H234=AL$3,$J234,0)</f>
        <v/>
      </c>
      <c r="AM234" s="46">
        <f>-IF($E234=AM$3,$G234,0)+IF($H234=AM$3,$J234,0)</f>
        <v/>
      </c>
      <c r="AN234" s="47">
        <f>-IF($E234=AN$3,$G234,0)+IF($H234=AN$3,$J234,0)</f>
        <v/>
      </c>
      <c r="AO234" s="48">
        <f>-IF($E234=AO$3,$G234,0)+IF($H234=AO$3,$J234,0)</f>
        <v/>
      </c>
      <c r="AP234" s="46">
        <f>IF($E234=AP$3,$G234,0)-IF($H234=AP$3,$J234,0)</f>
        <v/>
      </c>
      <c r="AQ234" s="47">
        <f>IF($E234=AQ$3,$G234,0)-IF($H234=AQ$3,$J234,0)</f>
        <v/>
      </c>
      <c r="AR234" s="47">
        <f>IF($E234=AR$3,$G234,0)-IF($H234=AR$3,$J234,0)</f>
        <v/>
      </c>
      <c r="AS234" s="47">
        <f>IF($E234=AS$3,$G234,0)-IF($H234=AS$3,$J234,0)</f>
        <v/>
      </c>
      <c r="AT234" s="47">
        <f>IF($E234=AT$3,$G234,0)-IF($H234=AT$3,$J234,0)</f>
        <v/>
      </c>
      <c r="AU234" s="47">
        <f>IF($E234=AU$3,$G234,0)-IF($H234=AU$3,$J234,0)</f>
        <v/>
      </c>
      <c r="AV234" s="47">
        <f>IF($E234=AV$3,$G234,0)-IF($H234=AV$3,$J234,0)</f>
        <v/>
      </c>
      <c r="AW234" s="47">
        <f>IF($E234=AW$3,$G234,0)-IF($H234=AW$3,$J234,0)</f>
        <v/>
      </c>
      <c r="AX234" s="47">
        <f>IF($E234=AX$3,$G234,0)-IF($H234=AX$3,$J234,0)</f>
        <v/>
      </c>
      <c r="AY234" s="47">
        <f>IF($E234=AY$3,$G234,0)-IF($H234=AY$3,$J234,0)</f>
        <v/>
      </c>
      <c r="AZ234" s="47">
        <f>IF($E234=AZ$3,$G234,0)-IF($H234=AZ$3,$J234,0)</f>
        <v/>
      </c>
      <c r="BA234" s="47">
        <f>IF($E234=BA$3,$G234,0)-IF($H234=BA$3,$J234,0)</f>
        <v/>
      </c>
      <c r="BB234" s="47">
        <f>IF($E234=BB$3,$G234,0)-IF($H234=BB$3,$J234,0)</f>
        <v/>
      </c>
      <c r="BC234" s="47">
        <f>IF($E234=BC$3,$G234,0)-IF($H234=BC$3,$J234,0)</f>
        <v/>
      </c>
      <c r="BD234" s="47">
        <f>IF($E234=BD$3,$G234,0)-IF($H234=BD$3,$J234,0)</f>
        <v/>
      </c>
      <c r="BE234" s="47">
        <f>IF($E234=BE$3,$G234,0)-IF($H234=BE$3,$J234,0)</f>
        <v/>
      </c>
      <c r="BF234" s="47">
        <f>IF($E234=BF$3,$G234,0)-IF($H234=BF$3,$J234,0)</f>
        <v/>
      </c>
      <c r="BG234" s="47">
        <f>IF($E234=BG$3,$G234,0)-IF($H234=BG$3,$J234,0)</f>
        <v/>
      </c>
      <c r="BH234" s="47">
        <f>IF($E234=BH$3,$G234,0)-IF($H234=BH$3,$J234,0)</f>
        <v/>
      </c>
      <c r="BI234" s="47">
        <f>IF($E234=BI$3,$G234,0)-IF($H234=BI$3,$J234,0)</f>
        <v/>
      </c>
      <c r="BJ234" s="47">
        <f>IF($E234=BJ$3,$G234,0)-IF($H234=BJ$3,$J234,0)</f>
        <v/>
      </c>
      <c r="BK234" s="47">
        <f>IF($E234=BK$3,$G234,0)-IF($H234=BK$3,$J234,0)</f>
        <v/>
      </c>
      <c r="BL234" s="46">
        <f>-IF($E234=BL$3,$G234,0)+IF($H234=BL$3,$J234,0)</f>
        <v/>
      </c>
      <c r="BM234" s="47">
        <f>-IF($E234=BM$3,$G234,0)+IF($H234=BM$3,$J234,0)</f>
        <v/>
      </c>
      <c r="BN234" s="47">
        <f>-IF($E234=BN$3,$G234,0)+IF($H234=BN$3,$J234,0)</f>
        <v/>
      </c>
      <c r="BO234" s="47">
        <f>-IF($E234=BO$3,$G234,0)+IF($H234=BO$3,$J234,0)</f>
        <v/>
      </c>
      <c r="BP234" s="47">
        <f>-IF($E234=BP$3,$G234,0)+IF($H234=BP$3,$J234,0)</f>
        <v/>
      </c>
      <c r="BQ234" s="47">
        <f>-IF($E234=BQ$3,$G234,0)+IF($H234=BQ$3,$J234,0)</f>
        <v/>
      </c>
      <c r="BR234" s="47">
        <f>-IF($E234=BR$3,$G234,0)+IF($H234=BR$3,$J234,0)</f>
        <v/>
      </c>
      <c r="BS234" s="47">
        <f>-IF($E234=BS$3,$G234,0)+IF($H234=BS$3,$J234,0)</f>
        <v/>
      </c>
      <c r="BT234" s="47">
        <f>-IF($E234=BT$3,$G234,0)+IF($H234=BT$3,$J234,0)</f>
        <v/>
      </c>
      <c r="BU234" s="46">
        <f>+G234-J234</f>
        <v/>
      </c>
      <c r="BV234" s="48">
        <f>-IF($E234=BV$3,$G234,0)+IF($H234=BV$3,$J234,0)</f>
        <v/>
      </c>
      <c r="BW234" s="3" t="n"/>
    </row>
    <row r="235" ht="15.75" customHeight="1" s="214">
      <c r="A235" s="7" t="n"/>
      <c r="B235" s="8" t="n"/>
      <c r="C235" s="9" t="n"/>
      <c r="D235" s="10" t="n"/>
      <c r="E235" s="247" t="n"/>
      <c r="F235" s="11">
        <f>IF(E235="","",IF(ISNA(VLOOKUP(E235,科目コード表!$C$4:$D$67,2,FALSE)),"該当科目なし",VLOOKUP(E235,科目コード表!$C$4:$D$67,2,FALSE)))</f>
        <v/>
      </c>
      <c r="G235" s="38" t="n"/>
      <c r="H235" s="248" t="n"/>
      <c r="I235" s="11">
        <f>IF(H235="","",IF(ISNA(VLOOKUP(H235,科目コード表!$C$4:$D$67,2,FALSE)),"該当科目なし",VLOOKUP(H235,科目コード表!$C$4:$D$67,2,FALSE)))</f>
        <v/>
      </c>
      <c r="J235" s="40" t="n"/>
      <c r="L235" s="46">
        <f>IF($E235=L$3,$G235,0)-IF($H235=L$3,$J235,0)</f>
        <v/>
      </c>
      <c r="M235" s="47">
        <f>IF($E235=M$3,$G235,0)-IF($H235=M$3,$J235,0)</f>
        <v/>
      </c>
      <c r="N235" s="47">
        <f>IF($E235=N$3,$G235,0)-IF($H235=N$3,$J235,0)</f>
        <v/>
      </c>
      <c r="O235" s="47">
        <f>IF($E235=O$3,$G235,0)-IF($H235=O$3,$J235,0)</f>
        <v/>
      </c>
      <c r="P235" s="47">
        <f>IF($E235=P$3,$G235,0)-IF($H235=P$3,$J235,0)</f>
        <v/>
      </c>
      <c r="Q235" s="47">
        <f>IF($E235=Q$3,$G235,0)-IF($H235=Q$3,$J235,0)</f>
        <v/>
      </c>
      <c r="R235" s="47">
        <f>IF($E235=R$3,$G235,0)-IF($H235=R$3,$J235,0)</f>
        <v/>
      </c>
      <c r="S235" s="47">
        <f>IF($E235=S$3,$G235,0)-IF($H235=S$3,$J235,0)</f>
        <v/>
      </c>
      <c r="T235" s="47">
        <f>IF($E235=T$3,$G235,0)-IF($H235=T$3,$J235,0)</f>
        <v/>
      </c>
      <c r="U235" s="47">
        <f>IF($E235=U$3,$G235,0)-IF($H235=U$3,$J235,0)</f>
        <v/>
      </c>
      <c r="V235" s="47">
        <f>IF($E235=V$3,$G235,0)-IF($H235=V$3,$J235,0)</f>
        <v/>
      </c>
      <c r="W235" s="47">
        <f>IF($E235=W$3,$G235,0)-IF($H235=W$3,$J235,0)</f>
        <v/>
      </c>
      <c r="X235" s="47">
        <f>IF($E235=X$3,$G235,0)-IF($H235=X$3,$J235,0)</f>
        <v/>
      </c>
      <c r="Y235" s="47">
        <f>IF($E235=Y$3,$G235,0)-IF($H235=Y$3,$J235,0)</f>
        <v/>
      </c>
      <c r="Z235" s="47">
        <f>IF($E235=Z$3,$G235,0)-IF($H235=Z$3,$J235,0)</f>
        <v/>
      </c>
      <c r="AA235" s="47">
        <f>IF($E235=AA$3,$G235,0)-IF($H235=AA$3,$J235,0)</f>
        <v/>
      </c>
      <c r="AB235" s="47">
        <f>IF($E235=AB$3,$G235,0)-IF($H235=AB$3,$J235,0)</f>
        <v/>
      </c>
      <c r="AC235" s="47">
        <f>IF($E235=AC$3,$G235,0)-IF($H235=AC$3,$J235,0)</f>
        <v/>
      </c>
      <c r="AD235" s="47">
        <f>IF($E235=AD$3,$G235,0)-IF($H235=AD$3,$J235,0)</f>
        <v/>
      </c>
      <c r="AE235" s="47">
        <f>IF($E235=AE$3,$G235,0)-IF($H235=AE$3,$J235,0)</f>
        <v/>
      </c>
      <c r="AF235" s="47">
        <f>IF($E235=AF$3,$G235,0)-IF($H235=AF$3,$J235,0)</f>
        <v/>
      </c>
      <c r="AG235" s="47">
        <f>IF($E235=AG$3,$G235,0)-IF($H235=AG$3,$J235,0)</f>
        <v/>
      </c>
      <c r="AH235" s="47">
        <f>IF($E235=AH$3,$G235,0)-IF($H235=AH$3,$J235,0)</f>
        <v/>
      </c>
      <c r="AI235" s="47">
        <f>IF($E235=AI$3,$G235,0)-IF($H235=AI$3,$J235,0)</f>
        <v/>
      </c>
      <c r="AJ235" s="47">
        <f>IF($E235=AJ$3,$G235,0)-IF($H235=AJ$3,$J235,0)</f>
        <v/>
      </c>
      <c r="AK235" s="47">
        <f>IF($E235=AK$3,$G235,0)-IF($H235=AK$3,$J235,0)</f>
        <v/>
      </c>
      <c r="AL235" s="48">
        <f>IF($E235=AL$3,$G235,0)-IF($H235=AL$3,$J235,0)</f>
        <v/>
      </c>
      <c r="AM235" s="46">
        <f>-IF($E235=AM$3,$G235,0)+IF($H235=AM$3,$J235,0)</f>
        <v/>
      </c>
      <c r="AN235" s="47">
        <f>-IF($E235=AN$3,$G235,0)+IF($H235=AN$3,$J235,0)</f>
        <v/>
      </c>
      <c r="AO235" s="48">
        <f>-IF($E235=AO$3,$G235,0)+IF($H235=AO$3,$J235,0)</f>
        <v/>
      </c>
      <c r="AP235" s="46">
        <f>IF($E235=AP$3,$G235,0)-IF($H235=AP$3,$J235,0)</f>
        <v/>
      </c>
      <c r="AQ235" s="47">
        <f>IF($E235=AQ$3,$G235,0)-IF($H235=AQ$3,$J235,0)</f>
        <v/>
      </c>
      <c r="AR235" s="47">
        <f>IF($E235=AR$3,$G235,0)-IF($H235=AR$3,$J235,0)</f>
        <v/>
      </c>
      <c r="AS235" s="47">
        <f>IF($E235=AS$3,$G235,0)-IF($H235=AS$3,$J235,0)</f>
        <v/>
      </c>
      <c r="AT235" s="47">
        <f>IF($E235=AT$3,$G235,0)-IF($H235=AT$3,$J235,0)</f>
        <v/>
      </c>
      <c r="AU235" s="47">
        <f>IF($E235=AU$3,$G235,0)-IF($H235=AU$3,$J235,0)</f>
        <v/>
      </c>
      <c r="AV235" s="47">
        <f>IF($E235=AV$3,$G235,0)-IF($H235=AV$3,$J235,0)</f>
        <v/>
      </c>
      <c r="AW235" s="47">
        <f>IF($E235=AW$3,$G235,0)-IF($H235=AW$3,$J235,0)</f>
        <v/>
      </c>
      <c r="AX235" s="47">
        <f>IF($E235=AX$3,$G235,0)-IF($H235=AX$3,$J235,0)</f>
        <v/>
      </c>
      <c r="AY235" s="47">
        <f>IF($E235=AY$3,$G235,0)-IF($H235=AY$3,$J235,0)</f>
        <v/>
      </c>
      <c r="AZ235" s="47">
        <f>IF($E235=AZ$3,$G235,0)-IF($H235=AZ$3,$J235,0)</f>
        <v/>
      </c>
      <c r="BA235" s="47">
        <f>IF($E235=BA$3,$G235,0)-IF($H235=BA$3,$J235,0)</f>
        <v/>
      </c>
      <c r="BB235" s="47">
        <f>IF($E235=BB$3,$G235,0)-IF($H235=BB$3,$J235,0)</f>
        <v/>
      </c>
      <c r="BC235" s="47">
        <f>IF($E235=BC$3,$G235,0)-IF($H235=BC$3,$J235,0)</f>
        <v/>
      </c>
      <c r="BD235" s="47">
        <f>IF($E235=BD$3,$G235,0)-IF($H235=BD$3,$J235,0)</f>
        <v/>
      </c>
      <c r="BE235" s="47">
        <f>IF($E235=BE$3,$G235,0)-IF($H235=BE$3,$J235,0)</f>
        <v/>
      </c>
      <c r="BF235" s="47">
        <f>IF($E235=BF$3,$G235,0)-IF($H235=BF$3,$J235,0)</f>
        <v/>
      </c>
      <c r="BG235" s="47">
        <f>IF($E235=BG$3,$G235,0)-IF($H235=BG$3,$J235,0)</f>
        <v/>
      </c>
      <c r="BH235" s="47">
        <f>IF($E235=BH$3,$G235,0)-IF($H235=BH$3,$J235,0)</f>
        <v/>
      </c>
      <c r="BI235" s="47">
        <f>IF($E235=BI$3,$G235,0)-IF($H235=BI$3,$J235,0)</f>
        <v/>
      </c>
      <c r="BJ235" s="47">
        <f>IF($E235=BJ$3,$G235,0)-IF($H235=BJ$3,$J235,0)</f>
        <v/>
      </c>
      <c r="BK235" s="47">
        <f>IF($E235=BK$3,$G235,0)-IF($H235=BK$3,$J235,0)</f>
        <v/>
      </c>
      <c r="BL235" s="46">
        <f>-IF($E235=BL$3,$G235,0)+IF($H235=BL$3,$J235,0)</f>
        <v/>
      </c>
      <c r="BM235" s="47">
        <f>-IF($E235=BM$3,$G235,0)+IF($H235=BM$3,$J235,0)</f>
        <v/>
      </c>
      <c r="BN235" s="47">
        <f>-IF($E235=BN$3,$G235,0)+IF($H235=BN$3,$J235,0)</f>
        <v/>
      </c>
      <c r="BO235" s="47">
        <f>-IF($E235=BO$3,$G235,0)+IF($H235=BO$3,$J235,0)</f>
        <v/>
      </c>
      <c r="BP235" s="47">
        <f>-IF($E235=BP$3,$G235,0)+IF($H235=BP$3,$J235,0)</f>
        <v/>
      </c>
      <c r="BQ235" s="47">
        <f>-IF($E235=BQ$3,$G235,0)+IF($H235=BQ$3,$J235,0)</f>
        <v/>
      </c>
      <c r="BR235" s="47">
        <f>-IF($E235=BR$3,$G235,0)+IF($H235=BR$3,$J235,0)</f>
        <v/>
      </c>
      <c r="BS235" s="47">
        <f>-IF($E235=BS$3,$G235,0)+IF($H235=BS$3,$J235,0)</f>
        <v/>
      </c>
      <c r="BT235" s="47">
        <f>-IF($E235=BT$3,$G235,0)+IF($H235=BT$3,$J235,0)</f>
        <v/>
      </c>
      <c r="BU235" s="46">
        <f>+G235-J235</f>
        <v/>
      </c>
      <c r="BV235" s="48">
        <f>-IF($E235=BV$3,$G235,0)+IF($H235=BV$3,$J235,0)</f>
        <v/>
      </c>
      <c r="BW235" s="3" t="n"/>
    </row>
    <row r="236" ht="15.75" customHeight="1" s="214">
      <c r="A236" s="7" t="n"/>
      <c r="B236" s="8" t="n"/>
      <c r="C236" s="9" t="n"/>
      <c r="D236" s="10" t="n"/>
      <c r="E236" s="247" t="n"/>
      <c r="F236" s="11">
        <f>IF(E236="","",IF(ISNA(VLOOKUP(E236,科目コード表!$C$4:$D$67,2,FALSE)),"該当科目なし",VLOOKUP(E236,科目コード表!$C$4:$D$67,2,FALSE)))</f>
        <v/>
      </c>
      <c r="G236" s="38" t="n"/>
      <c r="H236" s="248" t="n"/>
      <c r="I236" s="11">
        <f>IF(H236="","",IF(ISNA(VLOOKUP(H236,科目コード表!$C$4:$D$67,2,FALSE)),"該当科目なし",VLOOKUP(H236,科目コード表!$C$4:$D$67,2,FALSE)))</f>
        <v/>
      </c>
      <c r="J236" s="40" t="n"/>
      <c r="L236" s="46">
        <f>IF($E236=L$3,$G236,0)-IF($H236=L$3,$J236,0)</f>
        <v/>
      </c>
      <c r="M236" s="47">
        <f>IF($E236=M$3,$G236,0)-IF($H236=M$3,$J236,0)</f>
        <v/>
      </c>
      <c r="N236" s="47">
        <f>IF($E236=N$3,$G236,0)-IF($H236=N$3,$J236,0)</f>
        <v/>
      </c>
      <c r="O236" s="47">
        <f>IF($E236=O$3,$G236,0)-IF($H236=O$3,$J236,0)</f>
        <v/>
      </c>
      <c r="P236" s="47">
        <f>IF($E236=P$3,$G236,0)-IF($H236=P$3,$J236,0)</f>
        <v/>
      </c>
      <c r="Q236" s="47">
        <f>IF($E236=Q$3,$G236,0)-IF($H236=Q$3,$J236,0)</f>
        <v/>
      </c>
      <c r="R236" s="47">
        <f>IF($E236=R$3,$G236,0)-IF($H236=R$3,$J236,0)</f>
        <v/>
      </c>
      <c r="S236" s="47">
        <f>IF($E236=S$3,$G236,0)-IF($H236=S$3,$J236,0)</f>
        <v/>
      </c>
      <c r="T236" s="47">
        <f>IF($E236=T$3,$G236,0)-IF($H236=T$3,$J236,0)</f>
        <v/>
      </c>
      <c r="U236" s="47">
        <f>IF($E236=U$3,$G236,0)-IF($H236=U$3,$J236,0)</f>
        <v/>
      </c>
      <c r="V236" s="47">
        <f>IF($E236=V$3,$G236,0)-IF($H236=V$3,$J236,0)</f>
        <v/>
      </c>
      <c r="W236" s="47">
        <f>IF($E236=W$3,$G236,0)-IF($H236=W$3,$J236,0)</f>
        <v/>
      </c>
      <c r="X236" s="47">
        <f>IF($E236=X$3,$G236,0)-IF($H236=X$3,$J236,0)</f>
        <v/>
      </c>
      <c r="Y236" s="47">
        <f>IF($E236=Y$3,$G236,0)-IF($H236=Y$3,$J236,0)</f>
        <v/>
      </c>
      <c r="Z236" s="47">
        <f>IF($E236=Z$3,$G236,0)-IF($H236=Z$3,$J236,0)</f>
        <v/>
      </c>
      <c r="AA236" s="47">
        <f>IF($E236=AA$3,$G236,0)-IF($H236=AA$3,$J236,0)</f>
        <v/>
      </c>
      <c r="AB236" s="47">
        <f>IF($E236=AB$3,$G236,0)-IF($H236=AB$3,$J236,0)</f>
        <v/>
      </c>
      <c r="AC236" s="47">
        <f>IF($E236=AC$3,$G236,0)-IF($H236=AC$3,$J236,0)</f>
        <v/>
      </c>
      <c r="AD236" s="47">
        <f>IF($E236=AD$3,$G236,0)-IF($H236=AD$3,$J236,0)</f>
        <v/>
      </c>
      <c r="AE236" s="47">
        <f>IF($E236=AE$3,$G236,0)-IF($H236=AE$3,$J236,0)</f>
        <v/>
      </c>
      <c r="AF236" s="47">
        <f>IF($E236=AF$3,$G236,0)-IF($H236=AF$3,$J236,0)</f>
        <v/>
      </c>
      <c r="AG236" s="47">
        <f>IF($E236=AG$3,$G236,0)-IF($H236=AG$3,$J236,0)</f>
        <v/>
      </c>
      <c r="AH236" s="47">
        <f>IF($E236=AH$3,$G236,0)-IF($H236=AH$3,$J236,0)</f>
        <v/>
      </c>
      <c r="AI236" s="47">
        <f>IF($E236=AI$3,$G236,0)-IF($H236=AI$3,$J236,0)</f>
        <v/>
      </c>
      <c r="AJ236" s="47">
        <f>IF($E236=AJ$3,$G236,0)-IF($H236=AJ$3,$J236,0)</f>
        <v/>
      </c>
      <c r="AK236" s="47">
        <f>IF($E236=AK$3,$G236,0)-IF($H236=AK$3,$J236,0)</f>
        <v/>
      </c>
      <c r="AL236" s="48">
        <f>IF($E236=AL$3,$G236,0)-IF($H236=AL$3,$J236,0)</f>
        <v/>
      </c>
      <c r="AM236" s="46">
        <f>-IF($E236=AM$3,$G236,0)+IF($H236=AM$3,$J236,0)</f>
        <v/>
      </c>
      <c r="AN236" s="47">
        <f>-IF($E236=AN$3,$G236,0)+IF($H236=AN$3,$J236,0)</f>
        <v/>
      </c>
      <c r="AO236" s="48">
        <f>-IF($E236=AO$3,$G236,0)+IF($H236=AO$3,$J236,0)</f>
        <v/>
      </c>
      <c r="AP236" s="46">
        <f>IF($E236=AP$3,$G236,0)-IF($H236=AP$3,$J236,0)</f>
        <v/>
      </c>
      <c r="AQ236" s="47">
        <f>IF($E236=AQ$3,$G236,0)-IF($H236=AQ$3,$J236,0)</f>
        <v/>
      </c>
      <c r="AR236" s="47">
        <f>IF($E236=AR$3,$G236,0)-IF($H236=AR$3,$J236,0)</f>
        <v/>
      </c>
      <c r="AS236" s="47">
        <f>IF($E236=AS$3,$G236,0)-IF($H236=AS$3,$J236,0)</f>
        <v/>
      </c>
      <c r="AT236" s="47">
        <f>IF($E236=AT$3,$G236,0)-IF($H236=AT$3,$J236,0)</f>
        <v/>
      </c>
      <c r="AU236" s="47">
        <f>IF($E236=AU$3,$G236,0)-IF($H236=AU$3,$J236,0)</f>
        <v/>
      </c>
      <c r="AV236" s="47">
        <f>IF($E236=AV$3,$G236,0)-IF($H236=AV$3,$J236,0)</f>
        <v/>
      </c>
      <c r="AW236" s="47">
        <f>IF($E236=AW$3,$G236,0)-IF($H236=AW$3,$J236,0)</f>
        <v/>
      </c>
      <c r="AX236" s="47">
        <f>IF($E236=AX$3,$G236,0)-IF($H236=AX$3,$J236,0)</f>
        <v/>
      </c>
      <c r="AY236" s="47">
        <f>IF($E236=AY$3,$G236,0)-IF($H236=AY$3,$J236,0)</f>
        <v/>
      </c>
      <c r="AZ236" s="47">
        <f>IF($E236=AZ$3,$G236,0)-IF($H236=AZ$3,$J236,0)</f>
        <v/>
      </c>
      <c r="BA236" s="47">
        <f>IF($E236=BA$3,$G236,0)-IF($H236=BA$3,$J236,0)</f>
        <v/>
      </c>
      <c r="BB236" s="47">
        <f>IF($E236=BB$3,$G236,0)-IF($H236=BB$3,$J236,0)</f>
        <v/>
      </c>
      <c r="BC236" s="47">
        <f>IF($E236=BC$3,$G236,0)-IF($H236=BC$3,$J236,0)</f>
        <v/>
      </c>
      <c r="BD236" s="47">
        <f>IF($E236=BD$3,$G236,0)-IF($H236=BD$3,$J236,0)</f>
        <v/>
      </c>
      <c r="BE236" s="47">
        <f>IF($E236=BE$3,$G236,0)-IF($H236=BE$3,$J236,0)</f>
        <v/>
      </c>
      <c r="BF236" s="47">
        <f>IF($E236=BF$3,$G236,0)-IF($H236=BF$3,$J236,0)</f>
        <v/>
      </c>
      <c r="BG236" s="47">
        <f>IF($E236=BG$3,$G236,0)-IF($H236=BG$3,$J236,0)</f>
        <v/>
      </c>
      <c r="BH236" s="47">
        <f>IF($E236=BH$3,$G236,0)-IF($H236=BH$3,$J236,0)</f>
        <v/>
      </c>
      <c r="BI236" s="47">
        <f>IF($E236=BI$3,$G236,0)-IF($H236=BI$3,$J236,0)</f>
        <v/>
      </c>
      <c r="BJ236" s="47">
        <f>IF($E236=BJ$3,$G236,0)-IF($H236=BJ$3,$J236,0)</f>
        <v/>
      </c>
      <c r="BK236" s="47">
        <f>IF($E236=BK$3,$G236,0)-IF($H236=BK$3,$J236,0)</f>
        <v/>
      </c>
      <c r="BL236" s="46">
        <f>-IF($E236=BL$3,$G236,0)+IF($H236=BL$3,$J236,0)</f>
        <v/>
      </c>
      <c r="BM236" s="47">
        <f>-IF($E236=BM$3,$G236,0)+IF($H236=BM$3,$J236,0)</f>
        <v/>
      </c>
      <c r="BN236" s="47">
        <f>-IF($E236=BN$3,$G236,0)+IF($H236=BN$3,$J236,0)</f>
        <v/>
      </c>
      <c r="BO236" s="47">
        <f>-IF($E236=BO$3,$G236,0)+IF($H236=BO$3,$J236,0)</f>
        <v/>
      </c>
      <c r="BP236" s="47">
        <f>-IF($E236=BP$3,$G236,0)+IF($H236=BP$3,$J236,0)</f>
        <v/>
      </c>
      <c r="BQ236" s="47">
        <f>-IF($E236=BQ$3,$G236,0)+IF($H236=BQ$3,$J236,0)</f>
        <v/>
      </c>
      <c r="BR236" s="47">
        <f>-IF($E236=BR$3,$G236,0)+IF($H236=BR$3,$J236,0)</f>
        <v/>
      </c>
      <c r="BS236" s="47">
        <f>-IF($E236=BS$3,$G236,0)+IF($H236=BS$3,$J236,0)</f>
        <v/>
      </c>
      <c r="BT236" s="47">
        <f>-IF($E236=BT$3,$G236,0)+IF($H236=BT$3,$J236,0)</f>
        <v/>
      </c>
      <c r="BU236" s="46">
        <f>+G236-J236</f>
        <v/>
      </c>
      <c r="BV236" s="48">
        <f>-IF($E236=BV$3,$G236,0)+IF($H236=BV$3,$J236,0)</f>
        <v/>
      </c>
      <c r="BW236" s="3" t="n"/>
    </row>
    <row r="237" ht="15.75" customHeight="1" s="214">
      <c r="A237" s="7" t="n"/>
      <c r="B237" s="8" t="n"/>
      <c r="C237" s="9" t="n"/>
      <c r="D237" s="10" t="n"/>
      <c r="E237" s="247" t="n"/>
      <c r="F237" s="11">
        <f>IF(E237="","",IF(ISNA(VLOOKUP(E237,科目コード表!$C$4:$D$67,2,FALSE)),"該当科目なし",VLOOKUP(E237,科目コード表!$C$4:$D$67,2,FALSE)))</f>
        <v/>
      </c>
      <c r="G237" s="38" t="n"/>
      <c r="H237" s="248" t="n"/>
      <c r="I237" s="11">
        <f>IF(H237="","",IF(ISNA(VLOOKUP(H237,科目コード表!$C$4:$D$67,2,FALSE)),"該当科目なし",VLOOKUP(H237,科目コード表!$C$4:$D$67,2,FALSE)))</f>
        <v/>
      </c>
      <c r="J237" s="40" t="n"/>
      <c r="L237" s="46">
        <f>IF($E237=L$3,$G237,0)-IF($H237=L$3,$J237,0)</f>
        <v/>
      </c>
      <c r="M237" s="47">
        <f>IF($E237=M$3,$G237,0)-IF($H237=M$3,$J237,0)</f>
        <v/>
      </c>
      <c r="N237" s="47">
        <f>IF($E237=N$3,$G237,0)-IF($H237=N$3,$J237,0)</f>
        <v/>
      </c>
      <c r="O237" s="47">
        <f>IF($E237=O$3,$G237,0)-IF($H237=O$3,$J237,0)</f>
        <v/>
      </c>
      <c r="P237" s="47">
        <f>IF($E237=P$3,$G237,0)-IF($H237=P$3,$J237,0)</f>
        <v/>
      </c>
      <c r="Q237" s="47">
        <f>IF($E237=Q$3,$G237,0)-IF($H237=Q$3,$J237,0)</f>
        <v/>
      </c>
      <c r="R237" s="47">
        <f>IF($E237=R$3,$G237,0)-IF($H237=R$3,$J237,0)</f>
        <v/>
      </c>
      <c r="S237" s="47">
        <f>IF($E237=S$3,$G237,0)-IF($H237=S$3,$J237,0)</f>
        <v/>
      </c>
      <c r="T237" s="47">
        <f>IF($E237=T$3,$G237,0)-IF($H237=T$3,$J237,0)</f>
        <v/>
      </c>
      <c r="U237" s="47">
        <f>IF($E237=U$3,$G237,0)-IF($H237=U$3,$J237,0)</f>
        <v/>
      </c>
      <c r="V237" s="47">
        <f>IF($E237=V$3,$G237,0)-IF($H237=V$3,$J237,0)</f>
        <v/>
      </c>
      <c r="W237" s="47">
        <f>IF($E237=W$3,$G237,0)-IF($H237=W$3,$J237,0)</f>
        <v/>
      </c>
      <c r="X237" s="47">
        <f>IF($E237=X$3,$G237,0)-IF($H237=X$3,$J237,0)</f>
        <v/>
      </c>
      <c r="Y237" s="47">
        <f>IF($E237=Y$3,$G237,0)-IF($H237=Y$3,$J237,0)</f>
        <v/>
      </c>
      <c r="Z237" s="47">
        <f>IF($E237=Z$3,$G237,0)-IF($H237=Z$3,$J237,0)</f>
        <v/>
      </c>
      <c r="AA237" s="47">
        <f>IF($E237=AA$3,$G237,0)-IF($H237=AA$3,$J237,0)</f>
        <v/>
      </c>
      <c r="AB237" s="47">
        <f>IF($E237=AB$3,$G237,0)-IF($H237=AB$3,$J237,0)</f>
        <v/>
      </c>
      <c r="AC237" s="47">
        <f>IF($E237=AC$3,$G237,0)-IF($H237=AC$3,$J237,0)</f>
        <v/>
      </c>
      <c r="AD237" s="47">
        <f>IF($E237=AD$3,$G237,0)-IF($H237=AD$3,$J237,0)</f>
        <v/>
      </c>
      <c r="AE237" s="47">
        <f>IF($E237=AE$3,$G237,0)-IF($H237=AE$3,$J237,0)</f>
        <v/>
      </c>
      <c r="AF237" s="47">
        <f>IF($E237=AF$3,$G237,0)-IF($H237=AF$3,$J237,0)</f>
        <v/>
      </c>
      <c r="AG237" s="47">
        <f>IF($E237=AG$3,$G237,0)-IF($H237=AG$3,$J237,0)</f>
        <v/>
      </c>
      <c r="AH237" s="47">
        <f>IF($E237=AH$3,$G237,0)-IF($H237=AH$3,$J237,0)</f>
        <v/>
      </c>
      <c r="AI237" s="47">
        <f>IF($E237=AI$3,$G237,0)-IF($H237=AI$3,$J237,0)</f>
        <v/>
      </c>
      <c r="AJ237" s="47">
        <f>IF($E237=AJ$3,$G237,0)-IF($H237=AJ$3,$J237,0)</f>
        <v/>
      </c>
      <c r="AK237" s="47">
        <f>IF($E237=AK$3,$G237,0)-IF($H237=AK$3,$J237,0)</f>
        <v/>
      </c>
      <c r="AL237" s="48">
        <f>IF($E237=AL$3,$G237,0)-IF($H237=AL$3,$J237,0)</f>
        <v/>
      </c>
      <c r="AM237" s="46">
        <f>-IF($E237=AM$3,$G237,0)+IF($H237=AM$3,$J237,0)</f>
        <v/>
      </c>
      <c r="AN237" s="47">
        <f>-IF($E237=AN$3,$G237,0)+IF($H237=AN$3,$J237,0)</f>
        <v/>
      </c>
      <c r="AO237" s="48">
        <f>-IF($E237=AO$3,$G237,0)+IF($H237=AO$3,$J237,0)</f>
        <v/>
      </c>
      <c r="AP237" s="46">
        <f>IF($E237=AP$3,$G237,0)-IF($H237=AP$3,$J237,0)</f>
        <v/>
      </c>
      <c r="AQ237" s="47">
        <f>IF($E237=AQ$3,$G237,0)-IF($H237=AQ$3,$J237,0)</f>
        <v/>
      </c>
      <c r="AR237" s="47">
        <f>IF($E237=AR$3,$G237,0)-IF($H237=AR$3,$J237,0)</f>
        <v/>
      </c>
      <c r="AS237" s="47">
        <f>IF($E237=AS$3,$G237,0)-IF($H237=AS$3,$J237,0)</f>
        <v/>
      </c>
      <c r="AT237" s="47">
        <f>IF($E237=AT$3,$G237,0)-IF($H237=AT$3,$J237,0)</f>
        <v/>
      </c>
      <c r="AU237" s="47">
        <f>IF($E237=AU$3,$G237,0)-IF($H237=AU$3,$J237,0)</f>
        <v/>
      </c>
      <c r="AV237" s="47">
        <f>IF($E237=AV$3,$G237,0)-IF($H237=AV$3,$J237,0)</f>
        <v/>
      </c>
      <c r="AW237" s="47">
        <f>IF($E237=AW$3,$G237,0)-IF($H237=AW$3,$J237,0)</f>
        <v/>
      </c>
      <c r="AX237" s="47">
        <f>IF($E237=AX$3,$G237,0)-IF($H237=AX$3,$J237,0)</f>
        <v/>
      </c>
      <c r="AY237" s="47">
        <f>IF($E237=AY$3,$G237,0)-IF($H237=AY$3,$J237,0)</f>
        <v/>
      </c>
      <c r="AZ237" s="47">
        <f>IF($E237=AZ$3,$G237,0)-IF($H237=AZ$3,$J237,0)</f>
        <v/>
      </c>
      <c r="BA237" s="47">
        <f>IF($E237=BA$3,$G237,0)-IF($H237=BA$3,$J237,0)</f>
        <v/>
      </c>
      <c r="BB237" s="47">
        <f>IF($E237=BB$3,$G237,0)-IF($H237=BB$3,$J237,0)</f>
        <v/>
      </c>
      <c r="BC237" s="47">
        <f>IF($E237=BC$3,$G237,0)-IF($H237=BC$3,$J237,0)</f>
        <v/>
      </c>
      <c r="BD237" s="47">
        <f>IF($E237=BD$3,$G237,0)-IF($H237=BD$3,$J237,0)</f>
        <v/>
      </c>
      <c r="BE237" s="47">
        <f>IF($E237=BE$3,$G237,0)-IF($H237=BE$3,$J237,0)</f>
        <v/>
      </c>
      <c r="BF237" s="47">
        <f>IF($E237=BF$3,$G237,0)-IF($H237=BF$3,$J237,0)</f>
        <v/>
      </c>
      <c r="BG237" s="47">
        <f>IF($E237=BG$3,$G237,0)-IF($H237=BG$3,$J237,0)</f>
        <v/>
      </c>
      <c r="BH237" s="47">
        <f>IF($E237=BH$3,$G237,0)-IF($H237=BH$3,$J237,0)</f>
        <v/>
      </c>
      <c r="BI237" s="47">
        <f>IF($E237=BI$3,$G237,0)-IF($H237=BI$3,$J237,0)</f>
        <v/>
      </c>
      <c r="BJ237" s="47">
        <f>IF($E237=BJ$3,$G237,0)-IF($H237=BJ$3,$J237,0)</f>
        <v/>
      </c>
      <c r="BK237" s="47">
        <f>IF($E237=BK$3,$G237,0)-IF($H237=BK$3,$J237,0)</f>
        <v/>
      </c>
      <c r="BL237" s="46">
        <f>-IF($E237=BL$3,$G237,0)+IF($H237=BL$3,$J237,0)</f>
        <v/>
      </c>
      <c r="BM237" s="47">
        <f>-IF($E237=BM$3,$G237,0)+IF($H237=BM$3,$J237,0)</f>
        <v/>
      </c>
      <c r="BN237" s="47">
        <f>-IF($E237=BN$3,$G237,0)+IF($H237=BN$3,$J237,0)</f>
        <v/>
      </c>
      <c r="BO237" s="47">
        <f>-IF($E237=BO$3,$G237,0)+IF($H237=BO$3,$J237,0)</f>
        <v/>
      </c>
      <c r="BP237" s="47">
        <f>-IF($E237=BP$3,$G237,0)+IF($H237=BP$3,$J237,0)</f>
        <v/>
      </c>
      <c r="BQ237" s="47">
        <f>-IF($E237=BQ$3,$G237,0)+IF($H237=BQ$3,$J237,0)</f>
        <v/>
      </c>
      <c r="BR237" s="47">
        <f>-IF($E237=BR$3,$G237,0)+IF($H237=BR$3,$J237,0)</f>
        <v/>
      </c>
      <c r="BS237" s="47">
        <f>-IF($E237=BS$3,$G237,0)+IF($H237=BS$3,$J237,0)</f>
        <v/>
      </c>
      <c r="BT237" s="47">
        <f>-IF($E237=BT$3,$G237,0)+IF($H237=BT$3,$J237,0)</f>
        <v/>
      </c>
      <c r="BU237" s="46">
        <f>+G237-J237</f>
        <v/>
      </c>
      <c r="BV237" s="48">
        <f>-IF($E237=BV$3,$G237,0)+IF($H237=BV$3,$J237,0)</f>
        <v/>
      </c>
      <c r="BW237" s="3" t="n"/>
    </row>
    <row r="238" ht="15.75" customHeight="1" s="214">
      <c r="A238" s="7" t="n"/>
      <c r="B238" s="8" t="n"/>
      <c r="C238" s="9" t="n"/>
      <c r="D238" s="10" t="n"/>
      <c r="E238" s="247" t="n"/>
      <c r="F238" s="11">
        <f>IF(E238="","",IF(ISNA(VLOOKUP(E238,科目コード表!$C$4:$D$67,2,FALSE)),"該当科目なし",VLOOKUP(E238,科目コード表!$C$4:$D$67,2,FALSE)))</f>
        <v/>
      </c>
      <c r="G238" s="38" t="n"/>
      <c r="H238" s="248" t="n"/>
      <c r="I238" s="11">
        <f>IF(H238="","",IF(ISNA(VLOOKUP(H238,科目コード表!$C$4:$D$67,2,FALSE)),"該当科目なし",VLOOKUP(H238,科目コード表!$C$4:$D$67,2,FALSE)))</f>
        <v/>
      </c>
      <c r="J238" s="40" t="n"/>
      <c r="L238" s="46">
        <f>IF($E238=L$3,$G238,0)-IF($H238=L$3,$J238,0)</f>
        <v/>
      </c>
      <c r="M238" s="47">
        <f>IF($E238=M$3,$G238,0)-IF($H238=M$3,$J238,0)</f>
        <v/>
      </c>
      <c r="N238" s="47">
        <f>IF($E238=N$3,$G238,0)-IF($H238=N$3,$J238,0)</f>
        <v/>
      </c>
      <c r="O238" s="47">
        <f>IF($E238=O$3,$G238,0)-IF($H238=O$3,$J238,0)</f>
        <v/>
      </c>
      <c r="P238" s="47">
        <f>IF($E238=P$3,$G238,0)-IF($H238=P$3,$J238,0)</f>
        <v/>
      </c>
      <c r="Q238" s="47">
        <f>IF($E238=Q$3,$G238,0)-IF($H238=Q$3,$J238,0)</f>
        <v/>
      </c>
      <c r="R238" s="47">
        <f>IF($E238=R$3,$G238,0)-IF($H238=R$3,$J238,0)</f>
        <v/>
      </c>
      <c r="S238" s="47">
        <f>IF($E238=S$3,$G238,0)-IF($H238=S$3,$J238,0)</f>
        <v/>
      </c>
      <c r="T238" s="47">
        <f>IF($E238=T$3,$G238,0)-IF($H238=T$3,$J238,0)</f>
        <v/>
      </c>
      <c r="U238" s="47">
        <f>IF($E238=U$3,$G238,0)-IF($H238=U$3,$J238,0)</f>
        <v/>
      </c>
      <c r="V238" s="47">
        <f>IF($E238=V$3,$G238,0)-IF($H238=V$3,$J238,0)</f>
        <v/>
      </c>
      <c r="W238" s="47">
        <f>IF($E238=W$3,$G238,0)-IF($H238=W$3,$J238,0)</f>
        <v/>
      </c>
      <c r="X238" s="47">
        <f>IF($E238=X$3,$G238,0)-IF($H238=X$3,$J238,0)</f>
        <v/>
      </c>
      <c r="Y238" s="47">
        <f>IF($E238=Y$3,$G238,0)-IF($H238=Y$3,$J238,0)</f>
        <v/>
      </c>
      <c r="Z238" s="47">
        <f>IF($E238=Z$3,$G238,0)-IF($H238=Z$3,$J238,0)</f>
        <v/>
      </c>
      <c r="AA238" s="47">
        <f>IF($E238=AA$3,$G238,0)-IF($H238=AA$3,$J238,0)</f>
        <v/>
      </c>
      <c r="AB238" s="47">
        <f>IF($E238=AB$3,$G238,0)-IF($H238=AB$3,$J238,0)</f>
        <v/>
      </c>
      <c r="AC238" s="47">
        <f>IF($E238=AC$3,$G238,0)-IF($H238=AC$3,$J238,0)</f>
        <v/>
      </c>
      <c r="AD238" s="47">
        <f>IF($E238=AD$3,$G238,0)-IF($H238=AD$3,$J238,0)</f>
        <v/>
      </c>
      <c r="AE238" s="47">
        <f>IF($E238=AE$3,$G238,0)-IF($H238=AE$3,$J238,0)</f>
        <v/>
      </c>
      <c r="AF238" s="47">
        <f>IF($E238=AF$3,$G238,0)-IF($H238=AF$3,$J238,0)</f>
        <v/>
      </c>
      <c r="AG238" s="47">
        <f>IF($E238=AG$3,$G238,0)-IF($H238=AG$3,$J238,0)</f>
        <v/>
      </c>
      <c r="AH238" s="47">
        <f>IF($E238=AH$3,$G238,0)-IF($H238=AH$3,$J238,0)</f>
        <v/>
      </c>
      <c r="AI238" s="47">
        <f>IF($E238=AI$3,$G238,0)-IF($H238=AI$3,$J238,0)</f>
        <v/>
      </c>
      <c r="AJ238" s="47">
        <f>IF($E238=AJ$3,$G238,0)-IF($H238=AJ$3,$J238,0)</f>
        <v/>
      </c>
      <c r="AK238" s="47">
        <f>IF($E238=AK$3,$G238,0)-IF($H238=AK$3,$J238,0)</f>
        <v/>
      </c>
      <c r="AL238" s="48">
        <f>IF($E238=AL$3,$G238,0)-IF($H238=AL$3,$J238,0)</f>
        <v/>
      </c>
      <c r="AM238" s="46">
        <f>-IF($E238=AM$3,$G238,0)+IF($H238=AM$3,$J238,0)</f>
        <v/>
      </c>
      <c r="AN238" s="47">
        <f>-IF($E238=AN$3,$G238,0)+IF($H238=AN$3,$J238,0)</f>
        <v/>
      </c>
      <c r="AO238" s="48">
        <f>-IF($E238=AO$3,$G238,0)+IF($H238=AO$3,$J238,0)</f>
        <v/>
      </c>
      <c r="AP238" s="46">
        <f>IF($E238=AP$3,$G238,0)-IF($H238=AP$3,$J238,0)</f>
        <v/>
      </c>
      <c r="AQ238" s="47">
        <f>IF($E238=AQ$3,$G238,0)-IF($H238=AQ$3,$J238,0)</f>
        <v/>
      </c>
      <c r="AR238" s="47">
        <f>IF($E238=AR$3,$G238,0)-IF($H238=AR$3,$J238,0)</f>
        <v/>
      </c>
      <c r="AS238" s="47">
        <f>IF($E238=AS$3,$G238,0)-IF($H238=AS$3,$J238,0)</f>
        <v/>
      </c>
      <c r="AT238" s="47">
        <f>IF($E238=AT$3,$G238,0)-IF($H238=AT$3,$J238,0)</f>
        <v/>
      </c>
      <c r="AU238" s="47">
        <f>IF($E238=AU$3,$G238,0)-IF($H238=AU$3,$J238,0)</f>
        <v/>
      </c>
      <c r="AV238" s="47">
        <f>IF($E238=AV$3,$G238,0)-IF($H238=AV$3,$J238,0)</f>
        <v/>
      </c>
      <c r="AW238" s="47">
        <f>IF($E238=AW$3,$G238,0)-IF($H238=AW$3,$J238,0)</f>
        <v/>
      </c>
      <c r="AX238" s="47">
        <f>IF($E238=AX$3,$G238,0)-IF($H238=AX$3,$J238,0)</f>
        <v/>
      </c>
      <c r="AY238" s="47">
        <f>IF($E238=AY$3,$G238,0)-IF($H238=AY$3,$J238,0)</f>
        <v/>
      </c>
      <c r="AZ238" s="47">
        <f>IF($E238=AZ$3,$G238,0)-IF($H238=AZ$3,$J238,0)</f>
        <v/>
      </c>
      <c r="BA238" s="47">
        <f>IF($E238=BA$3,$G238,0)-IF($H238=BA$3,$J238,0)</f>
        <v/>
      </c>
      <c r="BB238" s="47">
        <f>IF($E238=BB$3,$G238,0)-IF($H238=BB$3,$J238,0)</f>
        <v/>
      </c>
      <c r="BC238" s="47">
        <f>IF($E238=BC$3,$G238,0)-IF($H238=BC$3,$J238,0)</f>
        <v/>
      </c>
      <c r="BD238" s="47">
        <f>IF($E238=BD$3,$G238,0)-IF($H238=BD$3,$J238,0)</f>
        <v/>
      </c>
      <c r="BE238" s="47">
        <f>IF($E238=BE$3,$G238,0)-IF($H238=BE$3,$J238,0)</f>
        <v/>
      </c>
      <c r="BF238" s="47">
        <f>IF($E238=BF$3,$G238,0)-IF($H238=BF$3,$J238,0)</f>
        <v/>
      </c>
      <c r="BG238" s="47">
        <f>IF($E238=BG$3,$G238,0)-IF($H238=BG$3,$J238,0)</f>
        <v/>
      </c>
      <c r="BH238" s="47">
        <f>IF($E238=BH$3,$G238,0)-IF($H238=BH$3,$J238,0)</f>
        <v/>
      </c>
      <c r="BI238" s="47">
        <f>IF($E238=BI$3,$G238,0)-IF($H238=BI$3,$J238,0)</f>
        <v/>
      </c>
      <c r="BJ238" s="47">
        <f>IF($E238=BJ$3,$G238,0)-IF($H238=BJ$3,$J238,0)</f>
        <v/>
      </c>
      <c r="BK238" s="47">
        <f>IF($E238=BK$3,$G238,0)-IF($H238=BK$3,$J238,0)</f>
        <v/>
      </c>
      <c r="BL238" s="46">
        <f>-IF($E238=BL$3,$G238,0)+IF($H238=BL$3,$J238,0)</f>
        <v/>
      </c>
      <c r="BM238" s="47">
        <f>-IF($E238=BM$3,$G238,0)+IF($H238=BM$3,$J238,0)</f>
        <v/>
      </c>
      <c r="BN238" s="47">
        <f>-IF($E238=BN$3,$G238,0)+IF($H238=BN$3,$J238,0)</f>
        <v/>
      </c>
      <c r="BO238" s="47">
        <f>-IF($E238=BO$3,$G238,0)+IF($H238=BO$3,$J238,0)</f>
        <v/>
      </c>
      <c r="BP238" s="47">
        <f>-IF($E238=BP$3,$G238,0)+IF($H238=BP$3,$J238,0)</f>
        <v/>
      </c>
      <c r="BQ238" s="47">
        <f>-IF($E238=BQ$3,$G238,0)+IF($H238=BQ$3,$J238,0)</f>
        <v/>
      </c>
      <c r="BR238" s="47">
        <f>-IF($E238=BR$3,$G238,0)+IF($H238=BR$3,$J238,0)</f>
        <v/>
      </c>
      <c r="BS238" s="47">
        <f>-IF($E238=BS$3,$G238,0)+IF($H238=BS$3,$J238,0)</f>
        <v/>
      </c>
      <c r="BT238" s="47">
        <f>-IF($E238=BT$3,$G238,0)+IF($H238=BT$3,$J238,0)</f>
        <v/>
      </c>
      <c r="BU238" s="46">
        <f>+G238-J238</f>
        <v/>
      </c>
      <c r="BV238" s="48">
        <f>-IF($E238=BV$3,$G238,0)+IF($H238=BV$3,$J238,0)</f>
        <v/>
      </c>
      <c r="BW238" s="3" t="n"/>
    </row>
    <row r="239" ht="15.75" customHeight="1" s="214">
      <c r="A239" s="7" t="n"/>
      <c r="B239" s="8" t="n"/>
      <c r="C239" s="9" t="n"/>
      <c r="D239" s="10" t="n"/>
      <c r="E239" s="247" t="n"/>
      <c r="F239" s="11">
        <f>IF(E239="","",IF(ISNA(VLOOKUP(E239,科目コード表!$C$4:$D$67,2,FALSE)),"該当科目なし",VLOOKUP(E239,科目コード表!$C$4:$D$67,2,FALSE)))</f>
        <v/>
      </c>
      <c r="G239" s="38" t="n"/>
      <c r="H239" s="248" t="n"/>
      <c r="I239" s="11">
        <f>IF(H239="","",IF(ISNA(VLOOKUP(H239,科目コード表!$C$4:$D$67,2,FALSE)),"該当科目なし",VLOOKUP(H239,科目コード表!$C$4:$D$67,2,FALSE)))</f>
        <v/>
      </c>
      <c r="J239" s="40" t="n"/>
      <c r="L239" s="46">
        <f>IF($E239=L$3,$G239,0)-IF($H239=L$3,$J239,0)</f>
        <v/>
      </c>
      <c r="M239" s="47">
        <f>IF($E239=M$3,$G239,0)-IF($H239=M$3,$J239,0)</f>
        <v/>
      </c>
      <c r="N239" s="47">
        <f>IF($E239=N$3,$G239,0)-IF($H239=N$3,$J239,0)</f>
        <v/>
      </c>
      <c r="O239" s="47">
        <f>IF($E239=O$3,$G239,0)-IF($H239=O$3,$J239,0)</f>
        <v/>
      </c>
      <c r="P239" s="47">
        <f>IF($E239=P$3,$G239,0)-IF($H239=P$3,$J239,0)</f>
        <v/>
      </c>
      <c r="Q239" s="47">
        <f>IF($E239=Q$3,$G239,0)-IF($H239=Q$3,$J239,0)</f>
        <v/>
      </c>
      <c r="R239" s="47">
        <f>IF($E239=R$3,$G239,0)-IF($H239=R$3,$J239,0)</f>
        <v/>
      </c>
      <c r="S239" s="47">
        <f>IF($E239=S$3,$G239,0)-IF($H239=S$3,$J239,0)</f>
        <v/>
      </c>
      <c r="T239" s="47">
        <f>IF($E239=T$3,$G239,0)-IF($H239=T$3,$J239,0)</f>
        <v/>
      </c>
      <c r="U239" s="47">
        <f>IF($E239=U$3,$G239,0)-IF($H239=U$3,$J239,0)</f>
        <v/>
      </c>
      <c r="V239" s="47">
        <f>IF($E239=V$3,$G239,0)-IF($H239=V$3,$J239,0)</f>
        <v/>
      </c>
      <c r="W239" s="47">
        <f>IF($E239=W$3,$G239,0)-IF($H239=W$3,$J239,0)</f>
        <v/>
      </c>
      <c r="X239" s="47">
        <f>IF($E239=X$3,$G239,0)-IF($H239=X$3,$J239,0)</f>
        <v/>
      </c>
      <c r="Y239" s="47">
        <f>IF($E239=Y$3,$G239,0)-IF($H239=Y$3,$J239,0)</f>
        <v/>
      </c>
      <c r="Z239" s="47">
        <f>IF($E239=Z$3,$G239,0)-IF($H239=Z$3,$J239,0)</f>
        <v/>
      </c>
      <c r="AA239" s="47">
        <f>IF($E239=AA$3,$G239,0)-IF($H239=AA$3,$J239,0)</f>
        <v/>
      </c>
      <c r="AB239" s="47">
        <f>IF($E239=AB$3,$G239,0)-IF($H239=AB$3,$J239,0)</f>
        <v/>
      </c>
      <c r="AC239" s="47">
        <f>IF($E239=AC$3,$G239,0)-IF($H239=AC$3,$J239,0)</f>
        <v/>
      </c>
      <c r="AD239" s="47">
        <f>IF($E239=AD$3,$G239,0)-IF($H239=AD$3,$J239,0)</f>
        <v/>
      </c>
      <c r="AE239" s="47">
        <f>IF($E239=AE$3,$G239,0)-IF($H239=AE$3,$J239,0)</f>
        <v/>
      </c>
      <c r="AF239" s="47">
        <f>IF($E239=AF$3,$G239,0)-IF($H239=AF$3,$J239,0)</f>
        <v/>
      </c>
      <c r="AG239" s="47">
        <f>IF($E239=AG$3,$G239,0)-IF($H239=AG$3,$J239,0)</f>
        <v/>
      </c>
      <c r="AH239" s="47">
        <f>IF($E239=AH$3,$G239,0)-IF($H239=AH$3,$J239,0)</f>
        <v/>
      </c>
      <c r="AI239" s="47">
        <f>IF($E239=AI$3,$G239,0)-IF($H239=AI$3,$J239,0)</f>
        <v/>
      </c>
      <c r="AJ239" s="47">
        <f>IF($E239=AJ$3,$G239,0)-IF($H239=AJ$3,$J239,0)</f>
        <v/>
      </c>
      <c r="AK239" s="47">
        <f>IF($E239=AK$3,$G239,0)-IF($H239=AK$3,$J239,0)</f>
        <v/>
      </c>
      <c r="AL239" s="48">
        <f>IF($E239=AL$3,$G239,0)-IF($H239=AL$3,$J239,0)</f>
        <v/>
      </c>
      <c r="AM239" s="46">
        <f>-IF($E239=AM$3,$G239,0)+IF($H239=AM$3,$J239,0)</f>
        <v/>
      </c>
      <c r="AN239" s="47">
        <f>-IF($E239=AN$3,$G239,0)+IF($H239=AN$3,$J239,0)</f>
        <v/>
      </c>
      <c r="AO239" s="48">
        <f>-IF($E239=AO$3,$G239,0)+IF($H239=AO$3,$J239,0)</f>
        <v/>
      </c>
      <c r="AP239" s="46">
        <f>IF($E239=AP$3,$G239,0)-IF($H239=AP$3,$J239,0)</f>
        <v/>
      </c>
      <c r="AQ239" s="47">
        <f>IF($E239=AQ$3,$G239,0)-IF($H239=AQ$3,$J239,0)</f>
        <v/>
      </c>
      <c r="AR239" s="47">
        <f>IF($E239=AR$3,$G239,0)-IF($H239=AR$3,$J239,0)</f>
        <v/>
      </c>
      <c r="AS239" s="47">
        <f>IF($E239=AS$3,$G239,0)-IF($H239=AS$3,$J239,0)</f>
        <v/>
      </c>
      <c r="AT239" s="47">
        <f>IF($E239=AT$3,$G239,0)-IF($H239=AT$3,$J239,0)</f>
        <v/>
      </c>
      <c r="AU239" s="47">
        <f>IF($E239=AU$3,$G239,0)-IF($H239=AU$3,$J239,0)</f>
        <v/>
      </c>
      <c r="AV239" s="47">
        <f>IF($E239=AV$3,$G239,0)-IF($H239=AV$3,$J239,0)</f>
        <v/>
      </c>
      <c r="AW239" s="47">
        <f>IF($E239=AW$3,$G239,0)-IF($H239=AW$3,$J239,0)</f>
        <v/>
      </c>
      <c r="AX239" s="47">
        <f>IF($E239=AX$3,$G239,0)-IF($H239=AX$3,$J239,0)</f>
        <v/>
      </c>
      <c r="AY239" s="47">
        <f>IF($E239=AY$3,$G239,0)-IF($H239=AY$3,$J239,0)</f>
        <v/>
      </c>
      <c r="AZ239" s="47">
        <f>IF($E239=AZ$3,$G239,0)-IF($H239=AZ$3,$J239,0)</f>
        <v/>
      </c>
      <c r="BA239" s="47">
        <f>IF($E239=BA$3,$G239,0)-IF($H239=BA$3,$J239,0)</f>
        <v/>
      </c>
      <c r="BB239" s="47">
        <f>IF($E239=BB$3,$G239,0)-IF($H239=BB$3,$J239,0)</f>
        <v/>
      </c>
      <c r="BC239" s="47">
        <f>IF($E239=BC$3,$G239,0)-IF($H239=BC$3,$J239,0)</f>
        <v/>
      </c>
      <c r="BD239" s="47">
        <f>IF($E239=BD$3,$G239,0)-IF($H239=BD$3,$J239,0)</f>
        <v/>
      </c>
      <c r="BE239" s="47">
        <f>IF($E239=BE$3,$G239,0)-IF($H239=BE$3,$J239,0)</f>
        <v/>
      </c>
      <c r="BF239" s="47">
        <f>IF($E239=BF$3,$G239,0)-IF($H239=BF$3,$J239,0)</f>
        <v/>
      </c>
      <c r="BG239" s="47">
        <f>IF($E239=BG$3,$G239,0)-IF($H239=BG$3,$J239,0)</f>
        <v/>
      </c>
      <c r="BH239" s="47">
        <f>IF($E239=BH$3,$G239,0)-IF($H239=BH$3,$J239,0)</f>
        <v/>
      </c>
      <c r="BI239" s="47">
        <f>IF($E239=BI$3,$G239,0)-IF($H239=BI$3,$J239,0)</f>
        <v/>
      </c>
      <c r="BJ239" s="47">
        <f>IF($E239=BJ$3,$G239,0)-IF($H239=BJ$3,$J239,0)</f>
        <v/>
      </c>
      <c r="BK239" s="47">
        <f>IF($E239=BK$3,$G239,0)-IF($H239=BK$3,$J239,0)</f>
        <v/>
      </c>
      <c r="BL239" s="46">
        <f>-IF($E239=BL$3,$G239,0)+IF($H239=BL$3,$J239,0)</f>
        <v/>
      </c>
      <c r="BM239" s="47">
        <f>-IF($E239=BM$3,$G239,0)+IF($H239=BM$3,$J239,0)</f>
        <v/>
      </c>
      <c r="BN239" s="47">
        <f>-IF($E239=BN$3,$G239,0)+IF($H239=BN$3,$J239,0)</f>
        <v/>
      </c>
      <c r="BO239" s="47">
        <f>-IF($E239=BO$3,$G239,0)+IF($H239=BO$3,$J239,0)</f>
        <v/>
      </c>
      <c r="BP239" s="47">
        <f>-IF($E239=BP$3,$G239,0)+IF($H239=BP$3,$J239,0)</f>
        <v/>
      </c>
      <c r="BQ239" s="47">
        <f>-IF($E239=BQ$3,$G239,0)+IF($H239=BQ$3,$J239,0)</f>
        <v/>
      </c>
      <c r="BR239" s="47">
        <f>-IF($E239=BR$3,$G239,0)+IF($H239=BR$3,$J239,0)</f>
        <v/>
      </c>
      <c r="BS239" s="47">
        <f>-IF($E239=BS$3,$G239,0)+IF($H239=BS$3,$J239,0)</f>
        <v/>
      </c>
      <c r="BT239" s="47">
        <f>-IF($E239=BT$3,$G239,0)+IF($H239=BT$3,$J239,0)</f>
        <v/>
      </c>
      <c r="BU239" s="46">
        <f>+G239-J239</f>
        <v/>
      </c>
      <c r="BV239" s="48">
        <f>-IF($E239=BV$3,$G239,0)+IF($H239=BV$3,$J239,0)</f>
        <v/>
      </c>
      <c r="BW239" s="3" t="n"/>
    </row>
    <row r="240" ht="15.75" customHeight="1" s="214">
      <c r="A240" s="7" t="n"/>
      <c r="B240" s="8" t="n"/>
      <c r="C240" s="9" t="n"/>
      <c r="D240" s="10" t="n"/>
      <c r="E240" s="247" t="n"/>
      <c r="F240" s="11">
        <f>IF(E240="","",IF(ISNA(VLOOKUP(E240,科目コード表!$C$4:$D$67,2,FALSE)),"該当科目なし",VLOOKUP(E240,科目コード表!$C$4:$D$67,2,FALSE)))</f>
        <v/>
      </c>
      <c r="G240" s="38" t="n"/>
      <c r="H240" s="248" t="n"/>
      <c r="I240" s="11">
        <f>IF(H240="","",IF(ISNA(VLOOKUP(H240,科目コード表!$C$4:$D$67,2,FALSE)),"該当科目なし",VLOOKUP(H240,科目コード表!$C$4:$D$67,2,FALSE)))</f>
        <v/>
      </c>
      <c r="J240" s="40" t="n"/>
      <c r="L240" s="46">
        <f>IF($E240=L$3,$G240,0)-IF($H240=L$3,$J240,0)</f>
        <v/>
      </c>
      <c r="M240" s="47">
        <f>IF($E240=M$3,$G240,0)-IF($H240=M$3,$J240,0)</f>
        <v/>
      </c>
      <c r="N240" s="47">
        <f>IF($E240=N$3,$G240,0)-IF($H240=N$3,$J240,0)</f>
        <v/>
      </c>
      <c r="O240" s="47">
        <f>IF($E240=O$3,$G240,0)-IF($H240=O$3,$J240,0)</f>
        <v/>
      </c>
      <c r="P240" s="47">
        <f>IF($E240=P$3,$G240,0)-IF($H240=P$3,$J240,0)</f>
        <v/>
      </c>
      <c r="Q240" s="47">
        <f>IF($E240=Q$3,$G240,0)-IF($H240=Q$3,$J240,0)</f>
        <v/>
      </c>
      <c r="R240" s="47">
        <f>IF($E240=R$3,$G240,0)-IF($H240=R$3,$J240,0)</f>
        <v/>
      </c>
      <c r="S240" s="47">
        <f>IF($E240=S$3,$G240,0)-IF($H240=S$3,$J240,0)</f>
        <v/>
      </c>
      <c r="T240" s="47">
        <f>IF($E240=T$3,$G240,0)-IF($H240=T$3,$J240,0)</f>
        <v/>
      </c>
      <c r="U240" s="47">
        <f>IF($E240=U$3,$G240,0)-IF($H240=U$3,$J240,0)</f>
        <v/>
      </c>
      <c r="V240" s="47">
        <f>IF($E240=V$3,$G240,0)-IF($H240=V$3,$J240,0)</f>
        <v/>
      </c>
      <c r="W240" s="47">
        <f>IF($E240=W$3,$G240,0)-IF($H240=W$3,$J240,0)</f>
        <v/>
      </c>
      <c r="X240" s="47">
        <f>IF($E240=X$3,$G240,0)-IF($H240=X$3,$J240,0)</f>
        <v/>
      </c>
      <c r="Y240" s="47">
        <f>IF($E240=Y$3,$G240,0)-IF($H240=Y$3,$J240,0)</f>
        <v/>
      </c>
      <c r="Z240" s="47">
        <f>IF($E240=Z$3,$G240,0)-IF($H240=Z$3,$J240,0)</f>
        <v/>
      </c>
      <c r="AA240" s="47">
        <f>IF($E240=AA$3,$G240,0)-IF($H240=AA$3,$J240,0)</f>
        <v/>
      </c>
      <c r="AB240" s="47">
        <f>IF($E240=AB$3,$G240,0)-IF($H240=AB$3,$J240,0)</f>
        <v/>
      </c>
      <c r="AC240" s="47">
        <f>IF($E240=AC$3,$G240,0)-IF($H240=AC$3,$J240,0)</f>
        <v/>
      </c>
      <c r="AD240" s="47">
        <f>IF($E240=AD$3,$G240,0)-IF($H240=AD$3,$J240,0)</f>
        <v/>
      </c>
      <c r="AE240" s="47">
        <f>IF($E240=AE$3,$G240,0)-IF($H240=AE$3,$J240,0)</f>
        <v/>
      </c>
      <c r="AF240" s="47">
        <f>IF($E240=AF$3,$G240,0)-IF($H240=AF$3,$J240,0)</f>
        <v/>
      </c>
      <c r="AG240" s="47">
        <f>IF($E240=AG$3,$G240,0)-IF($H240=AG$3,$J240,0)</f>
        <v/>
      </c>
      <c r="AH240" s="47">
        <f>IF($E240=AH$3,$G240,0)-IF($H240=AH$3,$J240,0)</f>
        <v/>
      </c>
      <c r="AI240" s="47">
        <f>IF($E240=AI$3,$G240,0)-IF($H240=AI$3,$J240,0)</f>
        <v/>
      </c>
      <c r="AJ240" s="47">
        <f>IF($E240=AJ$3,$G240,0)-IF($H240=AJ$3,$J240,0)</f>
        <v/>
      </c>
      <c r="AK240" s="47">
        <f>IF($E240=AK$3,$G240,0)-IF($H240=AK$3,$J240,0)</f>
        <v/>
      </c>
      <c r="AL240" s="48">
        <f>IF($E240=AL$3,$G240,0)-IF($H240=AL$3,$J240,0)</f>
        <v/>
      </c>
      <c r="AM240" s="46">
        <f>-IF($E240=AM$3,$G240,0)+IF($H240=AM$3,$J240,0)</f>
        <v/>
      </c>
      <c r="AN240" s="47">
        <f>-IF($E240=AN$3,$G240,0)+IF($H240=AN$3,$J240,0)</f>
        <v/>
      </c>
      <c r="AO240" s="48">
        <f>-IF($E240=AO$3,$G240,0)+IF($H240=AO$3,$J240,0)</f>
        <v/>
      </c>
      <c r="AP240" s="46">
        <f>IF($E240=AP$3,$G240,0)-IF($H240=AP$3,$J240,0)</f>
        <v/>
      </c>
      <c r="AQ240" s="47">
        <f>IF($E240=AQ$3,$G240,0)-IF($H240=AQ$3,$J240,0)</f>
        <v/>
      </c>
      <c r="AR240" s="47">
        <f>IF($E240=AR$3,$G240,0)-IF($H240=AR$3,$J240,0)</f>
        <v/>
      </c>
      <c r="AS240" s="47">
        <f>IF($E240=AS$3,$G240,0)-IF($H240=AS$3,$J240,0)</f>
        <v/>
      </c>
      <c r="AT240" s="47">
        <f>IF($E240=AT$3,$G240,0)-IF($H240=AT$3,$J240,0)</f>
        <v/>
      </c>
      <c r="AU240" s="47">
        <f>IF($E240=AU$3,$G240,0)-IF($H240=AU$3,$J240,0)</f>
        <v/>
      </c>
      <c r="AV240" s="47">
        <f>IF($E240=AV$3,$G240,0)-IF($H240=AV$3,$J240,0)</f>
        <v/>
      </c>
      <c r="AW240" s="47">
        <f>IF($E240=AW$3,$G240,0)-IF($H240=AW$3,$J240,0)</f>
        <v/>
      </c>
      <c r="AX240" s="47">
        <f>IF($E240=AX$3,$G240,0)-IF($H240=AX$3,$J240,0)</f>
        <v/>
      </c>
      <c r="AY240" s="47">
        <f>IF($E240=AY$3,$G240,0)-IF($H240=AY$3,$J240,0)</f>
        <v/>
      </c>
      <c r="AZ240" s="47">
        <f>IF($E240=AZ$3,$G240,0)-IF($H240=AZ$3,$J240,0)</f>
        <v/>
      </c>
      <c r="BA240" s="47">
        <f>IF($E240=BA$3,$G240,0)-IF($H240=BA$3,$J240,0)</f>
        <v/>
      </c>
      <c r="BB240" s="47">
        <f>IF($E240=BB$3,$G240,0)-IF($H240=BB$3,$J240,0)</f>
        <v/>
      </c>
      <c r="BC240" s="47">
        <f>IF($E240=BC$3,$G240,0)-IF($H240=BC$3,$J240,0)</f>
        <v/>
      </c>
      <c r="BD240" s="47">
        <f>IF($E240=BD$3,$G240,0)-IF($H240=BD$3,$J240,0)</f>
        <v/>
      </c>
      <c r="BE240" s="47">
        <f>IF($E240=BE$3,$G240,0)-IF($H240=BE$3,$J240,0)</f>
        <v/>
      </c>
      <c r="BF240" s="47">
        <f>IF($E240=BF$3,$G240,0)-IF($H240=BF$3,$J240,0)</f>
        <v/>
      </c>
      <c r="BG240" s="47">
        <f>IF($E240=BG$3,$G240,0)-IF($H240=BG$3,$J240,0)</f>
        <v/>
      </c>
      <c r="BH240" s="47">
        <f>IF($E240=BH$3,$G240,0)-IF($H240=BH$3,$J240,0)</f>
        <v/>
      </c>
      <c r="BI240" s="47">
        <f>IF($E240=BI$3,$G240,0)-IF($H240=BI$3,$J240,0)</f>
        <v/>
      </c>
      <c r="BJ240" s="47">
        <f>IF($E240=BJ$3,$G240,0)-IF($H240=BJ$3,$J240,0)</f>
        <v/>
      </c>
      <c r="BK240" s="47">
        <f>IF($E240=BK$3,$G240,0)-IF($H240=BK$3,$J240,0)</f>
        <v/>
      </c>
      <c r="BL240" s="46">
        <f>-IF($E240=BL$3,$G240,0)+IF($H240=BL$3,$J240,0)</f>
        <v/>
      </c>
      <c r="BM240" s="47">
        <f>-IF($E240=BM$3,$G240,0)+IF($H240=BM$3,$J240,0)</f>
        <v/>
      </c>
      <c r="BN240" s="47">
        <f>-IF($E240=BN$3,$G240,0)+IF($H240=BN$3,$J240,0)</f>
        <v/>
      </c>
      <c r="BO240" s="47">
        <f>-IF($E240=BO$3,$G240,0)+IF($H240=BO$3,$J240,0)</f>
        <v/>
      </c>
      <c r="BP240" s="47">
        <f>-IF($E240=BP$3,$G240,0)+IF($H240=BP$3,$J240,0)</f>
        <v/>
      </c>
      <c r="BQ240" s="47">
        <f>-IF($E240=BQ$3,$G240,0)+IF($H240=BQ$3,$J240,0)</f>
        <v/>
      </c>
      <c r="BR240" s="47">
        <f>-IF($E240=BR$3,$G240,0)+IF($H240=BR$3,$J240,0)</f>
        <v/>
      </c>
      <c r="BS240" s="47">
        <f>-IF($E240=BS$3,$G240,0)+IF($H240=BS$3,$J240,0)</f>
        <v/>
      </c>
      <c r="BT240" s="47">
        <f>-IF($E240=BT$3,$G240,0)+IF($H240=BT$3,$J240,0)</f>
        <v/>
      </c>
      <c r="BU240" s="46">
        <f>+G240-J240</f>
        <v/>
      </c>
      <c r="BV240" s="48">
        <f>-IF($E240=BV$3,$G240,0)+IF($H240=BV$3,$J240,0)</f>
        <v/>
      </c>
      <c r="BW240" s="3" t="n"/>
    </row>
    <row r="241" ht="15.75" customHeight="1" s="214">
      <c r="A241" s="7" t="n"/>
      <c r="B241" s="8" t="n"/>
      <c r="C241" s="9" t="n"/>
      <c r="D241" s="10" t="n"/>
      <c r="E241" s="247" t="n"/>
      <c r="F241" s="11">
        <f>IF(E241="","",IF(ISNA(VLOOKUP(E241,科目コード表!$C$4:$D$67,2,FALSE)),"該当科目なし",VLOOKUP(E241,科目コード表!$C$4:$D$67,2,FALSE)))</f>
        <v/>
      </c>
      <c r="G241" s="38" t="n"/>
      <c r="H241" s="248" t="n"/>
      <c r="I241" s="11">
        <f>IF(H241="","",IF(ISNA(VLOOKUP(H241,科目コード表!$C$4:$D$67,2,FALSE)),"該当科目なし",VLOOKUP(H241,科目コード表!$C$4:$D$67,2,FALSE)))</f>
        <v/>
      </c>
      <c r="J241" s="40" t="n"/>
      <c r="L241" s="46">
        <f>IF($E241=L$3,$G241,0)-IF($H241=L$3,$J241,0)</f>
        <v/>
      </c>
      <c r="M241" s="47">
        <f>IF($E241=M$3,$G241,0)-IF($H241=M$3,$J241,0)</f>
        <v/>
      </c>
      <c r="N241" s="47">
        <f>IF($E241=N$3,$G241,0)-IF($H241=N$3,$J241,0)</f>
        <v/>
      </c>
      <c r="O241" s="47">
        <f>IF($E241=O$3,$G241,0)-IF($H241=O$3,$J241,0)</f>
        <v/>
      </c>
      <c r="P241" s="47">
        <f>IF($E241=P$3,$G241,0)-IF($H241=P$3,$J241,0)</f>
        <v/>
      </c>
      <c r="Q241" s="47">
        <f>IF($E241=Q$3,$G241,0)-IF($H241=Q$3,$J241,0)</f>
        <v/>
      </c>
      <c r="R241" s="47">
        <f>IF($E241=R$3,$G241,0)-IF($H241=R$3,$J241,0)</f>
        <v/>
      </c>
      <c r="S241" s="47">
        <f>IF($E241=S$3,$G241,0)-IF($H241=S$3,$J241,0)</f>
        <v/>
      </c>
      <c r="T241" s="47">
        <f>IF($E241=T$3,$G241,0)-IF($H241=T$3,$J241,0)</f>
        <v/>
      </c>
      <c r="U241" s="47">
        <f>IF($E241=U$3,$G241,0)-IF($H241=U$3,$J241,0)</f>
        <v/>
      </c>
      <c r="V241" s="47">
        <f>IF($E241=V$3,$G241,0)-IF($H241=V$3,$J241,0)</f>
        <v/>
      </c>
      <c r="W241" s="47">
        <f>IF($E241=W$3,$G241,0)-IF($H241=W$3,$J241,0)</f>
        <v/>
      </c>
      <c r="X241" s="47">
        <f>IF($E241=X$3,$G241,0)-IF($H241=X$3,$J241,0)</f>
        <v/>
      </c>
      <c r="Y241" s="47">
        <f>IF($E241=Y$3,$G241,0)-IF($H241=Y$3,$J241,0)</f>
        <v/>
      </c>
      <c r="Z241" s="47">
        <f>IF($E241=Z$3,$G241,0)-IF($H241=Z$3,$J241,0)</f>
        <v/>
      </c>
      <c r="AA241" s="47">
        <f>IF($E241=AA$3,$G241,0)-IF($H241=AA$3,$J241,0)</f>
        <v/>
      </c>
      <c r="AB241" s="47">
        <f>IF($E241=AB$3,$G241,0)-IF($H241=AB$3,$J241,0)</f>
        <v/>
      </c>
      <c r="AC241" s="47">
        <f>IF($E241=AC$3,$G241,0)-IF($H241=AC$3,$J241,0)</f>
        <v/>
      </c>
      <c r="AD241" s="47">
        <f>IF($E241=AD$3,$G241,0)-IF($H241=AD$3,$J241,0)</f>
        <v/>
      </c>
      <c r="AE241" s="47">
        <f>IF($E241=AE$3,$G241,0)-IF($H241=AE$3,$J241,0)</f>
        <v/>
      </c>
      <c r="AF241" s="47">
        <f>IF($E241=AF$3,$G241,0)-IF($H241=AF$3,$J241,0)</f>
        <v/>
      </c>
      <c r="AG241" s="47">
        <f>IF($E241=AG$3,$G241,0)-IF($H241=AG$3,$J241,0)</f>
        <v/>
      </c>
      <c r="AH241" s="47">
        <f>IF($E241=AH$3,$G241,0)-IF($H241=AH$3,$J241,0)</f>
        <v/>
      </c>
      <c r="AI241" s="47">
        <f>IF($E241=AI$3,$G241,0)-IF($H241=AI$3,$J241,0)</f>
        <v/>
      </c>
      <c r="AJ241" s="47">
        <f>IF($E241=AJ$3,$G241,0)-IF($H241=AJ$3,$J241,0)</f>
        <v/>
      </c>
      <c r="AK241" s="47">
        <f>IF($E241=AK$3,$G241,0)-IF($H241=AK$3,$J241,0)</f>
        <v/>
      </c>
      <c r="AL241" s="48">
        <f>IF($E241=AL$3,$G241,0)-IF($H241=AL$3,$J241,0)</f>
        <v/>
      </c>
      <c r="AM241" s="46">
        <f>-IF($E241=AM$3,$G241,0)+IF($H241=AM$3,$J241,0)</f>
        <v/>
      </c>
      <c r="AN241" s="47">
        <f>-IF($E241=AN$3,$G241,0)+IF($H241=AN$3,$J241,0)</f>
        <v/>
      </c>
      <c r="AO241" s="48">
        <f>-IF($E241=AO$3,$G241,0)+IF($H241=AO$3,$J241,0)</f>
        <v/>
      </c>
      <c r="AP241" s="46">
        <f>IF($E241=AP$3,$G241,0)-IF($H241=AP$3,$J241,0)</f>
        <v/>
      </c>
      <c r="AQ241" s="47">
        <f>IF($E241=AQ$3,$G241,0)-IF($H241=AQ$3,$J241,0)</f>
        <v/>
      </c>
      <c r="AR241" s="47">
        <f>IF($E241=AR$3,$G241,0)-IF($H241=AR$3,$J241,0)</f>
        <v/>
      </c>
      <c r="AS241" s="47">
        <f>IF($E241=AS$3,$G241,0)-IF($H241=AS$3,$J241,0)</f>
        <v/>
      </c>
      <c r="AT241" s="47">
        <f>IF($E241=AT$3,$G241,0)-IF($H241=AT$3,$J241,0)</f>
        <v/>
      </c>
      <c r="AU241" s="47">
        <f>IF($E241=AU$3,$G241,0)-IF($H241=AU$3,$J241,0)</f>
        <v/>
      </c>
      <c r="AV241" s="47">
        <f>IF($E241=AV$3,$G241,0)-IF($H241=AV$3,$J241,0)</f>
        <v/>
      </c>
      <c r="AW241" s="47">
        <f>IF($E241=AW$3,$G241,0)-IF($H241=AW$3,$J241,0)</f>
        <v/>
      </c>
      <c r="AX241" s="47">
        <f>IF($E241=AX$3,$G241,0)-IF($H241=AX$3,$J241,0)</f>
        <v/>
      </c>
      <c r="AY241" s="47">
        <f>IF($E241=AY$3,$G241,0)-IF($H241=AY$3,$J241,0)</f>
        <v/>
      </c>
      <c r="AZ241" s="47">
        <f>IF($E241=AZ$3,$G241,0)-IF($H241=AZ$3,$J241,0)</f>
        <v/>
      </c>
      <c r="BA241" s="47">
        <f>IF($E241=BA$3,$G241,0)-IF($H241=BA$3,$J241,0)</f>
        <v/>
      </c>
      <c r="BB241" s="47">
        <f>IF($E241=BB$3,$G241,0)-IF($H241=BB$3,$J241,0)</f>
        <v/>
      </c>
      <c r="BC241" s="47">
        <f>IF($E241=BC$3,$G241,0)-IF($H241=BC$3,$J241,0)</f>
        <v/>
      </c>
      <c r="BD241" s="47">
        <f>IF($E241=BD$3,$G241,0)-IF($H241=BD$3,$J241,0)</f>
        <v/>
      </c>
      <c r="BE241" s="47">
        <f>IF($E241=BE$3,$G241,0)-IF($H241=BE$3,$J241,0)</f>
        <v/>
      </c>
      <c r="BF241" s="47">
        <f>IF($E241=BF$3,$G241,0)-IF($H241=BF$3,$J241,0)</f>
        <v/>
      </c>
      <c r="BG241" s="47">
        <f>IF($E241=BG$3,$G241,0)-IF($H241=BG$3,$J241,0)</f>
        <v/>
      </c>
      <c r="BH241" s="47">
        <f>IF($E241=BH$3,$G241,0)-IF($H241=BH$3,$J241,0)</f>
        <v/>
      </c>
      <c r="BI241" s="47">
        <f>IF($E241=BI$3,$G241,0)-IF($H241=BI$3,$J241,0)</f>
        <v/>
      </c>
      <c r="BJ241" s="47">
        <f>IF($E241=BJ$3,$G241,0)-IF($H241=BJ$3,$J241,0)</f>
        <v/>
      </c>
      <c r="BK241" s="47">
        <f>IF($E241=BK$3,$G241,0)-IF($H241=BK$3,$J241,0)</f>
        <v/>
      </c>
      <c r="BL241" s="46">
        <f>-IF($E241=BL$3,$G241,0)+IF($H241=BL$3,$J241,0)</f>
        <v/>
      </c>
      <c r="BM241" s="47">
        <f>-IF($E241=BM$3,$G241,0)+IF($H241=BM$3,$J241,0)</f>
        <v/>
      </c>
      <c r="BN241" s="47">
        <f>-IF($E241=BN$3,$G241,0)+IF($H241=BN$3,$J241,0)</f>
        <v/>
      </c>
      <c r="BO241" s="47">
        <f>-IF($E241=BO$3,$G241,0)+IF($H241=BO$3,$J241,0)</f>
        <v/>
      </c>
      <c r="BP241" s="47">
        <f>-IF($E241=BP$3,$G241,0)+IF($H241=BP$3,$J241,0)</f>
        <v/>
      </c>
      <c r="BQ241" s="47">
        <f>-IF($E241=BQ$3,$G241,0)+IF($H241=BQ$3,$J241,0)</f>
        <v/>
      </c>
      <c r="BR241" s="47">
        <f>-IF($E241=BR$3,$G241,0)+IF($H241=BR$3,$J241,0)</f>
        <v/>
      </c>
      <c r="BS241" s="47">
        <f>-IF($E241=BS$3,$G241,0)+IF($H241=BS$3,$J241,0)</f>
        <v/>
      </c>
      <c r="BT241" s="47">
        <f>-IF($E241=BT$3,$G241,0)+IF($H241=BT$3,$J241,0)</f>
        <v/>
      </c>
      <c r="BU241" s="46">
        <f>+G241-J241</f>
        <v/>
      </c>
      <c r="BV241" s="48">
        <f>-IF($E241=BV$3,$G241,0)+IF($H241=BV$3,$J241,0)</f>
        <v/>
      </c>
      <c r="BW241" s="3" t="n"/>
    </row>
    <row r="242" ht="15.75" customHeight="1" s="214">
      <c r="A242" s="7" t="n"/>
      <c r="B242" s="8" t="n"/>
      <c r="C242" s="9" t="n"/>
      <c r="D242" s="10" t="n"/>
      <c r="E242" s="247" t="n"/>
      <c r="F242" s="11">
        <f>IF(E242="","",IF(ISNA(VLOOKUP(E242,科目コード表!$C$4:$D$67,2,FALSE)),"該当科目なし",VLOOKUP(E242,科目コード表!$C$4:$D$67,2,FALSE)))</f>
        <v/>
      </c>
      <c r="G242" s="38" t="n"/>
      <c r="H242" s="248" t="n"/>
      <c r="I242" s="11">
        <f>IF(H242="","",IF(ISNA(VLOOKUP(H242,科目コード表!$C$4:$D$67,2,FALSE)),"該当科目なし",VLOOKUP(H242,科目コード表!$C$4:$D$67,2,FALSE)))</f>
        <v/>
      </c>
      <c r="J242" s="40" t="n"/>
      <c r="L242" s="46">
        <f>IF($E242=L$3,$G242,0)-IF($H242=L$3,$J242,0)</f>
        <v/>
      </c>
      <c r="M242" s="47">
        <f>IF($E242=M$3,$G242,0)-IF($H242=M$3,$J242,0)</f>
        <v/>
      </c>
      <c r="N242" s="47">
        <f>IF($E242=N$3,$G242,0)-IF($H242=N$3,$J242,0)</f>
        <v/>
      </c>
      <c r="O242" s="47">
        <f>IF($E242=O$3,$G242,0)-IF($H242=O$3,$J242,0)</f>
        <v/>
      </c>
      <c r="P242" s="47">
        <f>IF($E242=P$3,$G242,0)-IF($H242=P$3,$J242,0)</f>
        <v/>
      </c>
      <c r="Q242" s="47">
        <f>IF($E242=Q$3,$G242,0)-IF($H242=Q$3,$J242,0)</f>
        <v/>
      </c>
      <c r="R242" s="47">
        <f>IF($E242=R$3,$G242,0)-IF($H242=R$3,$J242,0)</f>
        <v/>
      </c>
      <c r="S242" s="47">
        <f>IF($E242=S$3,$G242,0)-IF($H242=S$3,$J242,0)</f>
        <v/>
      </c>
      <c r="T242" s="47">
        <f>IF($E242=T$3,$G242,0)-IF($H242=T$3,$J242,0)</f>
        <v/>
      </c>
      <c r="U242" s="47">
        <f>IF($E242=U$3,$G242,0)-IF($H242=U$3,$J242,0)</f>
        <v/>
      </c>
      <c r="V242" s="47">
        <f>IF($E242=V$3,$G242,0)-IF($H242=V$3,$J242,0)</f>
        <v/>
      </c>
      <c r="W242" s="47">
        <f>IF($E242=W$3,$G242,0)-IF($H242=W$3,$J242,0)</f>
        <v/>
      </c>
      <c r="X242" s="47">
        <f>IF($E242=X$3,$G242,0)-IF($H242=X$3,$J242,0)</f>
        <v/>
      </c>
      <c r="Y242" s="47">
        <f>IF($E242=Y$3,$G242,0)-IF($H242=Y$3,$J242,0)</f>
        <v/>
      </c>
      <c r="Z242" s="47">
        <f>IF($E242=Z$3,$G242,0)-IF($H242=Z$3,$J242,0)</f>
        <v/>
      </c>
      <c r="AA242" s="47">
        <f>IF($E242=AA$3,$G242,0)-IF($H242=AA$3,$J242,0)</f>
        <v/>
      </c>
      <c r="AB242" s="47">
        <f>IF($E242=AB$3,$G242,0)-IF($H242=AB$3,$J242,0)</f>
        <v/>
      </c>
      <c r="AC242" s="47">
        <f>IF($E242=AC$3,$G242,0)-IF($H242=AC$3,$J242,0)</f>
        <v/>
      </c>
      <c r="AD242" s="47">
        <f>IF($E242=AD$3,$G242,0)-IF($H242=AD$3,$J242,0)</f>
        <v/>
      </c>
      <c r="AE242" s="47">
        <f>IF($E242=AE$3,$G242,0)-IF($H242=AE$3,$J242,0)</f>
        <v/>
      </c>
      <c r="AF242" s="47">
        <f>IF($E242=AF$3,$G242,0)-IF($H242=AF$3,$J242,0)</f>
        <v/>
      </c>
      <c r="AG242" s="47">
        <f>IF($E242=AG$3,$G242,0)-IF($H242=AG$3,$J242,0)</f>
        <v/>
      </c>
      <c r="AH242" s="47">
        <f>IF($E242=AH$3,$G242,0)-IF($H242=AH$3,$J242,0)</f>
        <v/>
      </c>
      <c r="AI242" s="47">
        <f>IF($E242=AI$3,$G242,0)-IF($H242=AI$3,$J242,0)</f>
        <v/>
      </c>
      <c r="AJ242" s="47">
        <f>IF($E242=AJ$3,$G242,0)-IF($H242=AJ$3,$J242,0)</f>
        <v/>
      </c>
      <c r="AK242" s="47">
        <f>IF($E242=AK$3,$G242,0)-IF($H242=AK$3,$J242,0)</f>
        <v/>
      </c>
      <c r="AL242" s="48">
        <f>IF($E242=AL$3,$G242,0)-IF($H242=AL$3,$J242,0)</f>
        <v/>
      </c>
      <c r="AM242" s="46">
        <f>-IF($E242=AM$3,$G242,0)+IF($H242=AM$3,$J242,0)</f>
        <v/>
      </c>
      <c r="AN242" s="47">
        <f>-IF($E242=AN$3,$G242,0)+IF($H242=AN$3,$J242,0)</f>
        <v/>
      </c>
      <c r="AO242" s="48">
        <f>-IF($E242=AO$3,$G242,0)+IF($H242=AO$3,$J242,0)</f>
        <v/>
      </c>
      <c r="AP242" s="46">
        <f>IF($E242=AP$3,$G242,0)-IF($H242=AP$3,$J242,0)</f>
        <v/>
      </c>
      <c r="AQ242" s="47">
        <f>IF($E242=AQ$3,$G242,0)-IF($H242=AQ$3,$J242,0)</f>
        <v/>
      </c>
      <c r="AR242" s="47">
        <f>IF($E242=AR$3,$G242,0)-IF($H242=AR$3,$J242,0)</f>
        <v/>
      </c>
      <c r="AS242" s="47">
        <f>IF($E242=AS$3,$G242,0)-IF($H242=AS$3,$J242,0)</f>
        <v/>
      </c>
      <c r="AT242" s="47">
        <f>IF($E242=AT$3,$G242,0)-IF($H242=AT$3,$J242,0)</f>
        <v/>
      </c>
      <c r="AU242" s="47">
        <f>IF($E242=AU$3,$G242,0)-IF($H242=AU$3,$J242,0)</f>
        <v/>
      </c>
      <c r="AV242" s="47">
        <f>IF($E242=AV$3,$G242,0)-IF($H242=AV$3,$J242,0)</f>
        <v/>
      </c>
      <c r="AW242" s="47">
        <f>IF($E242=AW$3,$G242,0)-IF($H242=AW$3,$J242,0)</f>
        <v/>
      </c>
      <c r="AX242" s="47">
        <f>IF($E242=AX$3,$G242,0)-IF($H242=AX$3,$J242,0)</f>
        <v/>
      </c>
      <c r="AY242" s="47">
        <f>IF($E242=AY$3,$G242,0)-IF($H242=AY$3,$J242,0)</f>
        <v/>
      </c>
      <c r="AZ242" s="47">
        <f>IF($E242=AZ$3,$G242,0)-IF($H242=AZ$3,$J242,0)</f>
        <v/>
      </c>
      <c r="BA242" s="47">
        <f>IF($E242=BA$3,$G242,0)-IF($H242=BA$3,$J242,0)</f>
        <v/>
      </c>
      <c r="BB242" s="47">
        <f>IF($E242=BB$3,$G242,0)-IF($H242=BB$3,$J242,0)</f>
        <v/>
      </c>
      <c r="BC242" s="47">
        <f>IF($E242=BC$3,$G242,0)-IF($H242=BC$3,$J242,0)</f>
        <v/>
      </c>
      <c r="BD242" s="47">
        <f>IF($E242=BD$3,$G242,0)-IF($H242=BD$3,$J242,0)</f>
        <v/>
      </c>
      <c r="BE242" s="47">
        <f>IF($E242=BE$3,$G242,0)-IF($H242=BE$3,$J242,0)</f>
        <v/>
      </c>
      <c r="BF242" s="47">
        <f>IF($E242=BF$3,$G242,0)-IF($H242=BF$3,$J242,0)</f>
        <v/>
      </c>
      <c r="BG242" s="47">
        <f>IF($E242=BG$3,$G242,0)-IF($H242=BG$3,$J242,0)</f>
        <v/>
      </c>
      <c r="BH242" s="47">
        <f>IF($E242=BH$3,$G242,0)-IF($H242=BH$3,$J242,0)</f>
        <v/>
      </c>
      <c r="BI242" s="47">
        <f>IF($E242=BI$3,$G242,0)-IF($H242=BI$3,$J242,0)</f>
        <v/>
      </c>
      <c r="BJ242" s="47">
        <f>IF($E242=BJ$3,$G242,0)-IF($H242=BJ$3,$J242,0)</f>
        <v/>
      </c>
      <c r="BK242" s="47">
        <f>IF($E242=BK$3,$G242,0)-IF($H242=BK$3,$J242,0)</f>
        <v/>
      </c>
      <c r="BL242" s="46">
        <f>-IF($E242=BL$3,$G242,0)+IF($H242=BL$3,$J242,0)</f>
        <v/>
      </c>
      <c r="BM242" s="47">
        <f>-IF($E242=BM$3,$G242,0)+IF($H242=BM$3,$J242,0)</f>
        <v/>
      </c>
      <c r="BN242" s="47">
        <f>-IF($E242=BN$3,$G242,0)+IF($H242=BN$3,$J242,0)</f>
        <v/>
      </c>
      <c r="BO242" s="47">
        <f>-IF($E242=BO$3,$G242,0)+IF($H242=BO$3,$J242,0)</f>
        <v/>
      </c>
      <c r="BP242" s="47">
        <f>-IF($E242=BP$3,$G242,0)+IF($H242=BP$3,$J242,0)</f>
        <v/>
      </c>
      <c r="BQ242" s="47">
        <f>-IF($E242=BQ$3,$G242,0)+IF($H242=BQ$3,$J242,0)</f>
        <v/>
      </c>
      <c r="BR242" s="47">
        <f>-IF($E242=BR$3,$G242,0)+IF($H242=BR$3,$J242,0)</f>
        <v/>
      </c>
      <c r="BS242" s="47">
        <f>-IF($E242=BS$3,$G242,0)+IF($H242=BS$3,$J242,0)</f>
        <v/>
      </c>
      <c r="BT242" s="47">
        <f>-IF($E242=BT$3,$G242,0)+IF($H242=BT$3,$J242,0)</f>
        <v/>
      </c>
      <c r="BU242" s="46">
        <f>+G242-J242</f>
        <v/>
      </c>
      <c r="BV242" s="48">
        <f>-IF($E242=BV$3,$G242,0)+IF($H242=BV$3,$J242,0)</f>
        <v/>
      </c>
      <c r="BW242" s="3" t="n"/>
    </row>
    <row r="243" ht="15.75" customHeight="1" s="214">
      <c r="A243" s="7" t="n"/>
      <c r="B243" s="8" t="n"/>
      <c r="C243" s="9" t="n"/>
      <c r="D243" s="10" t="n"/>
      <c r="E243" s="247" t="n"/>
      <c r="F243" s="11">
        <f>IF(E243="","",IF(ISNA(VLOOKUP(E243,科目コード表!$C$4:$D$67,2,FALSE)),"該当科目なし",VLOOKUP(E243,科目コード表!$C$4:$D$67,2,FALSE)))</f>
        <v/>
      </c>
      <c r="G243" s="38" t="n"/>
      <c r="H243" s="248" t="n"/>
      <c r="I243" s="11">
        <f>IF(H243="","",IF(ISNA(VLOOKUP(H243,科目コード表!$C$4:$D$67,2,FALSE)),"該当科目なし",VLOOKUP(H243,科目コード表!$C$4:$D$67,2,FALSE)))</f>
        <v/>
      </c>
      <c r="J243" s="40" t="n"/>
      <c r="L243" s="46">
        <f>IF($E243=L$3,$G243,0)-IF($H243=L$3,$J243,0)</f>
        <v/>
      </c>
      <c r="M243" s="47">
        <f>IF($E243=M$3,$G243,0)-IF($H243=M$3,$J243,0)</f>
        <v/>
      </c>
      <c r="N243" s="47">
        <f>IF($E243=N$3,$G243,0)-IF($H243=N$3,$J243,0)</f>
        <v/>
      </c>
      <c r="O243" s="47">
        <f>IF($E243=O$3,$G243,0)-IF($H243=O$3,$J243,0)</f>
        <v/>
      </c>
      <c r="P243" s="47">
        <f>IF($E243=P$3,$G243,0)-IF($H243=P$3,$J243,0)</f>
        <v/>
      </c>
      <c r="Q243" s="47">
        <f>IF($E243=Q$3,$G243,0)-IF($H243=Q$3,$J243,0)</f>
        <v/>
      </c>
      <c r="R243" s="47">
        <f>IF($E243=R$3,$G243,0)-IF($H243=R$3,$J243,0)</f>
        <v/>
      </c>
      <c r="S243" s="47">
        <f>IF($E243=S$3,$G243,0)-IF($H243=S$3,$J243,0)</f>
        <v/>
      </c>
      <c r="T243" s="47">
        <f>IF($E243=T$3,$G243,0)-IF($H243=T$3,$J243,0)</f>
        <v/>
      </c>
      <c r="U243" s="47">
        <f>IF($E243=U$3,$G243,0)-IF($H243=U$3,$J243,0)</f>
        <v/>
      </c>
      <c r="V243" s="47">
        <f>IF($E243=V$3,$G243,0)-IF($H243=V$3,$J243,0)</f>
        <v/>
      </c>
      <c r="W243" s="47">
        <f>IF($E243=W$3,$G243,0)-IF($H243=W$3,$J243,0)</f>
        <v/>
      </c>
      <c r="X243" s="47">
        <f>IF($E243=X$3,$G243,0)-IF($H243=X$3,$J243,0)</f>
        <v/>
      </c>
      <c r="Y243" s="47">
        <f>IF($E243=Y$3,$G243,0)-IF($H243=Y$3,$J243,0)</f>
        <v/>
      </c>
      <c r="Z243" s="47">
        <f>IF($E243=Z$3,$G243,0)-IF($H243=Z$3,$J243,0)</f>
        <v/>
      </c>
      <c r="AA243" s="47">
        <f>IF($E243=AA$3,$G243,0)-IF($H243=AA$3,$J243,0)</f>
        <v/>
      </c>
      <c r="AB243" s="47">
        <f>IF($E243=AB$3,$G243,0)-IF($H243=AB$3,$J243,0)</f>
        <v/>
      </c>
      <c r="AC243" s="47">
        <f>IF($E243=AC$3,$G243,0)-IF($H243=AC$3,$J243,0)</f>
        <v/>
      </c>
      <c r="AD243" s="47">
        <f>IF($E243=AD$3,$G243,0)-IF($H243=AD$3,$J243,0)</f>
        <v/>
      </c>
      <c r="AE243" s="47">
        <f>IF($E243=AE$3,$G243,0)-IF($H243=AE$3,$J243,0)</f>
        <v/>
      </c>
      <c r="AF243" s="47">
        <f>IF($E243=AF$3,$G243,0)-IF($H243=AF$3,$J243,0)</f>
        <v/>
      </c>
      <c r="AG243" s="47">
        <f>IF($E243=AG$3,$G243,0)-IF($H243=AG$3,$J243,0)</f>
        <v/>
      </c>
      <c r="AH243" s="47">
        <f>IF($E243=AH$3,$G243,0)-IF($H243=AH$3,$J243,0)</f>
        <v/>
      </c>
      <c r="AI243" s="47">
        <f>IF($E243=AI$3,$G243,0)-IF($H243=AI$3,$J243,0)</f>
        <v/>
      </c>
      <c r="AJ243" s="47">
        <f>IF($E243=AJ$3,$G243,0)-IF($H243=AJ$3,$J243,0)</f>
        <v/>
      </c>
      <c r="AK243" s="47">
        <f>IF($E243=AK$3,$G243,0)-IF($H243=AK$3,$J243,0)</f>
        <v/>
      </c>
      <c r="AL243" s="48">
        <f>IF($E243=AL$3,$G243,0)-IF($H243=AL$3,$J243,0)</f>
        <v/>
      </c>
      <c r="AM243" s="46">
        <f>-IF($E243=AM$3,$G243,0)+IF($H243=AM$3,$J243,0)</f>
        <v/>
      </c>
      <c r="AN243" s="47">
        <f>-IF($E243=AN$3,$G243,0)+IF($H243=AN$3,$J243,0)</f>
        <v/>
      </c>
      <c r="AO243" s="48">
        <f>-IF($E243=AO$3,$G243,0)+IF($H243=AO$3,$J243,0)</f>
        <v/>
      </c>
      <c r="AP243" s="46">
        <f>IF($E243=AP$3,$G243,0)-IF($H243=AP$3,$J243,0)</f>
        <v/>
      </c>
      <c r="AQ243" s="47">
        <f>IF($E243=AQ$3,$G243,0)-IF($H243=AQ$3,$J243,0)</f>
        <v/>
      </c>
      <c r="AR243" s="47">
        <f>IF($E243=AR$3,$G243,0)-IF($H243=AR$3,$J243,0)</f>
        <v/>
      </c>
      <c r="AS243" s="47">
        <f>IF($E243=AS$3,$G243,0)-IF($H243=AS$3,$J243,0)</f>
        <v/>
      </c>
      <c r="AT243" s="47">
        <f>IF($E243=AT$3,$G243,0)-IF($H243=AT$3,$J243,0)</f>
        <v/>
      </c>
      <c r="AU243" s="47">
        <f>IF($E243=AU$3,$G243,0)-IF($H243=AU$3,$J243,0)</f>
        <v/>
      </c>
      <c r="AV243" s="47">
        <f>IF($E243=AV$3,$G243,0)-IF($H243=AV$3,$J243,0)</f>
        <v/>
      </c>
      <c r="AW243" s="47">
        <f>IF($E243=AW$3,$G243,0)-IF($H243=AW$3,$J243,0)</f>
        <v/>
      </c>
      <c r="AX243" s="47">
        <f>IF($E243=AX$3,$G243,0)-IF($H243=AX$3,$J243,0)</f>
        <v/>
      </c>
      <c r="AY243" s="47">
        <f>IF($E243=AY$3,$G243,0)-IF($H243=AY$3,$J243,0)</f>
        <v/>
      </c>
      <c r="AZ243" s="47">
        <f>IF($E243=AZ$3,$G243,0)-IF($H243=AZ$3,$J243,0)</f>
        <v/>
      </c>
      <c r="BA243" s="47">
        <f>IF($E243=BA$3,$G243,0)-IF($H243=BA$3,$J243,0)</f>
        <v/>
      </c>
      <c r="BB243" s="47">
        <f>IF($E243=BB$3,$G243,0)-IF($H243=BB$3,$J243,0)</f>
        <v/>
      </c>
      <c r="BC243" s="47">
        <f>IF($E243=BC$3,$G243,0)-IF($H243=BC$3,$J243,0)</f>
        <v/>
      </c>
      <c r="BD243" s="47">
        <f>IF($E243=BD$3,$G243,0)-IF($H243=BD$3,$J243,0)</f>
        <v/>
      </c>
      <c r="BE243" s="47">
        <f>IF($E243=BE$3,$G243,0)-IF($H243=BE$3,$J243,0)</f>
        <v/>
      </c>
      <c r="BF243" s="47">
        <f>IF($E243=BF$3,$G243,0)-IF($H243=BF$3,$J243,0)</f>
        <v/>
      </c>
      <c r="BG243" s="47">
        <f>IF($E243=BG$3,$G243,0)-IF($H243=BG$3,$J243,0)</f>
        <v/>
      </c>
      <c r="BH243" s="47">
        <f>IF($E243=BH$3,$G243,0)-IF($H243=BH$3,$J243,0)</f>
        <v/>
      </c>
      <c r="BI243" s="47">
        <f>IF($E243=BI$3,$G243,0)-IF($H243=BI$3,$J243,0)</f>
        <v/>
      </c>
      <c r="BJ243" s="47">
        <f>IF($E243=BJ$3,$G243,0)-IF($H243=BJ$3,$J243,0)</f>
        <v/>
      </c>
      <c r="BK243" s="47">
        <f>IF($E243=BK$3,$G243,0)-IF($H243=BK$3,$J243,0)</f>
        <v/>
      </c>
      <c r="BL243" s="46">
        <f>-IF($E243=BL$3,$G243,0)+IF($H243=BL$3,$J243,0)</f>
        <v/>
      </c>
      <c r="BM243" s="47">
        <f>-IF($E243=BM$3,$G243,0)+IF($H243=BM$3,$J243,0)</f>
        <v/>
      </c>
      <c r="BN243" s="47">
        <f>-IF($E243=BN$3,$G243,0)+IF($H243=BN$3,$J243,0)</f>
        <v/>
      </c>
      <c r="BO243" s="47">
        <f>-IF($E243=BO$3,$G243,0)+IF($H243=BO$3,$J243,0)</f>
        <v/>
      </c>
      <c r="BP243" s="47">
        <f>-IF($E243=BP$3,$G243,0)+IF($H243=BP$3,$J243,0)</f>
        <v/>
      </c>
      <c r="BQ243" s="47">
        <f>-IF($E243=BQ$3,$G243,0)+IF($H243=BQ$3,$J243,0)</f>
        <v/>
      </c>
      <c r="BR243" s="47">
        <f>-IF($E243=BR$3,$G243,0)+IF($H243=BR$3,$J243,0)</f>
        <v/>
      </c>
      <c r="BS243" s="47">
        <f>-IF($E243=BS$3,$G243,0)+IF($H243=BS$3,$J243,0)</f>
        <v/>
      </c>
      <c r="BT243" s="47">
        <f>-IF($E243=BT$3,$G243,0)+IF($H243=BT$3,$J243,0)</f>
        <v/>
      </c>
      <c r="BU243" s="46">
        <f>+G243-J243</f>
        <v/>
      </c>
      <c r="BV243" s="48">
        <f>-IF($E243=BV$3,$G243,0)+IF($H243=BV$3,$J243,0)</f>
        <v/>
      </c>
      <c r="BW243" s="3" t="n"/>
    </row>
    <row r="244" ht="15.75" customHeight="1" s="214">
      <c r="A244" s="7" t="n"/>
      <c r="B244" s="8" t="n"/>
      <c r="C244" s="9" t="n"/>
      <c r="D244" s="10" t="n"/>
      <c r="E244" s="247" t="n"/>
      <c r="F244" s="11">
        <f>IF(E244="","",IF(ISNA(VLOOKUP(E244,科目コード表!$C$4:$D$67,2,FALSE)),"該当科目なし",VLOOKUP(E244,科目コード表!$C$4:$D$67,2,FALSE)))</f>
        <v/>
      </c>
      <c r="G244" s="38" t="n"/>
      <c r="H244" s="248" t="n"/>
      <c r="I244" s="11">
        <f>IF(H244="","",IF(ISNA(VLOOKUP(H244,科目コード表!$C$4:$D$67,2,FALSE)),"該当科目なし",VLOOKUP(H244,科目コード表!$C$4:$D$67,2,FALSE)))</f>
        <v/>
      </c>
      <c r="J244" s="40" t="n"/>
      <c r="L244" s="46">
        <f>IF($E244=L$3,$G244,0)-IF($H244=L$3,$J244,0)</f>
        <v/>
      </c>
      <c r="M244" s="47">
        <f>IF($E244=M$3,$G244,0)-IF($H244=M$3,$J244,0)</f>
        <v/>
      </c>
      <c r="N244" s="47">
        <f>IF($E244=N$3,$G244,0)-IF($H244=N$3,$J244,0)</f>
        <v/>
      </c>
      <c r="O244" s="47">
        <f>IF($E244=O$3,$G244,0)-IF($H244=O$3,$J244,0)</f>
        <v/>
      </c>
      <c r="P244" s="47">
        <f>IF($E244=P$3,$G244,0)-IF($H244=P$3,$J244,0)</f>
        <v/>
      </c>
      <c r="Q244" s="47">
        <f>IF($E244=Q$3,$G244,0)-IF($H244=Q$3,$J244,0)</f>
        <v/>
      </c>
      <c r="R244" s="47">
        <f>IF($E244=R$3,$G244,0)-IF($H244=R$3,$J244,0)</f>
        <v/>
      </c>
      <c r="S244" s="47">
        <f>IF($E244=S$3,$G244,0)-IF($H244=S$3,$J244,0)</f>
        <v/>
      </c>
      <c r="T244" s="47">
        <f>IF($E244=T$3,$G244,0)-IF($H244=T$3,$J244,0)</f>
        <v/>
      </c>
      <c r="U244" s="47">
        <f>IF($E244=U$3,$G244,0)-IF($H244=U$3,$J244,0)</f>
        <v/>
      </c>
      <c r="V244" s="47">
        <f>IF($E244=V$3,$G244,0)-IF($H244=V$3,$J244,0)</f>
        <v/>
      </c>
      <c r="W244" s="47">
        <f>IF($E244=W$3,$G244,0)-IF($H244=W$3,$J244,0)</f>
        <v/>
      </c>
      <c r="X244" s="47">
        <f>IF($E244=X$3,$G244,0)-IF($H244=X$3,$J244,0)</f>
        <v/>
      </c>
      <c r="Y244" s="47">
        <f>IF($E244=Y$3,$G244,0)-IF($H244=Y$3,$J244,0)</f>
        <v/>
      </c>
      <c r="Z244" s="47">
        <f>IF($E244=Z$3,$G244,0)-IF($H244=Z$3,$J244,0)</f>
        <v/>
      </c>
      <c r="AA244" s="47">
        <f>IF($E244=AA$3,$G244,0)-IF($H244=AA$3,$J244,0)</f>
        <v/>
      </c>
      <c r="AB244" s="47">
        <f>IF($E244=AB$3,$G244,0)-IF($H244=AB$3,$J244,0)</f>
        <v/>
      </c>
      <c r="AC244" s="47">
        <f>IF($E244=AC$3,$G244,0)-IF($H244=AC$3,$J244,0)</f>
        <v/>
      </c>
      <c r="AD244" s="47">
        <f>IF($E244=AD$3,$G244,0)-IF($H244=AD$3,$J244,0)</f>
        <v/>
      </c>
      <c r="AE244" s="47">
        <f>IF($E244=AE$3,$G244,0)-IF($H244=AE$3,$J244,0)</f>
        <v/>
      </c>
      <c r="AF244" s="47">
        <f>IF($E244=AF$3,$G244,0)-IF($H244=AF$3,$J244,0)</f>
        <v/>
      </c>
      <c r="AG244" s="47">
        <f>IF($E244=AG$3,$G244,0)-IF($H244=AG$3,$J244,0)</f>
        <v/>
      </c>
      <c r="AH244" s="47">
        <f>IF($E244=AH$3,$G244,0)-IF($H244=AH$3,$J244,0)</f>
        <v/>
      </c>
      <c r="AI244" s="47">
        <f>IF($E244=AI$3,$G244,0)-IF($H244=AI$3,$J244,0)</f>
        <v/>
      </c>
      <c r="AJ244" s="47">
        <f>IF($E244=AJ$3,$G244,0)-IF($H244=AJ$3,$J244,0)</f>
        <v/>
      </c>
      <c r="AK244" s="47">
        <f>IF($E244=AK$3,$G244,0)-IF($H244=AK$3,$J244,0)</f>
        <v/>
      </c>
      <c r="AL244" s="48">
        <f>IF($E244=AL$3,$G244,0)-IF($H244=AL$3,$J244,0)</f>
        <v/>
      </c>
      <c r="AM244" s="46">
        <f>-IF($E244=AM$3,$G244,0)+IF($H244=AM$3,$J244,0)</f>
        <v/>
      </c>
      <c r="AN244" s="47">
        <f>-IF($E244=AN$3,$G244,0)+IF($H244=AN$3,$J244,0)</f>
        <v/>
      </c>
      <c r="AO244" s="48">
        <f>-IF($E244=AO$3,$G244,0)+IF($H244=AO$3,$J244,0)</f>
        <v/>
      </c>
      <c r="AP244" s="46">
        <f>IF($E244=AP$3,$G244,0)-IF($H244=AP$3,$J244,0)</f>
        <v/>
      </c>
      <c r="AQ244" s="47">
        <f>IF($E244=AQ$3,$G244,0)-IF($H244=AQ$3,$J244,0)</f>
        <v/>
      </c>
      <c r="AR244" s="47">
        <f>IF($E244=AR$3,$G244,0)-IF($H244=AR$3,$J244,0)</f>
        <v/>
      </c>
      <c r="AS244" s="47">
        <f>IF($E244=AS$3,$G244,0)-IF($H244=AS$3,$J244,0)</f>
        <v/>
      </c>
      <c r="AT244" s="47">
        <f>IF($E244=AT$3,$G244,0)-IF($H244=AT$3,$J244,0)</f>
        <v/>
      </c>
      <c r="AU244" s="47">
        <f>IF($E244=AU$3,$G244,0)-IF($H244=AU$3,$J244,0)</f>
        <v/>
      </c>
      <c r="AV244" s="47">
        <f>IF($E244=AV$3,$G244,0)-IF($H244=AV$3,$J244,0)</f>
        <v/>
      </c>
      <c r="AW244" s="47">
        <f>IF($E244=AW$3,$G244,0)-IF($H244=AW$3,$J244,0)</f>
        <v/>
      </c>
      <c r="AX244" s="47">
        <f>IF($E244=AX$3,$G244,0)-IF($H244=AX$3,$J244,0)</f>
        <v/>
      </c>
      <c r="AY244" s="47">
        <f>IF($E244=AY$3,$G244,0)-IF($H244=AY$3,$J244,0)</f>
        <v/>
      </c>
      <c r="AZ244" s="47">
        <f>IF($E244=AZ$3,$G244,0)-IF($H244=AZ$3,$J244,0)</f>
        <v/>
      </c>
      <c r="BA244" s="47">
        <f>IF($E244=BA$3,$G244,0)-IF($H244=BA$3,$J244,0)</f>
        <v/>
      </c>
      <c r="BB244" s="47">
        <f>IF($E244=BB$3,$G244,0)-IF($H244=BB$3,$J244,0)</f>
        <v/>
      </c>
      <c r="BC244" s="47">
        <f>IF($E244=BC$3,$G244,0)-IF($H244=BC$3,$J244,0)</f>
        <v/>
      </c>
      <c r="BD244" s="47">
        <f>IF($E244=BD$3,$G244,0)-IF($H244=BD$3,$J244,0)</f>
        <v/>
      </c>
      <c r="BE244" s="47">
        <f>IF($E244=BE$3,$G244,0)-IF($H244=BE$3,$J244,0)</f>
        <v/>
      </c>
      <c r="BF244" s="47">
        <f>IF($E244=BF$3,$G244,0)-IF($H244=BF$3,$J244,0)</f>
        <v/>
      </c>
      <c r="BG244" s="47">
        <f>IF($E244=BG$3,$G244,0)-IF($H244=BG$3,$J244,0)</f>
        <v/>
      </c>
      <c r="BH244" s="47">
        <f>IF($E244=BH$3,$G244,0)-IF($H244=BH$3,$J244,0)</f>
        <v/>
      </c>
      <c r="BI244" s="47">
        <f>IF($E244=BI$3,$G244,0)-IF($H244=BI$3,$J244,0)</f>
        <v/>
      </c>
      <c r="BJ244" s="47">
        <f>IF($E244=BJ$3,$G244,0)-IF($H244=BJ$3,$J244,0)</f>
        <v/>
      </c>
      <c r="BK244" s="47">
        <f>IF($E244=BK$3,$G244,0)-IF($H244=BK$3,$J244,0)</f>
        <v/>
      </c>
      <c r="BL244" s="46">
        <f>-IF($E244=BL$3,$G244,0)+IF($H244=BL$3,$J244,0)</f>
        <v/>
      </c>
      <c r="BM244" s="47">
        <f>-IF($E244=BM$3,$G244,0)+IF($H244=BM$3,$J244,0)</f>
        <v/>
      </c>
      <c r="BN244" s="47">
        <f>-IF($E244=BN$3,$G244,0)+IF($H244=BN$3,$J244,0)</f>
        <v/>
      </c>
      <c r="BO244" s="47">
        <f>-IF($E244=BO$3,$G244,0)+IF($H244=BO$3,$J244,0)</f>
        <v/>
      </c>
      <c r="BP244" s="47">
        <f>-IF($E244=BP$3,$G244,0)+IF($H244=BP$3,$J244,0)</f>
        <v/>
      </c>
      <c r="BQ244" s="47">
        <f>-IF($E244=BQ$3,$G244,0)+IF($H244=BQ$3,$J244,0)</f>
        <v/>
      </c>
      <c r="BR244" s="47">
        <f>-IF($E244=BR$3,$G244,0)+IF($H244=BR$3,$J244,0)</f>
        <v/>
      </c>
      <c r="BS244" s="47">
        <f>-IF($E244=BS$3,$G244,0)+IF($H244=BS$3,$J244,0)</f>
        <v/>
      </c>
      <c r="BT244" s="47">
        <f>-IF($E244=BT$3,$G244,0)+IF($H244=BT$3,$J244,0)</f>
        <v/>
      </c>
      <c r="BU244" s="46">
        <f>+G244-J244</f>
        <v/>
      </c>
      <c r="BV244" s="48">
        <f>-IF($E244=BV$3,$G244,0)+IF($H244=BV$3,$J244,0)</f>
        <v/>
      </c>
      <c r="BW244" s="3" t="n"/>
    </row>
    <row r="245" ht="15.75" customHeight="1" s="214">
      <c r="A245" s="7" t="n"/>
      <c r="B245" s="8" t="n"/>
      <c r="C245" s="9" t="n"/>
      <c r="D245" s="10" t="n"/>
      <c r="E245" s="247" t="n"/>
      <c r="F245" s="11">
        <f>IF(E245="","",IF(ISNA(VLOOKUP(E245,科目コード表!$C$4:$D$67,2,FALSE)),"該当科目なし",VLOOKUP(E245,科目コード表!$C$4:$D$67,2,FALSE)))</f>
        <v/>
      </c>
      <c r="G245" s="38" t="n"/>
      <c r="H245" s="248" t="n"/>
      <c r="I245" s="11">
        <f>IF(H245="","",IF(ISNA(VLOOKUP(H245,科目コード表!$C$4:$D$67,2,FALSE)),"該当科目なし",VLOOKUP(H245,科目コード表!$C$4:$D$67,2,FALSE)))</f>
        <v/>
      </c>
      <c r="J245" s="40" t="n"/>
      <c r="L245" s="46">
        <f>IF($E245=L$3,$G245,0)-IF($H245=L$3,$J245,0)</f>
        <v/>
      </c>
      <c r="M245" s="47">
        <f>IF($E245=M$3,$G245,0)-IF($H245=M$3,$J245,0)</f>
        <v/>
      </c>
      <c r="N245" s="47">
        <f>IF($E245=N$3,$G245,0)-IF($H245=N$3,$J245,0)</f>
        <v/>
      </c>
      <c r="O245" s="47">
        <f>IF($E245=O$3,$G245,0)-IF($H245=O$3,$J245,0)</f>
        <v/>
      </c>
      <c r="P245" s="47">
        <f>IF($E245=P$3,$G245,0)-IF($H245=P$3,$J245,0)</f>
        <v/>
      </c>
      <c r="Q245" s="47">
        <f>IF($E245=Q$3,$G245,0)-IF($H245=Q$3,$J245,0)</f>
        <v/>
      </c>
      <c r="R245" s="47">
        <f>IF($E245=R$3,$G245,0)-IF($H245=R$3,$J245,0)</f>
        <v/>
      </c>
      <c r="S245" s="47">
        <f>IF($E245=S$3,$G245,0)-IF($H245=S$3,$J245,0)</f>
        <v/>
      </c>
      <c r="T245" s="47">
        <f>IF($E245=T$3,$G245,0)-IF($H245=T$3,$J245,0)</f>
        <v/>
      </c>
      <c r="U245" s="47">
        <f>IF($E245=U$3,$G245,0)-IF($H245=U$3,$J245,0)</f>
        <v/>
      </c>
      <c r="V245" s="47">
        <f>IF($E245=V$3,$G245,0)-IF($H245=V$3,$J245,0)</f>
        <v/>
      </c>
      <c r="W245" s="47">
        <f>IF($E245=W$3,$G245,0)-IF($H245=W$3,$J245,0)</f>
        <v/>
      </c>
      <c r="X245" s="47">
        <f>IF($E245=X$3,$G245,0)-IF($H245=X$3,$J245,0)</f>
        <v/>
      </c>
      <c r="Y245" s="47">
        <f>IF($E245=Y$3,$G245,0)-IF($H245=Y$3,$J245,0)</f>
        <v/>
      </c>
      <c r="Z245" s="47">
        <f>IF($E245=Z$3,$G245,0)-IF($H245=Z$3,$J245,0)</f>
        <v/>
      </c>
      <c r="AA245" s="47">
        <f>IF($E245=AA$3,$G245,0)-IF($H245=AA$3,$J245,0)</f>
        <v/>
      </c>
      <c r="AB245" s="47">
        <f>IF($E245=AB$3,$G245,0)-IF($H245=AB$3,$J245,0)</f>
        <v/>
      </c>
      <c r="AC245" s="47">
        <f>IF($E245=AC$3,$G245,0)-IF($H245=AC$3,$J245,0)</f>
        <v/>
      </c>
      <c r="AD245" s="47">
        <f>IF($E245=AD$3,$G245,0)-IF($H245=AD$3,$J245,0)</f>
        <v/>
      </c>
      <c r="AE245" s="47">
        <f>IF($E245=AE$3,$G245,0)-IF($H245=AE$3,$J245,0)</f>
        <v/>
      </c>
      <c r="AF245" s="47">
        <f>IF($E245=AF$3,$G245,0)-IF($H245=AF$3,$J245,0)</f>
        <v/>
      </c>
      <c r="AG245" s="47">
        <f>IF($E245=AG$3,$G245,0)-IF($H245=AG$3,$J245,0)</f>
        <v/>
      </c>
      <c r="AH245" s="47">
        <f>IF($E245=AH$3,$G245,0)-IF($H245=AH$3,$J245,0)</f>
        <v/>
      </c>
      <c r="AI245" s="47">
        <f>IF($E245=AI$3,$G245,0)-IF($H245=AI$3,$J245,0)</f>
        <v/>
      </c>
      <c r="AJ245" s="47">
        <f>IF($E245=AJ$3,$G245,0)-IF($H245=AJ$3,$J245,0)</f>
        <v/>
      </c>
      <c r="AK245" s="47">
        <f>IF($E245=AK$3,$G245,0)-IF($H245=AK$3,$J245,0)</f>
        <v/>
      </c>
      <c r="AL245" s="48">
        <f>IF($E245=AL$3,$G245,0)-IF($H245=AL$3,$J245,0)</f>
        <v/>
      </c>
      <c r="AM245" s="46">
        <f>-IF($E245=AM$3,$G245,0)+IF($H245=AM$3,$J245,0)</f>
        <v/>
      </c>
      <c r="AN245" s="47">
        <f>-IF($E245=AN$3,$G245,0)+IF($H245=AN$3,$J245,0)</f>
        <v/>
      </c>
      <c r="AO245" s="48">
        <f>-IF($E245=AO$3,$G245,0)+IF($H245=AO$3,$J245,0)</f>
        <v/>
      </c>
      <c r="AP245" s="46">
        <f>IF($E245=AP$3,$G245,0)-IF($H245=AP$3,$J245,0)</f>
        <v/>
      </c>
      <c r="AQ245" s="47">
        <f>IF($E245=AQ$3,$G245,0)-IF($H245=AQ$3,$J245,0)</f>
        <v/>
      </c>
      <c r="AR245" s="47">
        <f>IF($E245=AR$3,$G245,0)-IF($H245=AR$3,$J245,0)</f>
        <v/>
      </c>
      <c r="AS245" s="47">
        <f>IF($E245=AS$3,$G245,0)-IF($H245=AS$3,$J245,0)</f>
        <v/>
      </c>
      <c r="AT245" s="47">
        <f>IF($E245=AT$3,$G245,0)-IF($H245=AT$3,$J245,0)</f>
        <v/>
      </c>
      <c r="AU245" s="47">
        <f>IF($E245=AU$3,$G245,0)-IF($H245=AU$3,$J245,0)</f>
        <v/>
      </c>
      <c r="AV245" s="47">
        <f>IF($E245=AV$3,$G245,0)-IF($H245=AV$3,$J245,0)</f>
        <v/>
      </c>
      <c r="AW245" s="47">
        <f>IF($E245=AW$3,$G245,0)-IF($H245=AW$3,$J245,0)</f>
        <v/>
      </c>
      <c r="AX245" s="47">
        <f>IF($E245=AX$3,$G245,0)-IF($H245=AX$3,$J245,0)</f>
        <v/>
      </c>
      <c r="AY245" s="47">
        <f>IF($E245=AY$3,$G245,0)-IF($H245=AY$3,$J245,0)</f>
        <v/>
      </c>
      <c r="AZ245" s="47">
        <f>IF($E245=AZ$3,$G245,0)-IF($H245=AZ$3,$J245,0)</f>
        <v/>
      </c>
      <c r="BA245" s="47">
        <f>IF($E245=BA$3,$G245,0)-IF($H245=BA$3,$J245,0)</f>
        <v/>
      </c>
      <c r="BB245" s="47">
        <f>IF($E245=BB$3,$G245,0)-IF($H245=BB$3,$J245,0)</f>
        <v/>
      </c>
      <c r="BC245" s="47">
        <f>IF($E245=BC$3,$G245,0)-IF($H245=BC$3,$J245,0)</f>
        <v/>
      </c>
      <c r="BD245" s="47">
        <f>IF($E245=BD$3,$G245,0)-IF($H245=BD$3,$J245,0)</f>
        <v/>
      </c>
      <c r="BE245" s="47">
        <f>IF($E245=BE$3,$G245,0)-IF($H245=BE$3,$J245,0)</f>
        <v/>
      </c>
      <c r="BF245" s="47">
        <f>IF($E245=BF$3,$G245,0)-IF($H245=BF$3,$J245,0)</f>
        <v/>
      </c>
      <c r="BG245" s="47">
        <f>IF($E245=BG$3,$G245,0)-IF($H245=BG$3,$J245,0)</f>
        <v/>
      </c>
      <c r="BH245" s="47">
        <f>IF($E245=BH$3,$G245,0)-IF($H245=BH$3,$J245,0)</f>
        <v/>
      </c>
      <c r="BI245" s="47">
        <f>IF($E245=BI$3,$G245,0)-IF($H245=BI$3,$J245,0)</f>
        <v/>
      </c>
      <c r="BJ245" s="47">
        <f>IF($E245=BJ$3,$G245,0)-IF($H245=BJ$3,$J245,0)</f>
        <v/>
      </c>
      <c r="BK245" s="47">
        <f>IF($E245=BK$3,$G245,0)-IF($H245=BK$3,$J245,0)</f>
        <v/>
      </c>
      <c r="BL245" s="46">
        <f>-IF($E245=BL$3,$G245,0)+IF($H245=BL$3,$J245,0)</f>
        <v/>
      </c>
      <c r="BM245" s="47">
        <f>-IF($E245=BM$3,$G245,0)+IF($H245=BM$3,$J245,0)</f>
        <v/>
      </c>
      <c r="BN245" s="47">
        <f>-IF($E245=BN$3,$G245,0)+IF($H245=BN$3,$J245,0)</f>
        <v/>
      </c>
      <c r="BO245" s="47">
        <f>-IF($E245=BO$3,$G245,0)+IF($H245=BO$3,$J245,0)</f>
        <v/>
      </c>
      <c r="BP245" s="47">
        <f>-IF($E245=BP$3,$G245,0)+IF($H245=BP$3,$J245,0)</f>
        <v/>
      </c>
      <c r="BQ245" s="47">
        <f>-IF($E245=BQ$3,$G245,0)+IF($H245=BQ$3,$J245,0)</f>
        <v/>
      </c>
      <c r="BR245" s="47">
        <f>-IF($E245=BR$3,$G245,0)+IF($H245=BR$3,$J245,0)</f>
        <v/>
      </c>
      <c r="BS245" s="47">
        <f>-IF($E245=BS$3,$G245,0)+IF($H245=BS$3,$J245,0)</f>
        <v/>
      </c>
      <c r="BT245" s="47">
        <f>-IF($E245=BT$3,$G245,0)+IF($H245=BT$3,$J245,0)</f>
        <v/>
      </c>
      <c r="BU245" s="46">
        <f>+G245-J245</f>
        <v/>
      </c>
      <c r="BV245" s="48">
        <f>-IF($E245=BV$3,$G245,0)+IF($H245=BV$3,$J245,0)</f>
        <v/>
      </c>
      <c r="BW245" s="3" t="n"/>
    </row>
    <row r="246" ht="15.75" customHeight="1" s="214">
      <c r="A246" s="7" t="n"/>
      <c r="B246" s="8" t="n"/>
      <c r="C246" s="9" t="n"/>
      <c r="D246" s="10" t="n"/>
      <c r="E246" s="247" t="n"/>
      <c r="F246" s="11">
        <f>IF(E246="","",IF(ISNA(VLOOKUP(E246,科目コード表!$C$4:$D$67,2,FALSE)),"該当科目なし",VLOOKUP(E246,科目コード表!$C$4:$D$67,2,FALSE)))</f>
        <v/>
      </c>
      <c r="G246" s="38" t="n"/>
      <c r="H246" s="248" t="n"/>
      <c r="I246" s="11">
        <f>IF(H246="","",IF(ISNA(VLOOKUP(H246,科目コード表!$C$4:$D$67,2,FALSE)),"該当科目なし",VLOOKUP(H246,科目コード表!$C$4:$D$67,2,FALSE)))</f>
        <v/>
      </c>
      <c r="J246" s="40" t="n"/>
      <c r="L246" s="46">
        <f>IF($E246=L$3,$G246,0)-IF($H246=L$3,$J246,0)</f>
        <v/>
      </c>
      <c r="M246" s="47">
        <f>IF($E246=M$3,$G246,0)-IF($H246=M$3,$J246,0)</f>
        <v/>
      </c>
      <c r="N246" s="47">
        <f>IF($E246=N$3,$G246,0)-IF($H246=N$3,$J246,0)</f>
        <v/>
      </c>
      <c r="O246" s="47">
        <f>IF($E246=O$3,$G246,0)-IF($H246=O$3,$J246,0)</f>
        <v/>
      </c>
      <c r="P246" s="47">
        <f>IF($E246=P$3,$G246,0)-IF($H246=P$3,$J246,0)</f>
        <v/>
      </c>
      <c r="Q246" s="47">
        <f>IF($E246=Q$3,$G246,0)-IF($H246=Q$3,$J246,0)</f>
        <v/>
      </c>
      <c r="R246" s="47">
        <f>IF($E246=R$3,$G246,0)-IF($H246=R$3,$J246,0)</f>
        <v/>
      </c>
      <c r="S246" s="47">
        <f>IF($E246=S$3,$G246,0)-IF($H246=S$3,$J246,0)</f>
        <v/>
      </c>
      <c r="T246" s="47">
        <f>IF($E246=T$3,$G246,0)-IF($H246=T$3,$J246,0)</f>
        <v/>
      </c>
      <c r="U246" s="47">
        <f>IF($E246=U$3,$G246,0)-IF($H246=U$3,$J246,0)</f>
        <v/>
      </c>
      <c r="V246" s="47">
        <f>IF($E246=V$3,$G246,0)-IF($H246=V$3,$J246,0)</f>
        <v/>
      </c>
      <c r="W246" s="47">
        <f>IF($E246=W$3,$G246,0)-IF($H246=W$3,$J246,0)</f>
        <v/>
      </c>
      <c r="X246" s="47">
        <f>IF($E246=X$3,$G246,0)-IF($H246=X$3,$J246,0)</f>
        <v/>
      </c>
      <c r="Y246" s="47">
        <f>IF($E246=Y$3,$G246,0)-IF($H246=Y$3,$J246,0)</f>
        <v/>
      </c>
      <c r="Z246" s="47">
        <f>IF($E246=Z$3,$G246,0)-IF($H246=Z$3,$J246,0)</f>
        <v/>
      </c>
      <c r="AA246" s="47">
        <f>IF($E246=AA$3,$G246,0)-IF($H246=AA$3,$J246,0)</f>
        <v/>
      </c>
      <c r="AB246" s="47">
        <f>IF($E246=AB$3,$G246,0)-IF($H246=AB$3,$J246,0)</f>
        <v/>
      </c>
      <c r="AC246" s="47">
        <f>IF($E246=AC$3,$G246,0)-IF($H246=AC$3,$J246,0)</f>
        <v/>
      </c>
      <c r="AD246" s="47">
        <f>IF($E246=AD$3,$G246,0)-IF($H246=AD$3,$J246,0)</f>
        <v/>
      </c>
      <c r="AE246" s="47">
        <f>IF($E246=AE$3,$G246,0)-IF($H246=AE$3,$J246,0)</f>
        <v/>
      </c>
      <c r="AF246" s="47">
        <f>IF($E246=AF$3,$G246,0)-IF($H246=AF$3,$J246,0)</f>
        <v/>
      </c>
      <c r="AG246" s="47">
        <f>IF($E246=AG$3,$G246,0)-IF($H246=AG$3,$J246,0)</f>
        <v/>
      </c>
      <c r="AH246" s="47">
        <f>IF($E246=AH$3,$G246,0)-IF($H246=AH$3,$J246,0)</f>
        <v/>
      </c>
      <c r="AI246" s="47">
        <f>IF($E246=AI$3,$G246,0)-IF($H246=AI$3,$J246,0)</f>
        <v/>
      </c>
      <c r="AJ246" s="47">
        <f>IF($E246=AJ$3,$G246,0)-IF($H246=AJ$3,$J246,0)</f>
        <v/>
      </c>
      <c r="AK246" s="47">
        <f>IF($E246=AK$3,$G246,0)-IF($H246=AK$3,$J246,0)</f>
        <v/>
      </c>
      <c r="AL246" s="48">
        <f>IF($E246=AL$3,$G246,0)-IF($H246=AL$3,$J246,0)</f>
        <v/>
      </c>
      <c r="AM246" s="46">
        <f>-IF($E246=AM$3,$G246,0)+IF($H246=AM$3,$J246,0)</f>
        <v/>
      </c>
      <c r="AN246" s="47">
        <f>-IF($E246=AN$3,$G246,0)+IF($H246=AN$3,$J246,0)</f>
        <v/>
      </c>
      <c r="AO246" s="48">
        <f>-IF($E246=AO$3,$G246,0)+IF($H246=AO$3,$J246,0)</f>
        <v/>
      </c>
      <c r="AP246" s="46">
        <f>IF($E246=AP$3,$G246,0)-IF($H246=AP$3,$J246,0)</f>
        <v/>
      </c>
      <c r="AQ246" s="47">
        <f>IF($E246=AQ$3,$G246,0)-IF($H246=AQ$3,$J246,0)</f>
        <v/>
      </c>
      <c r="AR246" s="47">
        <f>IF($E246=AR$3,$G246,0)-IF($H246=AR$3,$J246,0)</f>
        <v/>
      </c>
      <c r="AS246" s="47">
        <f>IF($E246=AS$3,$G246,0)-IF($H246=AS$3,$J246,0)</f>
        <v/>
      </c>
      <c r="AT246" s="47">
        <f>IF($E246=AT$3,$G246,0)-IF($H246=AT$3,$J246,0)</f>
        <v/>
      </c>
      <c r="AU246" s="47">
        <f>IF($E246=AU$3,$G246,0)-IF($H246=AU$3,$J246,0)</f>
        <v/>
      </c>
      <c r="AV246" s="47">
        <f>IF($E246=AV$3,$G246,0)-IF($H246=AV$3,$J246,0)</f>
        <v/>
      </c>
      <c r="AW246" s="47">
        <f>IF($E246=AW$3,$G246,0)-IF($H246=AW$3,$J246,0)</f>
        <v/>
      </c>
      <c r="AX246" s="47">
        <f>IF($E246=AX$3,$G246,0)-IF($H246=AX$3,$J246,0)</f>
        <v/>
      </c>
      <c r="AY246" s="47">
        <f>IF($E246=AY$3,$G246,0)-IF($H246=AY$3,$J246,0)</f>
        <v/>
      </c>
      <c r="AZ246" s="47">
        <f>IF($E246=AZ$3,$G246,0)-IF($H246=AZ$3,$J246,0)</f>
        <v/>
      </c>
      <c r="BA246" s="47">
        <f>IF($E246=BA$3,$G246,0)-IF($H246=BA$3,$J246,0)</f>
        <v/>
      </c>
      <c r="BB246" s="47">
        <f>IF($E246=BB$3,$G246,0)-IF($H246=BB$3,$J246,0)</f>
        <v/>
      </c>
      <c r="BC246" s="47">
        <f>IF($E246=BC$3,$G246,0)-IF($H246=BC$3,$J246,0)</f>
        <v/>
      </c>
      <c r="BD246" s="47">
        <f>IF($E246=BD$3,$G246,0)-IF($H246=BD$3,$J246,0)</f>
        <v/>
      </c>
      <c r="BE246" s="47">
        <f>IF($E246=BE$3,$G246,0)-IF($H246=BE$3,$J246,0)</f>
        <v/>
      </c>
      <c r="BF246" s="47">
        <f>IF($E246=BF$3,$G246,0)-IF($H246=BF$3,$J246,0)</f>
        <v/>
      </c>
      <c r="BG246" s="47">
        <f>IF($E246=BG$3,$G246,0)-IF($H246=BG$3,$J246,0)</f>
        <v/>
      </c>
      <c r="BH246" s="47">
        <f>IF($E246=BH$3,$G246,0)-IF($H246=BH$3,$J246,0)</f>
        <v/>
      </c>
      <c r="BI246" s="47">
        <f>IF($E246=BI$3,$G246,0)-IF($H246=BI$3,$J246,0)</f>
        <v/>
      </c>
      <c r="BJ246" s="47">
        <f>IF($E246=BJ$3,$G246,0)-IF($H246=BJ$3,$J246,0)</f>
        <v/>
      </c>
      <c r="BK246" s="47">
        <f>IF($E246=BK$3,$G246,0)-IF($H246=BK$3,$J246,0)</f>
        <v/>
      </c>
      <c r="BL246" s="46">
        <f>-IF($E246=BL$3,$G246,0)+IF($H246=BL$3,$J246,0)</f>
        <v/>
      </c>
      <c r="BM246" s="47">
        <f>-IF($E246=BM$3,$G246,0)+IF($H246=BM$3,$J246,0)</f>
        <v/>
      </c>
      <c r="BN246" s="47">
        <f>-IF($E246=BN$3,$G246,0)+IF($H246=BN$3,$J246,0)</f>
        <v/>
      </c>
      <c r="BO246" s="47">
        <f>-IF($E246=BO$3,$G246,0)+IF($H246=BO$3,$J246,0)</f>
        <v/>
      </c>
      <c r="BP246" s="47">
        <f>-IF($E246=BP$3,$G246,0)+IF($H246=BP$3,$J246,0)</f>
        <v/>
      </c>
      <c r="BQ246" s="47">
        <f>-IF($E246=BQ$3,$G246,0)+IF($H246=BQ$3,$J246,0)</f>
        <v/>
      </c>
      <c r="BR246" s="47">
        <f>-IF($E246=BR$3,$G246,0)+IF($H246=BR$3,$J246,0)</f>
        <v/>
      </c>
      <c r="BS246" s="47">
        <f>-IF($E246=BS$3,$G246,0)+IF($H246=BS$3,$J246,0)</f>
        <v/>
      </c>
      <c r="BT246" s="47">
        <f>-IF($E246=BT$3,$G246,0)+IF($H246=BT$3,$J246,0)</f>
        <v/>
      </c>
      <c r="BU246" s="46">
        <f>+G246-J246</f>
        <v/>
      </c>
      <c r="BV246" s="48">
        <f>-IF($E246=BV$3,$G246,0)+IF($H246=BV$3,$J246,0)</f>
        <v/>
      </c>
      <c r="BW246" s="3" t="n"/>
    </row>
    <row r="247" ht="15.75" customHeight="1" s="214">
      <c r="A247" s="7" t="n"/>
      <c r="B247" s="8" t="n"/>
      <c r="C247" s="9" t="n"/>
      <c r="D247" s="10" t="n"/>
      <c r="E247" s="247" t="n"/>
      <c r="F247" s="11">
        <f>IF(E247="","",IF(ISNA(VLOOKUP(E247,科目コード表!$C$4:$D$67,2,FALSE)),"該当科目なし",VLOOKUP(E247,科目コード表!$C$4:$D$67,2,FALSE)))</f>
        <v/>
      </c>
      <c r="G247" s="38" t="n"/>
      <c r="H247" s="248" t="n"/>
      <c r="I247" s="11">
        <f>IF(H247="","",IF(ISNA(VLOOKUP(H247,科目コード表!$C$4:$D$67,2,FALSE)),"該当科目なし",VLOOKUP(H247,科目コード表!$C$4:$D$67,2,FALSE)))</f>
        <v/>
      </c>
      <c r="J247" s="40" t="n"/>
      <c r="L247" s="46">
        <f>IF($E247=L$3,$G247,0)-IF($H247=L$3,$J247,0)</f>
        <v/>
      </c>
      <c r="M247" s="47">
        <f>IF($E247=M$3,$G247,0)-IF($H247=M$3,$J247,0)</f>
        <v/>
      </c>
      <c r="N247" s="47">
        <f>IF($E247=N$3,$G247,0)-IF($H247=N$3,$J247,0)</f>
        <v/>
      </c>
      <c r="O247" s="47">
        <f>IF($E247=O$3,$G247,0)-IF($H247=O$3,$J247,0)</f>
        <v/>
      </c>
      <c r="P247" s="47">
        <f>IF($E247=P$3,$G247,0)-IF($H247=P$3,$J247,0)</f>
        <v/>
      </c>
      <c r="Q247" s="47">
        <f>IF($E247=Q$3,$G247,0)-IF($H247=Q$3,$J247,0)</f>
        <v/>
      </c>
      <c r="R247" s="47">
        <f>IF($E247=R$3,$G247,0)-IF($H247=R$3,$J247,0)</f>
        <v/>
      </c>
      <c r="S247" s="47">
        <f>IF($E247=S$3,$G247,0)-IF($H247=S$3,$J247,0)</f>
        <v/>
      </c>
      <c r="T247" s="47">
        <f>IF($E247=T$3,$G247,0)-IF($H247=T$3,$J247,0)</f>
        <v/>
      </c>
      <c r="U247" s="47">
        <f>IF($E247=U$3,$G247,0)-IF($H247=U$3,$J247,0)</f>
        <v/>
      </c>
      <c r="V247" s="47">
        <f>IF($E247=V$3,$G247,0)-IF($H247=V$3,$J247,0)</f>
        <v/>
      </c>
      <c r="W247" s="47">
        <f>IF($E247=W$3,$G247,0)-IF($H247=W$3,$J247,0)</f>
        <v/>
      </c>
      <c r="X247" s="47">
        <f>IF($E247=X$3,$G247,0)-IF($H247=X$3,$J247,0)</f>
        <v/>
      </c>
      <c r="Y247" s="47">
        <f>IF($E247=Y$3,$G247,0)-IF($H247=Y$3,$J247,0)</f>
        <v/>
      </c>
      <c r="Z247" s="47">
        <f>IF($E247=Z$3,$G247,0)-IF($H247=Z$3,$J247,0)</f>
        <v/>
      </c>
      <c r="AA247" s="47">
        <f>IF($E247=AA$3,$G247,0)-IF($H247=AA$3,$J247,0)</f>
        <v/>
      </c>
      <c r="AB247" s="47">
        <f>IF($E247=AB$3,$G247,0)-IF($H247=AB$3,$J247,0)</f>
        <v/>
      </c>
      <c r="AC247" s="47">
        <f>IF($E247=AC$3,$G247,0)-IF($H247=AC$3,$J247,0)</f>
        <v/>
      </c>
      <c r="AD247" s="47">
        <f>IF($E247=AD$3,$G247,0)-IF($H247=AD$3,$J247,0)</f>
        <v/>
      </c>
      <c r="AE247" s="47">
        <f>IF($E247=AE$3,$G247,0)-IF($H247=AE$3,$J247,0)</f>
        <v/>
      </c>
      <c r="AF247" s="47">
        <f>IF($E247=AF$3,$G247,0)-IF($H247=AF$3,$J247,0)</f>
        <v/>
      </c>
      <c r="AG247" s="47">
        <f>IF($E247=AG$3,$G247,0)-IF($H247=AG$3,$J247,0)</f>
        <v/>
      </c>
      <c r="AH247" s="47">
        <f>IF($E247=AH$3,$G247,0)-IF($H247=AH$3,$J247,0)</f>
        <v/>
      </c>
      <c r="AI247" s="47">
        <f>IF($E247=AI$3,$G247,0)-IF($H247=AI$3,$J247,0)</f>
        <v/>
      </c>
      <c r="AJ247" s="47">
        <f>IF($E247=AJ$3,$G247,0)-IF($H247=AJ$3,$J247,0)</f>
        <v/>
      </c>
      <c r="AK247" s="47">
        <f>IF($E247=AK$3,$G247,0)-IF($H247=AK$3,$J247,0)</f>
        <v/>
      </c>
      <c r="AL247" s="48">
        <f>IF($E247=AL$3,$G247,0)-IF($H247=AL$3,$J247,0)</f>
        <v/>
      </c>
      <c r="AM247" s="46">
        <f>-IF($E247=AM$3,$G247,0)+IF($H247=AM$3,$J247,0)</f>
        <v/>
      </c>
      <c r="AN247" s="47">
        <f>-IF($E247=AN$3,$G247,0)+IF($H247=AN$3,$J247,0)</f>
        <v/>
      </c>
      <c r="AO247" s="48">
        <f>-IF($E247=AO$3,$G247,0)+IF($H247=AO$3,$J247,0)</f>
        <v/>
      </c>
      <c r="AP247" s="46">
        <f>IF($E247=AP$3,$G247,0)-IF($H247=AP$3,$J247,0)</f>
        <v/>
      </c>
      <c r="AQ247" s="47">
        <f>IF($E247=AQ$3,$G247,0)-IF($H247=AQ$3,$J247,0)</f>
        <v/>
      </c>
      <c r="AR247" s="47">
        <f>IF($E247=AR$3,$G247,0)-IF($H247=AR$3,$J247,0)</f>
        <v/>
      </c>
      <c r="AS247" s="47">
        <f>IF($E247=AS$3,$G247,0)-IF($H247=AS$3,$J247,0)</f>
        <v/>
      </c>
      <c r="AT247" s="47">
        <f>IF($E247=AT$3,$G247,0)-IF($H247=AT$3,$J247,0)</f>
        <v/>
      </c>
      <c r="AU247" s="47">
        <f>IF($E247=AU$3,$G247,0)-IF($H247=AU$3,$J247,0)</f>
        <v/>
      </c>
      <c r="AV247" s="47">
        <f>IF($E247=AV$3,$G247,0)-IF($H247=AV$3,$J247,0)</f>
        <v/>
      </c>
      <c r="AW247" s="47">
        <f>IF($E247=AW$3,$G247,0)-IF($H247=AW$3,$J247,0)</f>
        <v/>
      </c>
      <c r="AX247" s="47">
        <f>IF($E247=AX$3,$G247,0)-IF($H247=AX$3,$J247,0)</f>
        <v/>
      </c>
      <c r="AY247" s="47">
        <f>IF($E247=AY$3,$G247,0)-IF($H247=AY$3,$J247,0)</f>
        <v/>
      </c>
      <c r="AZ247" s="47">
        <f>IF($E247=AZ$3,$G247,0)-IF($H247=AZ$3,$J247,0)</f>
        <v/>
      </c>
      <c r="BA247" s="47">
        <f>IF($E247=BA$3,$G247,0)-IF($H247=BA$3,$J247,0)</f>
        <v/>
      </c>
      <c r="BB247" s="47">
        <f>IF($E247=BB$3,$G247,0)-IF($H247=BB$3,$J247,0)</f>
        <v/>
      </c>
      <c r="BC247" s="47">
        <f>IF($E247=BC$3,$G247,0)-IF($H247=BC$3,$J247,0)</f>
        <v/>
      </c>
      <c r="BD247" s="47">
        <f>IF($E247=BD$3,$G247,0)-IF($H247=BD$3,$J247,0)</f>
        <v/>
      </c>
      <c r="BE247" s="47">
        <f>IF($E247=BE$3,$G247,0)-IF($H247=BE$3,$J247,0)</f>
        <v/>
      </c>
      <c r="BF247" s="47">
        <f>IF($E247=BF$3,$G247,0)-IF($H247=BF$3,$J247,0)</f>
        <v/>
      </c>
      <c r="BG247" s="47">
        <f>IF($E247=BG$3,$G247,0)-IF($H247=BG$3,$J247,0)</f>
        <v/>
      </c>
      <c r="BH247" s="47">
        <f>IF($E247=BH$3,$G247,0)-IF($H247=BH$3,$J247,0)</f>
        <v/>
      </c>
      <c r="BI247" s="47">
        <f>IF($E247=BI$3,$G247,0)-IF($H247=BI$3,$J247,0)</f>
        <v/>
      </c>
      <c r="BJ247" s="47">
        <f>IF($E247=BJ$3,$G247,0)-IF($H247=BJ$3,$J247,0)</f>
        <v/>
      </c>
      <c r="BK247" s="47">
        <f>IF($E247=BK$3,$G247,0)-IF($H247=BK$3,$J247,0)</f>
        <v/>
      </c>
      <c r="BL247" s="46">
        <f>-IF($E247=BL$3,$G247,0)+IF($H247=BL$3,$J247,0)</f>
        <v/>
      </c>
      <c r="BM247" s="47">
        <f>-IF($E247=BM$3,$G247,0)+IF($H247=BM$3,$J247,0)</f>
        <v/>
      </c>
      <c r="BN247" s="47">
        <f>-IF($E247=BN$3,$G247,0)+IF($H247=BN$3,$J247,0)</f>
        <v/>
      </c>
      <c r="BO247" s="47">
        <f>-IF($E247=BO$3,$G247,0)+IF($H247=BO$3,$J247,0)</f>
        <v/>
      </c>
      <c r="BP247" s="47">
        <f>-IF($E247=BP$3,$G247,0)+IF($H247=BP$3,$J247,0)</f>
        <v/>
      </c>
      <c r="BQ247" s="47">
        <f>-IF($E247=BQ$3,$G247,0)+IF($H247=BQ$3,$J247,0)</f>
        <v/>
      </c>
      <c r="BR247" s="47">
        <f>-IF($E247=BR$3,$G247,0)+IF($H247=BR$3,$J247,0)</f>
        <v/>
      </c>
      <c r="BS247" s="47">
        <f>-IF($E247=BS$3,$G247,0)+IF($H247=BS$3,$J247,0)</f>
        <v/>
      </c>
      <c r="BT247" s="47">
        <f>-IF($E247=BT$3,$G247,0)+IF($H247=BT$3,$J247,0)</f>
        <v/>
      </c>
      <c r="BU247" s="46">
        <f>+G247-J247</f>
        <v/>
      </c>
      <c r="BV247" s="48">
        <f>-IF($E247=BV$3,$G247,0)+IF($H247=BV$3,$J247,0)</f>
        <v/>
      </c>
      <c r="BW247" s="3" t="n"/>
    </row>
    <row r="248" ht="15.75" customHeight="1" s="214">
      <c r="A248" s="7" t="n"/>
      <c r="B248" s="8" t="n"/>
      <c r="C248" s="9" t="n"/>
      <c r="D248" s="10" t="n"/>
      <c r="E248" s="247" t="n"/>
      <c r="F248" s="11">
        <f>IF(E248="","",IF(ISNA(VLOOKUP(E248,科目コード表!$C$4:$D$67,2,FALSE)),"該当科目なし",VLOOKUP(E248,科目コード表!$C$4:$D$67,2,FALSE)))</f>
        <v/>
      </c>
      <c r="G248" s="38" t="n"/>
      <c r="H248" s="248" t="n"/>
      <c r="I248" s="11">
        <f>IF(H248="","",IF(ISNA(VLOOKUP(H248,科目コード表!$C$4:$D$67,2,FALSE)),"該当科目なし",VLOOKUP(H248,科目コード表!$C$4:$D$67,2,FALSE)))</f>
        <v/>
      </c>
      <c r="J248" s="40" t="n"/>
      <c r="L248" s="46">
        <f>IF($E248=L$3,$G248,0)-IF($H248=L$3,$J248,0)</f>
        <v/>
      </c>
      <c r="M248" s="47">
        <f>IF($E248=M$3,$G248,0)-IF($H248=M$3,$J248,0)</f>
        <v/>
      </c>
      <c r="N248" s="47">
        <f>IF($E248=N$3,$G248,0)-IF($H248=N$3,$J248,0)</f>
        <v/>
      </c>
      <c r="O248" s="47">
        <f>IF($E248=O$3,$G248,0)-IF($H248=O$3,$J248,0)</f>
        <v/>
      </c>
      <c r="P248" s="47">
        <f>IF($E248=P$3,$G248,0)-IF($H248=P$3,$J248,0)</f>
        <v/>
      </c>
      <c r="Q248" s="47">
        <f>IF($E248=Q$3,$G248,0)-IF($H248=Q$3,$J248,0)</f>
        <v/>
      </c>
      <c r="R248" s="47">
        <f>IF($E248=R$3,$G248,0)-IF($H248=R$3,$J248,0)</f>
        <v/>
      </c>
      <c r="S248" s="47">
        <f>IF($E248=S$3,$G248,0)-IF($H248=S$3,$J248,0)</f>
        <v/>
      </c>
      <c r="T248" s="47">
        <f>IF($E248=T$3,$G248,0)-IF($H248=T$3,$J248,0)</f>
        <v/>
      </c>
      <c r="U248" s="47">
        <f>IF($E248=U$3,$G248,0)-IF($H248=U$3,$J248,0)</f>
        <v/>
      </c>
      <c r="V248" s="47">
        <f>IF($E248=V$3,$G248,0)-IF($H248=V$3,$J248,0)</f>
        <v/>
      </c>
      <c r="W248" s="47">
        <f>IF($E248=W$3,$G248,0)-IF($H248=W$3,$J248,0)</f>
        <v/>
      </c>
      <c r="X248" s="47">
        <f>IF($E248=X$3,$G248,0)-IF($H248=X$3,$J248,0)</f>
        <v/>
      </c>
      <c r="Y248" s="47">
        <f>IF($E248=Y$3,$G248,0)-IF($H248=Y$3,$J248,0)</f>
        <v/>
      </c>
      <c r="Z248" s="47">
        <f>IF($E248=Z$3,$G248,0)-IF($H248=Z$3,$J248,0)</f>
        <v/>
      </c>
      <c r="AA248" s="47">
        <f>IF($E248=AA$3,$G248,0)-IF($H248=AA$3,$J248,0)</f>
        <v/>
      </c>
      <c r="AB248" s="47">
        <f>IF($E248=AB$3,$G248,0)-IF($H248=AB$3,$J248,0)</f>
        <v/>
      </c>
      <c r="AC248" s="47">
        <f>IF($E248=AC$3,$G248,0)-IF($H248=AC$3,$J248,0)</f>
        <v/>
      </c>
      <c r="AD248" s="47">
        <f>IF($E248=AD$3,$G248,0)-IF($H248=AD$3,$J248,0)</f>
        <v/>
      </c>
      <c r="AE248" s="47">
        <f>IF($E248=AE$3,$G248,0)-IF($H248=AE$3,$J248,0)</f>
        <v/>
      </c>
      <c r="AF248" s="47">
        <f>IF($E248=AF$3,$G248,0)-IF($H248=AF$3,$J248,0)</f>
        <v/>
      </c>
      <c r="AG248" s="47">
        <f>IF($E248=AG$3,$G248,0)-IF($H248=AG$3,$J248,0)</f>
        <v/>
      </c>
      <c r="AH248" s="47">
        <f>IF($E248=AH$3,$G248,0)-IF($H248=AH$3,$J248,0)</f>
        <v/>
      </c>
      <c r="AI248" s="47">
        <f>IF($E248=AI$3,$G248,0)-IF($H248=AI$3,$J248,0)</f>
        <v/>
      </c>
      <c r="AJ248" s="47">
        <f>IF($E248=AJ$3,$G248,0)-IF($H248=AJ$3,$J248,0)</f>
        <v/>
      </c>
      <c r="AK248" s="47">
        <f>IF($E248=AK$3,$G248,0)-IF($H248=AK$3,$J248,0)</f>
        <v/>
      </c>
      <c r="AL248" s="48">
        <f>IF($E248=AL$3,$G248,0)-IF($H248=AL$3,$J248,0)</f>
        <v/>
      </c>
      <c r="AM248" s="46">
        <f>-IF($E248=AM$3,$G248,0)+IF($H248=AM$3,$J248,0)</f>
        <v/>
      </c>
      <c r="AN248" s="47">
        <f>-IF($E248=AN$3,$G248,0)+IF($H248=AN$3,$J248,0)</f>
        <v/>
      </c>
      <c r="AO248" s="48">
        <f>-IF($E248=AO$3,$G248,0)+IF($H248=AO$3,$J248,0)</f>
        <v/>
      </c>
      <c r="AP248" s="46">
        <f>IF($E248=AP$3,$G248,0)-IF($H248=AP$3,$J248,0)</f>
        <v/>
      </c>
      <c r="AQ248" s="47">
        <f>IF($E248=AQ$3,$G248,0)-IF($H248=AQ$3,$J248,0)</f>
        <v/>
      </c>
      <c r="AR248" s="47">
        <f>IF($E248=AR$3,$G248,0)-IF($H248=AR$3,$J248,0)</f>
        <v/>
      </c>
      <c r="AS248" s="47">
        <f>IF($E248=AS$3,$G248,0)-IF($H248=AS$3,$J248,0)</f>
        <v/>
      </c>
      <c r="AT248" s="47">
        <f>IF($E248=AT$3,$G248,0)-IF($H248=AT$3,$J248,0)</f>
        <v/>
      </c>
      <c r="AU248" s="47">
        <f>IF($E248=AU$3,$G248,0)-IF($H248=AU$3,$J248,0)</f>
        <v/>
      </c>
      <c r="AV248" s="47">
        <f>IF($E248=AV$3,$G248,0)-IF($H248=AV$3,$J248,0)</f>
        <v/>
      </c>
      <c r="AW248" s="47">
        <f>IF($E248=AW$3,$G248,0)-IF($H248=AW$3,$J248,0)</f>
        <v/>
      </c>
      <c r="AX248" s="47">
        <f>IF($E248=AX$3,$G248,0)-IF($H248=AX$3,$J248,0)</f>
        <v/>
      </c>
      <c r="AY248" s="47">
        <f>IF($E248=AY$3,$G248,0)-IF($H248=AY$3,$J248,0)</f>
        <v/>
      </c>
      <c r="AZ248" s="47">
        <f>IF($E248=AZ$3,$G248,0)-IF($H248=AZ$3,$J248,0)</f>
        <v/>
      </c>
      <c r="BA248" s="47">
        <f>IF($E248=BA$3,$G248,0)-IF($H248=BA$3,$J248,0)</f>
        <v/>
      </c>
      <c r="BB248" s="47">
        <f>IF($E248=BB$3,$G248,0)-IF($H248=BB$3,$J248,0)</f>
        <v/>
      </c>
      <c r="BC248" s="47">
        <f>IF($E248=BC$3,$G248,0)-IF($H248=BC$3,$J248,0)</f>
        <v/>
      </c>
      <c r="BD248" s="47">
        <f>IF($E248=BD$3,$G248,0)-IF($H248=BD$3,$J248,0)</f>
        <v/>
      </c>
      <c r="BE248" s="47">
        <f>IF($E248=BE$3,$G248,0)-IF($H248=BE$3,$J248,0)</f>
        <v/>
      </c>
      <c r="BF248" s="47">
        <f>IF($E248=BF$3,$G248,0)-IF($H248=BF$3,$J248,0)</f>
        <v/>
      </c>
      <c r="BG248" s="47">
        <f>IF($E248=BG$3,$G248,0)-IF($H248=BG$3,$J248,0)</f>
        <v/>
      </c>
      <c r="BH248" s="47">
        <f>IF($E248=BH$3,$G248,0)-IF($H248=BH$3,$J248,0)</f>
        <v/>
      </c>
      <c r="BI248" s="47">
        <f>IF($E248=BI$3,$G248,0)-IF($H248=BI$3,$J248,0)</f>
        <v/>
      </c>
      <c r="BJ248" s="47">
        <f>IF($E248=BJ$3,$G248,0)-IF($H248=BJ$3,$J248,0)</f>
        <v/>
      </c>
      <c r="BK248" s="47">
        <f>IF($E248=BK$3,$G248,0)-IF($H248=BK$3,$J248,0)</f>
        <v/>
      </c>
      <c r="BL248" s="46">
        <f>-IF($E248=BL$3,$G248,0)+IF($H248=BL$3,$J248,0)</f>
        <v/>
      </c>
      <c r="BM248" s="47">
        <f>-IF($E248=BM$3,$G248,0)+IF($H248=BM$3,$J248,0)</f>
        <v/>
      </c>
      <c r="BN248" s="47">
        <f>-IF($E248=BN$3,$G248,0)+IF($H248=BN$3,$J248,0)</f>
        <v/>
      </c>
      <c r="BO248" s="47">
        <f>-IF($E248=BO$3,$G248,0)+IF($H248=BO$3,$J248,0)</f>
        <v/>
      </c>
      <c r="BP248" s="47">
        <f>-IF($E248=BP$3,$G248,0)+IF($H248=BP$3,$J248,0)</f>
        <v/>
      </c>
      <c r="BQ248" s="47">
        <f>-IF($E248=BQ$3,$G248,0)+IF($H248=BQ$3,$J248,0)</f>
        <v/>
      </c>
      <c r="BR248" s="47">
        <f>-IF($E248=BR$3,$G248,0)+IF($H248=BR$3,$J248,0)</f>
        <v/>
      </c>
      <c r="BS248" s="47">
        <f>-IF($E248=BS$3,$G248,0)+IF($H248=BS$3,$J248,0)</f>
        <v/>
      </c>
      <c r="BT248" s="47">
        <f>-IF($E248=BT$3,$G248,0)+IF($H248=BT$3,$J248,0)</f>
        <v/>
      </c>
      <c r="BU248" s="46">
        <f>+G248-J248</f>
        <v/>
      </c>
      <c r="BV248" s="48">
        <f>-IF($E248=BV$3,$G248,0)+IF($H248=BV$3,$J248,0)</f>
        <v/>
      </c>
      <c r="BW248" s="3" t="n"/>
    </row>
    <row r="249" ht="15.75" customHeight="1" s="214">
      <c r="A249" s="7" t="n"/>
      <c r="B249" s="8" t="n"/>
      <c r="C249" s="9" t="n"/>
      <c r="D249" s="10" t="n"/>
      <c r="E249" s="247" t="n"/>
      <c r="F249" s="11">
        <f>IF(E249="","",IF(ISNA(VLOOKUP(E249,科目コード表!$C$4:$D$67,2,FALSE)),"該当科目なし",VLOOKUP(E249,科目コード表!$C$4:$D$67,2,FALSE)))</f>
        <v/>
      </c>
      <c r="G249" s="38" t="n"/>
      <c r="H249" s="248" t="n"/>
      <c r="I249" s="11">
        <f>IF(H249="","",IF(ISNA(VLOOKUP(H249,科目コード表!$C$4:$D$67,2,FALSE)),"該当科目なし",VLOOKUP(H249,科目コード表!$C$4:$D$67,2,FALSE)))</f>
        <v/>
      </c>
      <c r="J249" s="40" t="n"/>
      <c r="L249" s="46">
        <f>IF($E249=L$3,$G249,0)-IF($H249=L$3,$J249,0)</f>
        <v/>
      </c>
      <c r="M249" s="47">
        <f>IF($E249=M$3,$G249,0)-IF($H249=M$3,$J249,0)</f>
        <v/>
      </c>
      <c r="N249" s="47">
        <f>IF($E249=N$3,$G249,0)-IF($H249=N$3,$J249,0)</f>
        <v/>
      </c>
      <c r="O249" s="47">
        <f>IF($E249=O$3,$G249,0)-IF($H249=O$3,$J249,0)</f>
        <v/>
      </c>
      <c r="P249" s="47">
        <f>IF($E249=P$3,$G249,0)-IF($H249=P$3,$J249,0)</f>
        <v/>
      </c>
      <c r="Q249" s="47">
        <f>IF($E249=Q$3,$G249,0)-IF($H249=Q$3,$J249,0)</f>
        <v/>
      </c>
      <c r="R249" s="47">
        <f>IF($E249=R$3,$G249,0)-IF($H249=R$3,$J249,0)</f>
        <v/>
      </c>
      <c r="S249" s="47">
        <f>IF($E249=S$3,$G249,0)-IF($H249=S$3,$J249,0)</f>
        <v/>
      </c>
      <c r="T249" s="47">
        <f>IF($E249=T$3,$G249,0)-IF($H249=T$3,$J249,0)</f>
        <v/>
      </c>
      <c r="U249" s="47">
        <f>IF($E249=U$3,$G249,0)-IF($H249=U$3,$J249,0)</f>
        <v/>
      </c>
      <c r="V249" s="47">
        <f>IF($E249=V$3,$G249,0)-IF($H249=V$3,$J249,0)</f>
        <v/>
      </c>
      <c r="W249" s="47">
        <f>IF($E249=W$3,$G249,0)-IF($H249=W$3,$J249,0)</f>
        <v/>
      </c>
      <c r="X249" s="47">
        <f>IF($E249=X$3,$G249,0)-IF($H249=X$3,$J249,0)</f>
        <v/>
      </c>
      <c r="Y249" s="47">
        <f>IF($E249=Y$3,$G249,0)-IF($H249=Y$3,$J249,0)</f>
        <v/>
      </c>
      <c r="Z249" s="47">
        <f>IF($E249=Z$3,$G249,0)-IF($H249=Z$3,$J249,0)</f>
        <v/>
      </c>
      <c r="AA249" s="47">
        <f>IF($E249=AA$3,$G249,0)-IF($H249=AA$3,$J249,0)</f>
        <v/>
      </c>
      <c r="AB249" s="47">
        <f>IF($E249=AB$3,$G249,0)-IF($H249=AB$3,$J249,0)</f>
        <v/>
      </c>
      <c r="AC249" s="47">
        <f>IF($E249=AC$3,$G249,0)-IF($H249=AC$3,$J249,0)</f>
        <v/>
      </c>
      <c r="AD249" s="47">
        <f>IF($E249=AD$3,$G249,0)-IF($H249=AD$3,$J249,0)</f>
        <v/>
      </c>
      <c r="AE249" s="47">
        <f>IF($E249=AE$3,$G249,0)-IF($H249=AE$3,$J249,0)</f>
        <v/>
      </c>
      <c r="AF249" s="47">
        <f>IF($E249=AF$3,$G249,0)-IF($H249=AF$3,$J249,0)</f>
        <v/>
      </c>
      <c r="AG249" s="47">
        <f>IF($E249=AG$3,$G249,0)-IF($H249=AG$3,$J249,0)</f>
        <v/>
      </c>
      <c r="AH249" s="47">
        <f>IF($E249=AH$3,$G249,0)-IF($H249=AH$3,$J249,0)</f>
        <v/>
      </c>
      <c r="AI249" s="47">
        <f>IF($E249=AI$3,$G249,0)-IF($H249=AI$3,$J249,0)</f>
        <v/>
      </c>
      <c r="AJ249" s="47">
        <f>IF($E249=AJ$3,$G249,0)-IF($H249=AJ$3,$J249,0)</f>
        <v/>
      </c>
      <c r="AK249" s="47">
        <f>IF($E249=AK$3,$G249,0)-IF($H249=AK$3,$J249,0)</f>
        <v/>
      </c>
      <c r="AL249" s="48">
        <f>IF($E249=AL$3,$G249,0)-IF($H249=AL$3,$J249,0)</f>
        <v/>
      </c>
      <c r="AM249" s="46">
        <f>-IF($E249=AM$3,$G249,0)+IF($H249=AM$3,$J249,0)</f>
        <v/>
      </c>
      <c r="AN249" s="47">
        <f>-IF($E249=AN$3,$G249,0)+IF($H249=AN$3,$J249,0)</f>
        <v/>
      </c>
      <c r="AO249" s="48">
        <f>-IF($E249=AO$3,$G249,0)+IF($H249=AO$3,$J249,0)</f>
        <v/>
      </c>
      <c r="AP249" s="46">
        <f>IF($E249=AP$3,$G249,0)-IF($H249=AP$3,$J249,0)</f>
        <v/>
      </c>
      <c r="AQ249" s="47">
        <f>IF($E249=AQ$3,$G249,0)-IF($H249=AQ$3,$J249,0)</f>
        <v/>
      </c>
      <c r="AR249" s="47">
        <f>IF($E249=AR$3,$G249,0)-IF($H249=AR$3,$J249,0)</f>
        <v/>
      </c>
      <c r="AS249" s="47">
        <f>IF($E249=AS$3,$G249,0)-IF($H249=AS$3,$J249,0)</f>
        <v/>
      </c>
      <c r="AT249" s="47">
        <f>IF($E249=AT$3,$G249,0)-IF($H249=AT$3,$J249,0)</f>
        <v/>
      </c>
      <c r="AU249" s="47">
        <f>IF($E249=AU$3,$G249,0)-IF($H249=AU$3,$J249,0)</f>
        <v/>
      </c>
      <c r="AV249" s="47">
        <f>IF($E249=AV$3,$G249,0)-IF($H249=AV$3,$J249,0)</f>
        <v/>
      </c>
      <c r="AW249" s="47">
        <f>IF($E249=AW$3,$G249,0)-IF($H249=AW$3,$J249,0)</f>
        <v/>
      </c>
      <c r="AX249" s="47">
        <f>IF($E249=AX$3,$G249,0)-IF($H249=AX$3,$J249,0)</f>
        <v/>
      </c>
      <c r="AY249" s="47">
        <f>IF($E249=AY$3,$G249,0)-IF($H249=AY$3,$J249,0)</f>
        <v/>
      </c>
      <c r="AZ249" s="47">
        <f>IF($E249=AZ$3,$G249,0)-IF($H249=AZ$3,$J249,0)</f>
        <v/>
      </c>
      <c r="BA249" s="47">
        <f>IF($E249=BA$3,$G249,0)-IF($H249=BA$3,$J249,0)</f>
        <v/>
      </c>
      <c r="BB249" s="47">
        <f>IF($E249=BB$3,$G249,0)-IF($H249=BB$3,$J249,0)</f>
        <v/>
      </c>
      <c r="BC249" s="47">
        <f>IF($E249=BC$3,$G249,0)-IF($H249=BC$3,$J249,0)</f>
        <v/>
      </c>
      <c r="BD249" s="47">
        <f>IF($E249=BD$3,$G249,0)-IF($H249=BD$3,$J249,0)</f>
        <v/>
      </c>
      <c r="BE249" s="47">
        <f>IF($E249=BE$3,$G249,0)-IF($H249=BE$3,$J249,0)</f>
        <v/>
      </c>
      <c r="BF249" s="47">
        <f>IF($E249=BF$3,$G249,0)-IF($H249=BF$3,$J249,0)</f>
        <v/>
      </c>
      <c r="BG249" s="47">
        <f>IF($E249=BG$3,$G249,0)-IF($H249=BG$3,$J249,0)</f>
        <v/>
      </c>
      <c r="BH249" s="47">
        <f>IF($E249=BH$3,$G249,0)-IF($H249=BH$3,$J249,0)</f>
        <v/>
      </c>
      <c r="BI249" s="47">
        <f>IF($E249=BI$3,$G249,0)-IF($H249=BI$3,$J249,0)</f>
        <v/>
      </c>
      <c r="BJ249" s="47">
        <f>IF($E249=BJ$3,$G249,0)-IF($H249=BJ$3,$J249,0)</f>
        <v/>
      </c>
      <c r="BK249" s="47">
        <f>IF($E249=BK$3,$G249,0)-IF($H249=BK$3,$J249,0)</f>
        <v/>
      </c>
      <c r="BL249" s="46">
        <f>-IF($E249=BL$3,$G249,0)+IF($H249=BL$3,$J249,0)</f>
        <v/>
      </c>
      <c r="BM249" s="47">
        <f>-IF($E249=BM$3,$G249,0)+IF($H249=BM$3,$J249,0)</f>
        <v/>
      </c>
      <c r="BN249" s="47">
        <f>-IF($E249=BN$3,$G249,0)+IF($H249=BN$3,$J249,0)</f>
        <v/>
      </c>
      <c r="BO249" s="47">
        <f>-IF($E249=BO$3,$G249,0)+IF($H249=BO$3,$J249,0)</f>
        <v/>
      </c>
      <c r="BP249" s="47">
        <f>-IF($E249=BP$3,$G249,0)+IF($H249=BP$3,$J249,0)</f>
        <v/>
      </c>
      <c r="BQ249" s="47">
        <f>-IF($E249=BQ$3,$G249,0)+IF($H249=BQ$3,$J249,0)</f>
        <v/>
      </c>
      <c r="BR249" s="47">
        <f>-IF($E249=BR$3,$G249,0)+IF($H249=BR$3,$J249,0)</f>
        <v/>
      </c>
      <c r="BS249" s="47">
        <f>-IF($E249=BS$3,$G249,0)+IF($H249=BS$3,$J249,0)</f>
        <v/>
      </c>
      <c r="BT249" s="47">
        <f>-IF($E249=BT$3,$G249,0)+IF($H249=BT$3,$J249,0)</f>
        <v/>
      </c>
      <c r="BU249" s="46">
        <f>+G249-J249</f>
        <v/>
      </c>
      <c r="BV249" s="48">
        <f>-IF($E249=BV$3,$G249,0)+IF($H249=BV$3,$J249,0)</f>
        <v/>
      </c>
      <c r="BW249" s="3" t="n"/>
    </row>
    <row r="250" ht="15.75" customHeight="1" s="214">
      <c r="A250" s="7" t="n"/>
      <c r="B250" s="8" t="n"/>
      <c r="C250" s="9" t="n"/>
      <c r="D250" s="10" t="n"/>
      <c r="E250" s="247" t="n"/>
      <c r="F250" s="11">
        <f>IF(E250="","",IF(ISNA(VLOOKUP(E250,科目コード表!$C$4:$D$67,2,FALSE)),"該当科目なし",VLOOKUP(E250,科目コード表!$C$4:$D$67,2,FALSE)))</f>
        <v/>
      </c>
      <c r="G250" s="38" t="n"/>
      <c r="H250" s="248" t="n"/>
      <c r="I250" s="11">
        <f>IF(H250="","",IF(ISNA(VLOOKUP(H250,科目コード表!$C$4:$D$67,2,FALSE)),"該当科目なし",VLOOKUP(H250,科目コード表!$C$4:$D$67,2,FALSE)))</f>
        <v/>
      </c>
      <c r="J250" s="40" t="n"/>
      <c r="L250" s="46">
        <f>IF($E250=L$3,$G250,0)-IF($H250=L$3,$J250,0)</f>
        <v/>
      </c>
      <c r="M250" s="47">
        <f>IF($E250=M$3,$G250,0)-IF($H250=M$3,$J250,0)</f>
        <v/>
      </c>
      <c r="N250" s="47">
        <f>IF($E250=N$3,$G250,0)-IF($H250=N$3,$J250,0)</f>
        <v/>
      </c>
      <c r="O250" s="47">
        <f>IF($E250=O$3,$G250,0)-IF($H250=O$3,$J250,0)</f>
        <v/>
      </c>
      <c r="P250" s="47">
        <f>IF($E250=P$3,$G250,0)-IF($H250=P$3,$J250,0)</f>
        <v/>
      </c>
      <c r="Q250" s="47">
        <f>IF($E250=Q$3,$G250,0)-IF($H250=Q$3,$J250,0)</f>
        <v/>
      </c>
      <c r="R250" s="47">
        <f>IF($E250=R$3,$G250,0)-IF($H250=R$3,$J250,0)</f>
        <v/>
      </c>
      <c r="S250" s="47">
        <f>IF($E250=S$3,$G250,0)-IF($H250=S$3,$J250,0)</f>
        <v/>
      </c>
      <c r="T250" s="47">
        <f>IF($E250=T$3,$G250,0)-IF($H250=T$3,$J250,0)</f>
        <v/>
      </c>
      <c r="U250" s="47">
        <f>IF($E250=U$3,$G250,0)-IF($H250=U$3,$J250,0)</f>
        <v/>
      </c>
      <c r="V250" s="47">
        <f>IF($E250=V$3,$G250,0)-IF($H250=V$3,$J250,0)</f>
        <v/>
      </c>
      <c r="W250" s="47">
        <f>IF($E250=W$3,$G250,0)-IF($H250=W$3,$J250,0)</f>
        <v/>
      </c>
      <c r="X250" s="47">
        <f>IF($E250=X$3,$G250,0)-IF($H250=X$3,$J250,0)</f>
        <v/>
      </c>
      <c r="Y250" s="47">
        <f>IF($E250=Y$3,$G250,0)-IF($H250=Y$3,$J250,0)</f>
        <v/>
      </c>
      <c r="Z250" s="47">
        <f>IF($E250=Z$3,$G250,0)-IF($H250=Z$3,$J250,0)</f>
        <v/>
      </c>
      <c r="AA250" s="47">
        <f>IF($E250=AA$3,$G250,0)-IF($H250=AA$3,$J250,0)</f>
        <v/>
      </c>
      <c r="AB250" s="47">
        <f>IF($E250=AB$3,$G250,0)-IF($H250=AB$3,$J250,0)</f>
        <v/>
      </c>
      <c r="AC250" s="47">
        <f>IF($E250=AC$3,$G250,0)-IF($H250=AC$3,$J250,0)</f>
        <v/>
      </c>
      <c r="AD250" s="47">
        <f>IF($E250=AD$3,$G250,0)-IF($H250=AD$3,$J250,0)</f>
        <v/>
      </c>
      <c r="AE250" s="47">
        <f>IF($E250=AE$3,$G250,0)-IF($H250=AE$3,$J250,0)</f>
        <v/>
      </c>
      <c r="AF250" s="47">
        <f>IF($E250=AF$3,$G250,0)-IF($H250=AF$3,$J250,0)</f>
        <v/>
      </c>
      <c r="AG250" s="47">
        <f>IF($E250=AG$3,$G250,0)-IF($H250=AG$3,$J250,0)</f>
        <v/>
      </c>
      <c r="AH250" s="47">
        <f>IF($E250=AH$3,$G250,0)-IF($H250=AH$3,$J250,0)</f>
        <v/>
      </c>
      <c r="AI250" s="47">
        <f>IF($E250=AI$3,$G250,0)-IF($H250=AI$3,$J250,0)</f>
        <v/>
      </c>
      <c r="AJ250" s="47">
        <f>IF($E250=AJ$3,$G250,0)-IF($H250=AJ$3,$J250,0)</f>
        <v/>
      </c>
      <c r="AK250" s="47">
        <f>IF($E250=AK$3,$G250,0)-IF($H250=AK$3,$J250,0)</f>
        <v/>
      </c>
      <c r="AL250" s="48">
        <f>IF($E250=AL$3,$G250,0)-IF($H250=AL$3,$J250,0)</f>
        <v/>
      </c>
      <c r="AM250" s="46">
        <f>-IF($E250=AM$3,$G250,0)+IF($H250=AM$3,$J250,0)</f>
        <v/>
      </c>
      <c r="AN250" s="47">
        <f>-IF($E250=AN$3,$G250,0)+IF($H250=AN$3,$J250,0)</f>
        <v/>
      </c>
      <c r="AO250" s="48">
        <f>-IF($E250=AO$3,$G250,0)+IF($H250=AO$3,$J250,0)</f>
        <v/>
      </c>
      <c r="AP250" s="46">
        <f>IF($E250=AP$3,$G250,0)-IF($H250=AP$3,$J250,0)</f>
        <v/>
      </c>
      <c r="AQ250" s="47">
        <f>IF($E250=AQ$3,$G250,0)-IF($H250=AQ$3,$J250,0)</f>
        <v/>
      </c>
      <c r="AR250" s="47">
        <f>IF($E250=AR$3,$G250,0)-IF($H250=AR$3,$J250,0)</f>
        <v/>
      </c>
      <c r="AS250" s="47">
        <f>IF($E250=AS$3,$G250,0)-IF($H250=AS$3,$J250,0)</f>
        <v/>
      </c>
      <c r="AT250" s="47">
        <f>IF($E250=AT$3,$G250,0)-IF($H250=AT$3,$J250,0)</f>
        <v/>
      </c>
      <c r="AU250" s="47">
        <f>IF($E250=AU$3,$G250,0)-IF($H250=AU$3,$J250,0)</f>
        <v/>
      </c>
      <c r="AV250" s="47">
        <f>IF($E250=AV$3,$G250,0)-IF($H250=AV$3,$J250,0)</f>
        <v/>
      </c>
      <c r="AW250" s="47">
        <f>IF($E250=AW$3,$G250,0)-IF($H250=AW$3,$J250,0)</f>
        <v/>
      </c>
      <c r="AX250" s="47">
        <f>IF($E250=AX$3,$G250,0)-IF($H250=AX$3,$J250,0)</f>
        <v/>
      </c>
      <c r="AY250" s="47">
        <f>IF($E250=AY$3,$G250,0)-IF($H250=AY$3,$J250,0)</f>
        <v/>
      </c>
      <c r="AZ250" s="47">
        <f>IF($E250=AZ$3,$G250,0)-IF($H250=AZ$3,$J250,0)</f>
        <v/>
      </c>
      <c r="BA250" s="47">
        <f>IF($E250=BA$3,$G250,0)-IF($H250=BA$3,$J250,0)</f>
        <v/>
      </c>
      <c r="BB250" s="47">
        <f>IF($E250=BB$3,$G250,0)-IF($H250=BB$3,$J250,0)</f>
        <v/>
      </c>
      <c r="BC250" s="47">
        <f>IF($E250=BC$3,$G250,0)-IF($H250=BC$3,$J250,0)</f>
        <v/>
      </c>
      <c r="BD250" s="47">
        <f>IF($E250=BD$3,$G250,0)-IF($H250=BD$3,$J250,0)</f>
        <v/>
      </c>
      <c r="BE250" s="47">
        <f>IF($E250=BE$3,$G250,0)-IF($H250=BE$3,$J250,0)</f>
        <v/>
      </c>
      <c r="BF250" s="47">
        <f>IF($E250=BF$3,$G250,0)-IF($H250=BF$3,$J250,0)</f>
        <v/>
      </c>
      <c r="BG250" s="47">
        <f>IF($E250=BG$3,$G250,0)-IF($H250=BG$3,$J250,0)</f>
        <v/>
      </c>
      <c r="BH250" s="47">
        <f>IF($E250=BH$3,$G250,0)-IF($H250=BH$3,$J250,0)</f>
        <v/>
      </c>
      <c r="BI250" s="47">
        <f>IF($E250=BI$3,$G250,0)-IF($H250=BI$3,$J250,0)</f>
        <v/>
      </c>
      <c r="BJ250" s="47">
        <f>IF($E250=BJ$3,$G250,0)-IF($H250=BJ$3,$J250,0)</f>
        <v/>
      </c>
      <c r="BK250" s="47">
        <f>IF($E250=BK$3,$G250,0)-IF($H250=BK$3,$J250,0)</f>
        <v/>
      </c>
      <c r="BL250" s="46">
        <f>-IF($E250=BL$3,$G250,0)+IF($H250=BL$3,$J250,0)</f>
        <v/>
      </c>
      <c r="BM250" s="47">
        <f>-IF($E250=BM$3,$G250,0)+IF($H250=BM$3,$J250,0)</f>
        <v/>
      </c>
      <c r="BN250" s="47">
        <f>-IF($E250=BN$3,$G250,0)+IF($H250=BN$3,$J250,0)</f>
        <v/>
      </c>
      <c r="BO250" s="47">
        <f>-IF($E250=BO$3,$G250,0)+IF($H250=BO$3,$J250,0)</f>
        <v/>
      </c>
      <c r="BP250" s="47">
        <f>-IF($E250=BP$3,$G250,0)+IF($H250=BP$3,$J250,0)</f>
        <v/>
      </c>
      <c r="BQ250" s="47">
        <f>-IF($E250=BQ$3,$G250,0)+IF($H250=BQ$3,$J250,0)</f>
        <v/>
      </c>
      <c r="BR250" s="47">
        <f>-IF($E250=BR$3,$G250,0)+IF($H250=BR$3,$J250,0)</f>
        <v/>
      </c>
      <c r="BS250" s="47">
        <f>-IF($E250=BS$3,$G250,0)+IF($H250=BS$3,$J250,0)</f>
        <v/>
      </c>
      <c r="BT250" s="47">
        <f>-IF($E250=BT$3,$G250,0)+IF($H250=BT$3,$J250,0)</f>
        <v/>
      </c>
      <c r="BU250" s="46">
        <f>+G250-J250</f>
        <v/>
      </c>
      <c r="BV250" s="48">
        <f>-IF($E250=BV$3,$G250,0)+IF($H250=BV$3,$J250,0)</f>
        <v/>
      </c>
      <c r="BW250" s="3" t="n"/>
    </row>
    <row r="251" ht="15.75" customHeight="1" s="214">
      <c r="A251" s="7" t="n"/>
      <c r="B251" s="8" t="n"/>
      <c r="C251" s="9" t="n"/>
      <c r="D251" s="10" t="n"/>
      <c r="E251" s="247" t="n"/>
      <c r="F251" s="11">
        <f>IF(E251="","",IF(ISNA(VLOOKUP(E251,科目コード表!$C$4:$D$67,2,FALSE)),"該当科目なし",VLOOKUP(E251,科目コード表!$C$4:$D$67,2,FALSE)))</f>
        <v/>
      </c>
      <c r="G251" s="38" t="n"/>
      <c r="H251" s="248" t="n"/>
      <c r="I251" s="11">
        <f>IF(H251="","",IF(ISNA(VLOOKUP(H251,科目コード表!$C$4:$D$67,2,FALSE)),"該当科目なし",VLOOKUP(H251,科目コード表!$C$4:$D$67,2,FALSE)))</f>
        <v/>
      </c>
      <c r="J251" s="40" t="n"/>
      <c r="L251" s="46">
        <f>IF($E251=L$3,$G251,0)-IF($H251=L$3,$J251,0)</f>
        <v/>
      </c>
      <c r="M251" s="47">
        <f>IF($E251=M$3,$G251,0)-IF($H251=M$3,$J251,0)</f>
        <v/>
      </c>
      <c r="N251" s="47">
        <f>IF($E251=N$3,$G251,0)-IF($H251=N$3,$J251,0)</f>
        <v/>
      </c>
      <c r="O251" s="47">
        <f>IF($E251=O$3,$G251,0)-IF($H251=O$3,$J251,0)</f>
        <v/>
      </c>
      <c r="P251" s="47">
        <f>IF($E251=P$3,$G251,0)-IF($H251=P$3,$J251,0)</f>
        <v/>
      </c>
      <c r="Q251" s="47">
        <f>IF($E251=Q$3,$G251,0)-IF($H251=Q$3,$J251,0)</f>
        <v/>
      </c>
      <c r="R251" s="47">
        <f>IF($E251=R$3,$G251,0)-IF($H251=R$3,$J251,0)</f>
        <v/>
      </c>
      <c r="S251" s="47">
        <f>IF($E251=S$3,$G251,0)-IF($H251=S$3,$J251,0)</f>
        <v/>
      </c>
      <c r="T251" s="47">
        <f>IF($E251=T$3,$G251,0)-IF($H251=T$3,$J251,0)</f>
        <v/>
      </c>
      <c r="U251" s="47">
        <f>IF($E251=U$3,$G251,0)-IF($H251=U$3,$J251,0)</f>
        <v/>
      </c>
      <c r="V251" s="47">
        <f>IF($E251=V$3,$G251,0)-IF($H251=V$3,$J251,0)</f>
        <v/>
      </c>
      <c r="W251" s="47">
        <f>IF($E251=W$3,$G251,0)-IF($H251=W$3,$J251,0)</f>
        <v/>
      </c>
      <c r="X251" s="47">
        <f>IF($E251=X$3,$G251,0)-IF($H251=X$3,$J251,0)</f>
        <v/>
      </c>
      <c r="Y251" s="47">
        <f>IF($E251=Y$3,$G251,0)-IF($H251=Y$3,$J251,0)</f>
        <v/>
      </c>
      <c r="Z251" s="47">
        <f>IF($E251=Z$3,$G251,0)-IF($H251=Z$3,$J251,0)</f>
        <v/>
      </c>
      <c r="AA251" s="47">
        <f>IF($E251=AA$3,$G251,0)-IF($H251=AA$3,$J251,0)</f>
        <v/>
      </c>
      <c r="AB251" s="47">
        <f>IF($E251=AB$3,$G251,0)-IF($H251=AB$3,$J251,0)</f>
        <v/>
      </c>
      <c r="AC251" s="47">
        <f>IF($E251=AC$3,$G251,0)-IF($H251=AC$3,$J251,0)</f>
        <v/>
      </c>
      <c r="AD251" s="47">
        <f>IF($E251=AD$3,$G251,0)-IF($H251=AD$3,$J251,0)</f>
        <v/>
      </c>
      <c r="AE251" s="47">
        <f>IF($E251=AE$3,$G251,0)-IF($H251=AE$3,$J251,0)</f>
        <v/>
      </c>
      <c r="AF251" s="47">
        <f>IF($E251=AF$3,$G251,0)-IF($H251=AF$3,$J251,0)</f>
        <v/>
      </c>
      <c r="AG251" s="47">
        <f>IF($E251=AG$3,$G251,0)-IF($H251=AG$3,$J251,0)</f>
        <v/>
      </c>
      <c r="AH251" s="47">
        <f>IF($E251=AH$3,$G251,0)-IF($H251=AH$3,$J251,0)</f>
        <v/>
      </c>
      <c r="AI251" s="47">
        <f>IF($E251=AI$3,$G251,0)-IF($H251=AI$3,$J251,0)</f>
        <v/>
      </c>
      <c r="AJ251" s="47">
        <f>IF($E251=AJ$3,$G251,0)-IF($H251=AJ$3,$J251,0)</f>
        <v/>
      </c>
      <c r="AK251" s="47">
        <f>IF($E251=AK$3,$G251,0)-IF($H251=AK$3,$J251,0)</f>
        <v/>
      </c>
      <c r="AL251" s="48">
        <f>IF($E251=AL$3,$G251,0)-IF($H251=AL$3,$J251,0)</f>
        <v/>
      </c>
      <c r="AM251" s="46">
        <f>-IF($E251=AM$3,$G251,0)+IF($H251=AM$3,$J251,0)</f>
        <v/>
      </c>
      <c r="AN251" s="47">
        <f>-IF($E251=AN$3,$G251,0)+IF($H251=AN$3,$J251,0)</f>
        <v/>
      </c>
      <c r="AO251" s="48">
        <f>-IF($E251=AO$3,$G251,0)+IF($H251=AO$3,$J251,0)</f>
        <v/>
      </c>
      <c r="AP251" s="46">
        <f>IF($E251=AP$3,$G251,0)-IF($H251=AP$3,$J251,0)</f>
        <v/>
      </c>
      <c r="AQ251" s="47">
        <f>IF($E251=AQ$3,$G251,0)-IF($H251=AQ$3,$J251,0)</f>
        <v/>
      </c>
      <c r="AR251" s="47">
        <f>IF($E251=AR$3,$G251,0)-IF($H251=AR$3,$J251,0)</f>
        <v/>
      </c>
      <c r="AS251" s="47">
        <f>IF($E251=AS$3,$G251,0)-IF($H251=AS$3,$J251,0)</f>
        <v/>
      </c>
      <c r="AT251" s="47">
        <f>IF($E251=AT$3,$G251,0)-IF($H251=AT$3,$J251,0)</f>
        <v/>
      </c>
      <c r="AU251" s="47">
        <f>IF($E251=AU$3,$G251,0)-IF($H251=AU$3,$J251,0)</f>
        <v/>
      </c>
      <c r="AV251" s="47">
        <f>IF($E251=AV$3,$G251,0)-IF($H251=AV$3,$J251,0)</f>
        <v/>
      </c>
      <c r="AW251" s="47">
        <f>IF($E251=AW$3,$G251,0)-IF($H251=AW$3,$J251,0)</f>
        <v/>
      </c>
      <c r="AX251" s="47">
        <f>IF($E251=AX$3,$G251,0)-IF($H251=AX$3,$J251,0)</f>
        <v/>
      </c>
      <c r="AY251" s="47">
        <f>IF($E251=AY$3,$G251,0)-IF($H251=AY$3,$J251,0)</f>
        <v/>
      </c>
      <c r="AZ251" s="47">
        <f>IF($E251=AZ$3,$G251,0)-IF($H251=AZ$3,$J251,0)</f>
        <v/>
      </c>
      <c r="BA251" s="47">
        <f>IF($E251=BA$3,$G251,0)-IF($H251=BA$3,$J251,0)</f>
        <v/>
      </c>
      <c r="BB251" s="47">
        <f>IF($E251=BB$3,$G251,0)-IF($H251=BB$3,$J251,0)</f>
        <v/>
      </c>
      <c r="BC251" s="47">
        <f>IF($E251=BC$3,$G251,0)-IF($H251=BC$3,$J251,0)</f>
        <v/>
      </c>
      <c r="BD251" s="47">
        <f>IF($E251=BD$3,$G251,0)-IF($H251=BD$3,$J251,0)</f>
        <v/>
      </c>
      <c r="BE251" s="47">
        <f>IF($E251=BE$3,$G251,0)-IF($H251=BE$3,$J251,0)</f>
        <v/>
      </c>
      <c r="BF251" s="47">
        <f>IF($E251=BF$3,$G251,0)-IF($H251=BF$3,$J251,0)</f>
        <v/>
      </c>
      <c r="BG251" s="47">
        <f>IF($E251=BG$3,$G251,0)-IF($H251=BG$3,$J251,0)</f>
        <v/>
      </c>
      <c r="BH251" s="47">
        <f>IF($E251=BH$3,$G251,0)-IF($H251=BH$3,$J251,0)</f>
        <v/>
      </c>
      <c r="BI251" s="47">
        <f>IF($E251=BI$3,$G251,0)-IF($H251=BI$3,$J251,0)</f>
        <v/>
      </c>
      <c r="BJ251" s="47">
        <f>IF($E251=BJ$3,$G251,0)-IF($H251=BJ$3,$J251,0)</f>
        <v/>
      </c>
      <c r="BK251" s="47">
        <f>IF($E251=BK$3,$G251,0)-IF($H251=BK$3,$J251,0)</f>
        <v/>
      </c>
      <c r="BL251" s="46">
        <f>-IF($E251=BL$3,$G251,0)+IF($H251=BL$3,$J251,0)</f>
        <v/>
      </c>
      <c r="BM251" s="47">
        <f>-IF($E251=BM$3,$G251,0)+IF($H251=BM$3,$J251,0)</f>
        <v/>
      </c>
      <c r="BN251" s="47">
        <f>-IF($E251=BN$3,$G251,0)+IF($H251=BN$3,$J251,0)</f>
        <v/>
      </c>
      <c r="BO251" s="47">
        <f>-IF($E251=BO$3,$G251,0)+IF($H251=BO$3,$J251,0)</f>
        <v/>
      </c>
      <c r="BP251" s="47">
        <f>-IF($E251=BP$3,$G251,0)+IF($H251=BP$3,$J251,0)</f>
        <v/>
      </c>
      <c r="BQ251" s="47">
        <f>-IF($E251=BQ$3,$G251,0)+IF($H251=BQ$3,$J251,0)</f>
        <v/>
      </c>
      <c r="BR251" s="47">
        <f>-IF($E251=BR$3,$G251,0)+IF($H251=BR$3,$J251,0)</f>
        <v/>
      </c>
      <c r="BS251" s="47">
        <f>-IF($E251=BS$3,$G251,0)+IF($H251=BS$3,$J251,0)</f>
        <v/>
      </c>
      <c r="BT251" s="47">
        <f>-IF($E251=BT$3,$G251,0)+IF($H251=BT$3,$J251,0)</f>
        <v/>
      </c>
      <c r="BU251" s="46">
        <f>+G251-J251</f>
        <v/>
      </c>
      <c r="BV251" s="48">
        <f>-IF($E251=BV$3,$G251,0)+IF($H251=BV$3,$J251,0)</f>
        <v/>
      </c>
      <c r="BW251" s="3" t="n"/>
    </row>
    <row r="252" ht="15.75" customHeight="1" s="214">
      <c r="A252" s="7" t="n"/>
      <c r="B252" s="8" t="n"/>
      <c r="C252" s="9" t="n"/>
      <c r="D252" s="10" t="n"/>
      <c r="E252" s="247" t="n"/>
      <c r="F252" s="11">
        <f>IF(E252="","",IF(ISNA(VLOOKUP(E252,科目コード表!$C$4:$D$67,2,FALSE)),"該当科目なし",VLOOKUP(E252,科目コード表!$C$4:$D$67,2,FALSE)))</f>
        <v/>
      </c>
      <c r="G252" s="38" t="n"/>
      <c r="H252" s="248" t="n"/>
      <c r="I252" s="11">
        <f>IF(H252="","",IF(ISNA(VLOOKUP(H252,科目コード表!$C$4:$D$67,2,FALSE)),"該当科目なし",VLOOKUP(H252,科目コード表!$C$4:$D$67,2,FALSE)))</f>
        <v/>
      </c>
      <c r="J252" s="40" t="n"/>
      <c r="L252" s="46">
        <f>IF($E252=L$3,$G252,0)-IF($H252=L$3,$J252,0)</f>
        <v/>
      </c>
      <c r="M252" s="47">
        <f>IF($E252=M$3,$G252,0)-IF($H252=M$3,$J252,0)</f>
        <v/>
      </c>
      <c r="N252" s="47">
        <f>IF($E252=N$3,$G252,0)-IF($H252=N$3,$J252,0)</f>
        <v/>
      </c>
      <c r="O252" s="47">
        <f>IF($E252=O$3,$G252,0)-IF($H252=O$3,$J252,0)</f>
        <v/>
      </c>
      <c r="P252" s="47">
        <f>IF($E252=P$3,$G252,0)-IF($H252=P$3,$J252,0)</f>
        <v/>
      </c>
      <c r="Q252" s="47">
        <f>IF($E252=Q$3,$G252,0)-IF($H252=Q$3,$J252,0)</f>
        <v/>
      </c>
      <c r="R252" s="47">
        <f>IF($E252=R$3,$G252,0)-IF($H252=R$3,$J252,0)</f>
        <v/>
      </c>
      <c r="S252" s="47">
        <f>IF($E252=S$3,$G252,0)-IF($H252=S$3,$J252,0)</f>
        <v/>
      </c>
      <c r="T252" s="47">
        <f>IF($E252=T$3,$G252,0)-IF($H252=T$3,$J252,0)</f>
        <v/>
      </c>
      <c r="U252" s="47">
        <f>IF($E252=U$3,$G252,0)-IF($H252=U$3,$J252,0)</f>
        <v/>
      </c>
      <c r="V252" s="47">
        <f>IF($E252=V$3,$G252,0)-IF($H252=V$3,$J252,0)</f>
        <v/>
      </c>
      <c r="W252" s="47">
        <f>IF($E252=W$3,$G252,0)-IF($H252=W$3,$J252,0)</f>
        <v/>
      </c>
      <c r="X252" s="47">
        <f>IF($E252=X$3,$G252,0)-IF($H252=X$3,$J252,0)</f>
        <v/>
      </c>
      <c r="Y252" s="47">
        <f>IF($E252=Y$3,$G252,0)-IF($H252=Y$3,$J252,0)</f>
        <v/>
      </c>
      <c r="Z252" s="47">
        <f>IF($E252=Z$3,$G252,0)-IF($H252=Z$3,$J252,0)</f>
        <v/>
      </c>
      <c r="AA252" s="47">
        <f>IF($E252=AA$3,$G252,0)-IF($H252=AA$3,$J252,0)</f>
        <v/>
      </c>
      <c r="AB252" s="47">
        <f>IF($E252=AB$3,$G252,0)-IF($H252=AB$3,$J252,0)</f>
        <v/>
      </c>
      <c r="AC252" s="47">
        <f>IF($E252=AC$3,$G252,0)-IF($H252=AC$3,$J252,0)</f>
        <v/>
      </c>
      <c r="AD252" s="47">
        <f>IF($E252=AD$3,$G252,0)-IF($H252=AD$3,$J252,0)</f>
        <v/>
      </c>
      <c r="AE252" s="47">
        <f>IF($E252=AE$3,$G252,0)-IF($H252=AE$3,$J252,0)</f>
        <v/>
      </c>
      <c r="AF252" s="47">
        <f>IF($E252=AF$3,$G252,0)-IF($H252=AF$3,$J252,0)</f>
        <v/>
      </c>
      <c r="AG252" s="47">
        <f>IF($E252=AG$3,$G252,0)-IF($H252=AG$3,$J252,0)</f>
        <v/>
      </c>
      <c r="AH252" s="47">
        <f>IF($E252=AH$3,$G252,0)-IF($H252=AH$3,$J252,0)</f>
        <v/>
      </c>
      <c r="AI252" s="47">
        <f>IF($E252=AI$3,$G252,0)-IF($H252=AI$3,$J252,0)</f>
        <v/>
      </c>
      <c r="AJ252" s="47">
        <f>IF($E252=AJ$3,$G252,0)-IF($H252=AJ$3,$J252,0)</f>
        <v/>
      </c>
      <c r="AK252" s="47">
        <f>IF($E252=AK$3,$G252,0)-IF($H252=AK$3,$J252,0)</f>
        <v/>
      </c>
      <c r="AL252" s="48">
        <f>IF($E252=AL$3,$G252,0)-IF($H252=AL$3,$J252,0)</f>
        <v/>
      </c>
      <c r="AM252" s="46">
        <f>-IF($E252=AM$3,$G252,0)+IF($H252=AM$3,$J252,0)</f>
        <v/>
      </c>
      <c r="AN252" s="47">
        <f>-IF($E252=AN$3,$G252,0)+IF($H252=AN$3,$J252,0)</f>
        <v/>
      </c>
      <c r="AO252" s="48">
        <f>-IF($E252=AO$3,$G252,0)+IF($H252=AO$3,$J252,0)</f>
        <v/>
      </c>
      <c r="AP252" s="46">
        <f>IF($E252=AP$3,$G252,0)-IF($H252=AP$3,$J252,0)</f>
        <v/>
      </c>
      <c r="AQ252" s="47">
        <f>IF($E252=AQ$3,$G252,0)-IF($H252=AQ$3,$J252,0)</f>
        <v/>
      </c>
      <c r="AR252" s="47">
        <f>IF($E252=AR$3,$G252,0)-IF($H252=AR$3,$J252,0)</f>
        <v/>
      </c>
      <c r="AS252" s="47">
        <f>IF($E252=AS$3,$G252,0)-IF($H252=AS$3,$J252,0)</f>
        <v/>
      </c>
      <c r="AT252" s="47">
        <f>IF($E252=AT$3,$G252,0)-IF($H252=AT$3,$J252,0)</f>
        <v/>
      </c>
      <c r="AU252" s="47">
        <f>IF($E252=AU$3,$G252,0)-IF($H252=AU$3,$J252,0)</f>
        <v/>
      </c>
      <c r="AV252" s="47">
        <f>IF($E252=AV$3,$G252,0)-IF($H252=AV$3,$J252,0)</f>
        <v/>
      </c>
      <c r="AW252" s="47">
        <f>IF($E252=AW$3,$G252,0)-IF($H252=AW$3,$J252,0)</f>
        <v/>
      </c>
      <c r="AX252" s="47">
        <f>IF($E252=AX$3,$G252,0)-IF($H252=AX$3,$J252,0)</f>
        <v/>
      </c>
      <c r="AY252" s="47">
        <f>IF($E252=AY$3,$G252,0)-IF($H252=AY$3,$J252,0)</f>
        <v/>
      </c>
      <c r="AZ252" s="47">
        <f>IF($E252=AZ$3,$G252,0)-IF($H252=AZ$3,$J252,0)</f>
        <v/>
      </c>
      <c r="BA252" s="47">
        <f>IF($E252=BA$3,$G252,0)-IF($H252=BA$3,$J252,0)</f>
        <v/>
      </c>
      <c r="BB252" s="47">
        <f>IF($E252=BB$3,$G252,0)-IF($H252=BB$3,$J252,0)</f>
        <v/>
      </c>
      <c r="BC252" s="47">
        <f>IF($E252=BC$3,$G252,0)-IF($H252=BC$3,$J252,0)</f>
        <v/>
      </c>
      <c r="BD252" s="47">
        <f>IF($E252=BD$3,$G252,0)-IF($H252=BD$3,$J252,0)</f>
        <v/>
      </c>
      <c r="BE252" s="47">
        <f>IF($E252=BE$3,$G252,0)-IF($H252=BE$3,$J252,0)</f>
        <v/>
      </c>
      <c r="BF252" s="47">
        <f>IF($E252=BF$3,$G252,0)-IF($H252=BF$3,$J252,0)</f>
        <v/>
      </c>
      <c r="BG252" s="47">
        <f>IF($E252=BG$3,$G252,0)-IF($H252=BG$3,$J252,0)</f>
        <v/>
      </c>
      <c r="BH252" s="47">
        <f>IF($E252=BH$3,$G252,0)-IF($H252=BH$3,$J252,0)</f>
        <v/>
      </c>
      <c r="BI252" s="47">
        <f>IF($E252=BI$3,$G252,0)-IF($H252=BI$3,$J252,0)</f>
        <v/>
      </c>
      <c r="BJ252" s="47">
        <f>IF($E252=BJ$3,$G252,0)-IF($H252=BJ$3,$J252,0)</f>
        <v/>
      </c>
      <c r="BK252" s="47">
        <f>IF($E252=BK$3,$G252,0)-IF($H252=BK$3,$J252,0)</f>
        <v/>
      </c>
      <c r="BL252" s="46">
        <f>-IF($E252=BL$3,$G252,0)+IF($H252=BL$3,$J252,0)</f>
        <v/>
      </c>
      <c r="BM252" s="47">
        <f>-IF($E252=BM$3,$G252,0)+IF($H252=BM$3,$J252,0)</f>
        <v/>
      </c>
      <c r="BN252" s="47">
        <f>-IF($E252=BN$3,$G252,0)+IF($H252=BN$3,$J252,0)</f>
        <v/>
      </c>
      <c r="BO252" s="47">
        <f>-IF($E252=BO$3,$G252,0)+IF($H252=BO$3,$J252,0)</f>
        <v/>
      </c>
      <c r="BP252" s="47">
        <f>-IF($E252=BP$3,$G252,0)+IF($H252=BP$3,$J252,0)</f>
        <v/>
      </c>
      <c r="BQ252" s="47">
        <f>-IF($E252=BQ$3,$G252,0)+IF($H252=BQ$3,$J252,0)</f>
        <v/>
      </c>
      <c r="BR252" s="47">
        <f>-IF($E252=BR$3,$G252,0)+IF($H252=BR$3,$J252,0)</f>
        <v/>
      </c>
      <c r="BS252" s="47">
        <f>-IF($E252=BS$3,$G252,0)+IF($H252=BS$3,$J252,0)</f>
        <v/>
      </c>
      <c r="BT252" s="47">
        <f>-IF($E252=BT$3,$G252,0)+IF($H252=BT$3,$J252,0)</f>
        <v/>
      </c>
      <c r="BU252" s="46">
        <f>+G252-J252</f>
        <v/>
      </c>
      <c r="BV252" s="48">
        <f>-IF($E252=BV$3,$G252,0)+IF($H252=BV$3,$J252,0)</f>
        <v/>
      </c>
      <c r="BW252" s="3" t="n"/>
    </row>
    <row r="253" ht="15.75" customHeight="1" s="214">
      <c r="A253" s="7" t="n"/>
      <c r="B253" s="8" t="n"/>
      <c r="C253" s="9" t="n"/>
      <c r="D253" s="10" t="n"/>
      <c r="E253" s="247" t="n"/>
      <c r="F253" s="11">
        <f>IF(E253="","",IF(ISNA(VLOOKUP(E253,科目コード表!$C$4:$D$67,2,FALSE)),"該当科目なし",VLOOKUP(E253,科目コード表!$C$4:$D$67,2,FALSE)))</f>
        <v/>
      </c>
      <c r="G253" s="38" t="n"/>
      <c r="H253" s="248" t="n"/>
      <c r="I253" s="11">
        <f>IF(H253="","",IF(ISNA(VLOOKUP(H253,科目コード表!$C$4:$D$67,2,FALSE)),"該当科目なし",VLOOKUP(H253,科目コード表!$C$4:$D$67,2,FALSE)))</f>
        <v/>
      </c>
      <c r="J253" s="40" t="n"/>
      <c r="L253" s="46">
        <f>IF($E253=L$3,$G253,0)-IF($H253=L$3,$J253,0)</f>
        <v/>
      </c>
      <c r="M253" s="47">
        <f>IF($E253=M$3,$G253,0)-IF($H253=M$3,$J253,0)</f>
        <v/>
      </c>
      <c r="N253" s="47">
        <f>IF($E253=N$3,$G253,0)-IF($H253=N$3,$J253,0)</f>
        <v/>
      </c>
      <c r="O253" s="47">
        <f>IF($E253=O$3,$G253,0)-IF($H253=O$3,$J253,0)</f>
        <v/>
      </c>
      <c r="P253" s="47">
        <f>IF($E253=P$3,$G253,0)-IF($H253=P$3,$J253,0)</f>
        <v/>
      </c>
      <c r="Q253" s="47">
        <f>IF($E253=Q$3,$G253,0)-IF($H253=Q$3,$J253,0)</f>
        <v/>
      </c>
      <c r="R253" s="47">
        <f>IF($E253=R$3,$G253,0)-IF($H253=R$3,$J253,0)</f>
        <v/>
      </c>
      <c r="S253" s="47">
        <f>IF($E253=S$3,$G253,0)-IF($H253=S$3,$J253,0)</f>
        <v/>
      </c>
      <c r="T253" s="47">
        <f>IF($E253=T$3,$G253,0)-IF($H253=T$3,$J253,0)</f>
        <v/>
      </c>
      <c r="U253" s="47">
        <f>IF($E253=U$3,$G253,0)-IF($H253=U$3,$J253,0)</f>
        <v/>
      </c>
      <c r="V253" s="47">
        <f>IF($E253=V$3,$G253,0)-IF($H253=V$3,$J253,0)</f>
        <v/>
      </c>
      <c r="W253" s="47">
        <f>IF($E253=W$3,$G253,0)-IF($H253=W$3,$J253,0)</f>
        <v/>
      </c>
      <c r="X253" s="47">
        <f>IF($E253=X$3,$G253,0)-IF($H253=X$3,$J253,0)</f>
        <v/>
      </c>
      <c r="Y253" s="47">
        <f>IF($E253=Y$3,$G253,0)-IF($H253=Y$3,$J253,0)</f>
        <v/>
      </c>
      <c r="Z253" s="47">
        <f>IF($E253=Z$3,$G253,0)-IF($H253=Z$3,$J253,0)</f>
        <v/>
      </c>
      <c r="AA253" s="47">
        <f>IF($E253=AA$3,$G253,0)-IF($H253=AA$3,$J253,0)</f>
        <v/>
      </c>
      <c r="AB253" s="47">
        <f>IF($E253=AB$3,$G253,0)-IF($H253=AB$3,$J253,0)</f>
        <v/>
      </c>
      <c r="AC253" s="47">
        <f>IF($E253=AC$3,$G253,0)-IF($H253=AC$3,$J253,0)</f>
        <v/>
      </c>
      <c r="AD253" s="47">
        <f>IF($E253=AD$3,$G253,0)-IF($H253=AD$3,$J253,0)</f>
        <v/>
      </c>
      <c r="AE253" s="47">
        <f>IF($E253=AE$3,$G253,0)-IF($H253=AE$3,$J253,0)</f>
        <v/>
      </c>
      <c r="AF253" s="47">
        <f>IF($E253=AF$3,$G253,0)-IF($H253=AF$3,$J253,0)</f>
        <v/>
      </c>
      <c r="AG253" s="47">
        <f>IF($E253=AG$3,$G253,0)-IF($H253=AG$3,$J253,0)</f>
        <v/>
      </c>
      <c r="AH253" s="47">
        <f>IF($E253=AH$3,$G253,0)-IF($H253=AH$3,$J253,0)</f>
        <v/>
      </c>
      <c r="AI253" s="47">
        <f>IF($E253=AI$3,$G253,0)-IF($H253=AI$3,$J253,0)</f>
        <v/>
      </c>
      <c r="AJ253" s="47">
        <f>IF($E253=AJ$3,$G253,0)-IF($H253=AJ$3,$J253,0)</f>
        <v/>
      </c>
      <c r="AK253" s="47">
        <f>IF($E253=AK$3,$G253,0)-IF($H253=AK$3,$J253,0)</f>
        <v/>
      </c>
      <c r="AL253" s="48">
        <f>IF($E253=AL$3,$G253,0)-IF($H253=AL$3,$J253,0)</f>
        <v/>
      </c>
      <c r="AM253" s="46">
        <f>-IF($E253=AM$3,$G253,0)+IF($H253=AM$3,$J253,0)</f>
        <v/>
      </c>
      <c r="AN253" s="47">
        <f>-IF($E253=AN$3,$G253,0)+IF($H253=AN$3,$J253,0)</f>
        <v/>
      </c>
      <c r="AO253" s="48">
        <f>-IF($E253=AO$3,$G253,0)+IF($H253=AO$3,$J253,0)</f>
        <v/>
      </c>
      <c r="AP253" s="46">
        <f>IF($E253=AP$3,$G253,0)-IF($H253=AP$3,$J253,0)</f>
        <v/>
      </c>
      <c r="AQ253" s="47">
        <f>IF($E253=AQ$3,$G253,0)-IF($H253=AQ$3,$J253,0)</f>
        <v/>
      </c>
      <c r="AR253" s="47">
        <f>IF($E253=AR$3,$G253,0)-IF($H253=AR$3,$J253,0)</f>
        <v/>
      </c>
      <c r="AS253" s="47">
        <f>IF($E253=AS$3,$G253,0)-IF($H253=AS$3,$J253,0)</f>
        <v/>
      </c>
      <c r="AT253" s="47">
        <f>IF($E253=AT$3,$G253,0)-IF($H253=AT$3,$J253,0)</f>
        <v/>
      </c>
      <c r="AU253" s="47">
        <f>IF($E253=AU$3,$G253,0)-IF($H253=AU$3,$J253,0)</f>
        <v/>
      </c>
      <c r="AV253" s="47">
        <f>IF($E253=AV$3,$G253,0)-IF($H253=AV$3,$J253,0)</f>
        <v/>
      </c>
      <c r="AW253" s="47">
        <f>IF($E253=AW$3,$G253,0)-IF($H253=AW$3,$J253,0)</f>
        <v/>
      </c>
      <c r="AX253" s="47">
        <f>IF($E253=AX$3,$G253,0)-IF($H253=AX$3,$J253,0)</f>
        <v/>
      </c>
      <c r="AY253" s="47">
        <f>IF($E253=AY$3,$G253,0)-IF($H253=AY$3,$J253,0)</f>
        <v/>
      </c>
      <c r="AZ253" s="47">
        <f>IF($E253=AZ$3,$G253,0)-IF($H253=AZ$3,$J253,0)</f>
        <v/>
      </c>
      <c r="BA253" s="47">
        <f>IF($E253=BA$3,$G253,0)-IF($H253=BA$3,$J253,0)</f>
        <v/>
      </c>
      <c r="BB253" s="47">
        <f>IF($E253=BB$3,$G253,0)-IF($H253=BB$3,$J253,0)</f>
        <v/>
      </c>
      <c r="BC253" s="47">
        <f>IF($E253=BC$3,$G253,0)-IF($H253=BC$3,$J253,0)</f>
        <v/>
      </c>
      <c r="BD253" s="47">
        <f>IF($E253=BD$3,$G253,0)-IF($H253=BD$3,$J253,0)</f>
        <v/>
      </c>
      <c r="BE253" s="47">
        <f>IF($E253=BE$3,$G253,0)-IF($H253=BE$3,$J253,0)</f>
        <v/>
      </c>
      <c r="BF253" s="47">
        <f>IF($E253=BF$3,$G253,0)-IF($H253=BF$3,$J253,0)</f>
        <v/>
      </c>
      <c r="BG253" s="47">
        <f>IF($E253=BG$3,$G253,0)-IF($H253=BG$3,$J253,0)</f>
        <v/>
      </c>
      <c r="BH253" s="47">
        <f>IF($E253=BH$3,$G253,0)-IF($H253=BH$3,$J253,0)</f>
        <v/>
      </c>
      <c r="BI253" s="47">
        <f>IF($E253=BI$3,$G253,0)-IF($H253=BI$3,$J253,0)</f>
        <v/>
      </c>
      <c r="BJ253" s="47">
        <f>IF($E253=BJ$3,$G253,0)-IF($H253=BJ$3,$J253,0)</f>
        <v/>
      </c>
      <c r="BK253" s="47">
        <f>IF($E253=BK$3,$G253,0)-IF($H253=BK$3,$J253,0)</f>
        <v/>
      </c>
      <c r="BL253" s="46">
        <f>-IF($E253=BL$3,$G253,0)+IF($H253=BL$3,$J253,0)</f>
        <v/>
      </c>
      <c r="BM253" s="47">
        <f>-IF($E253=BM$3,$G253,0)+IF($H253=BM$3,$J253,0)</f>
        <v/>
      </c>
      <c r="BN253" s="47">
        <f>-IF($E253=BN$3,$G253,0)+IF($H253=BN$3,$J253,0)</f>
        <v/>
      </c>
      <c r="BO253" s="47">
        <f>-IF($E253=BO$3,$G253,0)+IF($H253=BO$3,$J253,0)</f>
        <v/>
      </c>
      <c r="BP253" s="47">
        <f>-IF($E253=BP$3,$G253,0)+IF($H253=BP$3,$J253,0)</f>
        <v/>
      </c>
      <c r="BQ253" s="47">
        <f>-IF($E253=BQ$3,$G253,0)+IF($H253=BQ$3,$J253,0)</f>
        <v/>
      </c>
      <c r="BR253" s="47">
        <f>-IF($E253=BR$3,$G253,0)+IF($H253=BR$3,$J253,0)</f>
        <v/>
      </c>
      <c r="BS253" s="47">
        <f>-IF($E253=BS$3,$G253,0)+IF($H253=BS$3,$J253,0)</f>
        <v/>
      </c>
      <c r="BT253" s="47">
        <f>-IF($E253=BT$3,$G253,0)+IF($H253=BT$3,$J253,0)</f>
        <v/>
      </c>
      <c r="BU253" s="46">
        <f>+G253-J253</f>
        <v/>
      </c>
      <c r="BV253" s="48">
        <f>-IF($E253=BV$3,$G253,0)+IF($H253=BV$3,$J253,0)</f>
        <v/>
      </c>
      <c r="BW253" s="3" t="n"/>
    </row>
    <row r="254" ht="15.75" customHeight="1" s="214">
      <c r="A254" s="7" t="n"/>
      <c r="B254" s="8" t="n"/>
      <c r="C254" s="9" t="n"/>
      <c r="D254" s="10" t="n"/>
      <c r="E254" s="247" t="n"/>
      <c r="F254" s="11">
        <f>IF(E254="","",IF(ISNA(VLOOKUP(E254,科目コード表!$C$4:$D$67,2,FALSE)),"該当科目なし",VLOOKUP(E254,科目コード表!$C$4:$D$67,2,FALSE)))</f>
        <v/>
      </c>
      <c r="G254" s="38" t="n"/>
      <c r="H254" s="248" t="n"/>
      <c r="I254" s="11">
        <f>IF(H254="","",IF(ISNA(VLOOKUP(H254,科目コード表!$C$4:$D$67,2,FALSE)),"該当科目なし",VLOOKUP(H254,科目コード表!$C$4:$D$67,2,FALSE)))</f>
        <v/>
      </c>
      <c r="J254" s="40" t="n"/>
      <c r="L254" s="46">
        <f>IF($E254=L$3,$G254,0)-IF($H254=L$3,$J254,0)</f>
        <v/>
      </c>
      <c r="M254" s="47">
        <f>IF($E254=M$3,$G254,0)-IF($H254=M$3,$J254,0)</f>
        <v/>
      </c>
      <c r="N254" s="47">
        <f>IF($E254=N$3,$G254,0)-IF($H254=N$3,$J254,0)</f>
        <v/>
      </c>
      <c r="O254" s="47">
        <f>IF($E254=O$3,$G254,0)-IF($H254=O$3,$J254,0)</f>
        <v/>
      </c>
      <c r="P254" s="47">
        <f>IF($E254=P$3,$G254,0)-IF($H254=P$3,$J254,0)</f>
        <v/>
      </c>
      <c r="Q254" s="47">
        <f>IF($E254=Q$3,$G254,0)-IF($H254=Q$3,$J254,0)</f>
        <v/>
      </c>
      <c r="R254" s="47">
        <f>IF($E254=R$3,$G254,0)-IF($H254=R$3,$J254,0)</f>
        <v/>
      </c>
      <c r="S254" s="47">
        <f>IF($E254=S$3,$G254,0)-IF($H254=S$3,$J254,0)</f>
        <v/>
      </c>
      <c r="T254" s="47">
        <f>IF($E254=T$3,$G254,0)-IF($H254=T$3,$J254,0)</f>
        <v/>
      </c>
      <c r="U254" s="47">
        <f>IF($E254=U$3,$G254,0)-IF($H254=U$3,$J254,0)</f>
        <v/>
      </c>
      <c r="V254" s="47">
        <f>IF($E254=V$3,$G254,0)-IF($H254=V$3,$J254,0)</f>
        <v/>
      </c>
      <c r="W254" s="47">
        <f>IF($E254=W$3,$G254,0)-IF($H254=W$3,$J254,0)</f>
        <v/>
      </c>
      <c r="X254" s="47">
        <f>IF($E254=X$3,$G254,0)-IF($H254=X$3,$J254,0)</f>
        <v/>
      </c>
      <c r="Y254" s="47">
        <f>IF($E254=Y$3,$G254,0)-IF($H254=Y$3,$J254,0)</f>
        <v/>
      </c>
      <c r="Z254" s="47">
        <f>IF($E254=Z$3,$G254,0)-IF($H254=Z$3,$J254,0)</f>
        <v/>
      </c>
      <c r="AA254" s="47">
        <f>IF($E254=AA$3,$G254,0)-IF($H254=AA$3,$J254,0)</f>
        <v/>
      </c>
      <c r="AB254" s="47">
        <f>IF($E254=AB$3,$G254,0)-IF($H254=AB$3,$J254,0)</f>
        <v/>
      </c>
      <c r="AC254" s="47">
        <f>IF($E254=AC$3,$G254,0)-IF($H254=AC$3,$J254,0)</f>
        <v/>
      </c>
      <c r="AD254" s="47">
        <f>IF($E254=AD$3,$G254,0)-IF($H254=AD$3,$J254,0)</f>
        <v/>
      </c>
      <c r="AE254" s="47">
        <f>IF($E254=AE$3,$G254,0)-IF($H254=AE$3,$J254,0)</f>
        <v/>
      </c>
      <c r="AF254" s="47">
        <f>IF($E254=AF$3,$G254,0)-IF($H254=AF$3,$J254,0)</f>
        <v/>
      </c>
      <c r="AG254" s="47">
        <f>IF($E254=AG$3,$G254,0)-IF($H254=AG$3,$J254,0)</f>
        <v/>
      </c>
      <c r="AH254" s="47">
        <f>IF($E254=AH$3,$G254,0)-IF($H254=AH$3,$J254,0)</f>
        <v/>
      </c>
      <c r="AI254" s="47">
        <f>IF($E254=AI$3,$G254,0)-IF($H254=AI$3,$J254,0)</f>
        <v/>
      </c>
      <c r="AJ254" s="47">
        <f>IF($E254=AJ$3,$G254,0)-IF($H254=AJ$3,$J254,0)</f>
        <v/>
      </c>
      <c r="AK254" s="47">
        <f>IF($E254=AK$3,$G254,0)-IF($H254=AK$3,$J254,0)</f>
        <v/>
      </c>
      <c r="AL254" s="48">
        <f>IF($E254=AL$3,$G254,0)-IF($H254=AL$3,$J254,0)</f>
        <v/>
      </c>
      <c r="AM254" s="46">
        <f>-IF($E254=AM$3,$G254,0)+IF($H254=AM$3,$J254,0)</f>
        <v/>
      </c>
      <c r="AN254" s="47">
        <f>-IF($E254=AN$3,$G254,0)+IF($H254=AN$3,$J254,0)</f>
        <v/>
      </c>
      <c r="AO254" s="48">
        <f>-IF($E254=AO$3,$G254,0)+IF($H254=AO$3,$J254,0)</f>
        <v/>
      </c>
      <c r="AP254" s="46">
        <f>IF($E254=AP$3,$G254,0)-IF($H254=AP$3,$J254,0)</f>
        <v/>
      </c>
      <c r="AQ254" s="47">
        <f>IF($E254=AQ$3,$G254,0)-IF($H254=AQ$3,$J254,0)</f>
        <v/>
      </c>
      <c r="AR254" s="47">
        <f>IF($E254=AR$3,$G254,0)-IF($H254=AR$3,$J254,0)</f>
        <v/>
      </c>
      <c r="AS254" s="47">
        <f>IF($E254=AS$3,$G254,0)-IF($H254=AS$3,$J254,0)</f>
        <v/>
      </c>
      <c r="AT254" s="47">
        <f>IF($E254=AT$3,$G254,0)-IF($H254=AT$3,$J254,0)</f>
        <v/>
      </c>
      <c r="AU254" s="47">
        <f>IF($E254=AU$3,$G254,0)-IF($H254=AU$3,$J254,0)</f>
        <v/>
      </c>
      <c r="AV254" s="47">
        <f>IF($E254=AV$3,$G254,0)-IF($H254=AV$3,$J254,0)</f>
        <v/>
      </c>
      <c r="AW254" s="47">
        <f>IF($E254=AW$3,$G254,0)-IF($H254=AW$3,$J254,0)</f>
        <v/>
      </c>
      <c r="AX254" s="47">
        <f>IF($E254=AX$3,$G254,0)-IF($H254=AX$3,$J254,0)</f>
        <v/>
      </c>
      <c r="AY254" s="47">
        <f>IF($E254=AY$3,$G254,0)-IF($H254=AY$3,$J254,0)</f>
        <v/>
      </c>
      <c r="AZ254" s="47">
        <f>IF($E254=AZ$3,$G254,0)-IF($H254=AZ$3,$J254,0)</f>
        <v/>
      </c>
      <c r="BA254" s="47">
        <f>IF($E254=BA$3,$G254,0)-IF($H254=BA$3,$J254,0)</f>
        <v/>
      </c>
      <c r="BB254" s="47">
        <f>IF($E254=BB$3,$G254,0)-IF($H254=BB$3,$J254,0)</f>
        <v/>
      </c>
      <c r="BC254" s="47">
        <f>IF($E254=BC$3,$G254,0)-IF($H254=BC$3,$J254,0)</f>
        <v/>
      </c>
      <c r="BD254" s="47">
        <f>IF($E254=BD$3,$G254,0)-IF($H254=BD$3,$J254,0)</f>
        <v/>
      </c>
      <c r="BE254" s="47">
        <f>IF($E254=BE$3,$G254,0)-IF($H254=BE$3,$J254,0)</f>
        <v/>
      </c>
      <c r="BF254" s="47">
        <f>IF($E254=BF$3,$G254,0)-IF($H254=BF$3,$J254,0)</f>
        <v/>
      </c>
      <c r="BG254" s="47">
        <f>IF($E254=BG$3,$G254,0)-IF($H254=BG$3,$J254,0)</f>
        <v/>
      </c>
      <c r="BH254" s="47">
        <f>IF($E254=BH$3,$G254,0)-IF($H254=BH$3,$J254,0)</f>
        <v/>
      </c>
      <c r="BI254" s="47">
        <f>IF($E254=BI$3,$G254,0)-IF($H254=BI$3,$J254,0)</f>
        <v/>
      </c>
      <c r="BJ254" s="47">
        <f>IF($E254=BJ$3,$G254,0)-IF($H254=BJ$3,$J254,0)</f>
        <v/>
      </c>
      <c r="BK254" s="47">
        <f>IF($E254=BK$3,$G254,0)-IF($H254=BK$3,$J254,0)</f>
        <v/>
      </c>
      <c r="BL254" s="46">
        <f>-IF($E254=BL$3,$G254,0)+IF($H254=BL$3,$J254,0)</f>
        <v/>
      </c>
      <c r="BM254" s="47">
        <f>-IF($E254=BM$3,$G254,0)+IF($H254=BM$3,$J254,0)</f>
        <v/>
      </c>
      <c r="BN254" s="47">
        <f>-IF($E254=BN$3,$G254,0)+IF($H254=BN$3,$J254,0)</f>
        <v/>
      </c>
      <c r="BO254" s="47">
        <f>-IF($E254=BO$3,$G254,0)+IF($H254=BO$3,$J254,0)</f>
        <v/>
      </c>
      <c r="BP254" s="47">
        <f>-IF($E254=BP$3,$G254,0)+IF($H254=BP$3,$J254,0)</f>
        <v/>
      </c>
      <c r="BQ254" s="47">
        <f>-IF($E254=BQ$3,$G254,0)+IF($H254=BQ$3,$J254,0)</f>
        <v/>
      </c>
      <c r="BR254" s="47">
        <f>-IF($E254=BR$3,$G254,0)+IF($H254=BR$3,$J254,0)</f>
        <v/>
      </c>
      <c r="BS254" s="47">
        <f>-IF($E254=BS$3,$G254,0)+IF($H254=BS$3,$J254,0)</f>
        <v/>
      </c>
      <c r="BT254" s="47">
        <f>-IF($E254=BT$3,$G254,0)+IF($H254=BT$3,$J254,0)</f>
        <v/>
      </c>
      <c r="BU254" s="46">
        <f>+G254-J254</f>
        <v/>
      </c>
      <c r="BV254" s="48">
        <f>-IF($E254=BV$3,$G254,0)+IF($H254=BV$3,$J254,0)</f>
        <v/>
      </c>
      <c r="BW254" s="3" t="n"/>
    </row>
    <row r="255" ht="15.75" customHeight="1" s="214">
      <c r="A255" s="7" t="n"/>
      <c r="B255" s="8" t="n"/>
      <c r="C255" s="9" t="n"/>
      <c r="D255" s="10" t="n"/>
      <c r="E255" s="247" t="n"/>
      <c r="F255" s="11">
        <f>IF(E255="","",IF(ISNA(VLOOKUP(E255,科目コード表!$C$4:$D$67,2,FALSE)),"該当科目なし",VLOOKUP(E255,科目コード表!$C$4:$D$67,2,FALSE)))</f>
        <v/>
      </c>
      <c r="G255" s="38" t="n"/>
      <c r="H255" s="248" t="n"/>
      <c r="I255" s="11">
        <f>IF(H255="","",IF(ISNA(VLOOKUP(H255,科目コード表!$C$4:$D$67,2,FALSE)),"該当科目なし",VLOOKUP(H255,科目コード表!$C$4:$D$67,2,FALSE)))</f>
        <v/>
      </c>
      <c r="J255" s="40" t="n"/>
      <c r="L255" s="46">
        <f>IF($E255=L$3,$G255,0)-IF($H255=L$3,$J255,0)</f>
        <v/>
      </c>
      <c r="M255" s="47">
        <f>IF($E255=M$3,$G255,0)-IF($H255=M$3,$J255,0)</f>
        <v/>
      </c>
      <c r="N255" s="47">
        <f>IF($E255=N$3,$G255,0)-IF($H255=N$3,$J255,0)</f>
        <v/>
      </c>
      <c r="O255" s="47">
        <f>IF($E255=O$3,$G255,0)-IF($H255=O$3,$J255,0)</f>
        <v/>
      </c>
      <c r="P255" s="47">
        <f>IF($E255=P$3,$G255,0)-IF($H255=P$3,$J255,0)</f>
        <v/>
      </c>
      <c r="Q255" s="47">
        <f>IF($E255=Q$3,$G255,0)-IF($H255=Q$3,$J255,0)</f>
        <v/>
      </c>
      <c r="R255" s="47">
        <f>IF($E255=R$3,$G255,0)-IF($H255=R$3,$J255,0)</f>
        <v/>
      </c>
      <c r="S255" s="47">
        <f>IF($E255=S$3,$G255,0)-IF($H255=S$3,$J255,0)</f>
        <v/>
      </c>
      <c r="T255" s="47">
        <f>IF($E255=T$3,$G255,0)-IF($H255=T$3,$J255,0)</f>
        <v/>
      </c>
      <c r="U255" s="47">
        <f>IF($E255=U$3,$G255,0)-IF($H255=U$3,$J255,0)</f>
        <v/>
      </c>
      <c r="V255" s="47">
        <f>IF($E255=V$3,$G255,0)-IF($H255=V$3,$J255,0)</f>
        <v/>
      </c>
      <c r="W255" s="47">
        <f>IF($E255=W$3,$G255,0)-IF($H255=W$3,$J255,0)</f>
        <v/>
      </c>
      <c r="X255" s="47">
        <f>IF($E255=X$3,$G255,0)-IF($H255=X$3,$J255,0)</f>
        <v/>
      </c>
      <c r="Y255" s="47">
        <f>IF($E255=Y$3,$G255,0)-IF($H255=Y$3,$J255,0)</f>
        <v/>
      </c>
      <c r="Z255" s="47">
        <f>IF($E255=Z$3,$G255,0)-IF($H255=Z$3,$J255,0)</f>
        <v/>
      </c>
      <c r="AA255" s="47">
        <f>IF($E255=AA$3,$G255,0)-IF($H255=AA$3,$J255,0)</f>
        <v/>
      </c>
      <c r="AB255" s="47">
        <f>IF($E255=AB$3,$G255,0)-IF($H255=AB$3,$J255,0)</f>
        <v/>
      </c>
      <c r="AC255" s="47">
        <f>IF($E255=AC$3,$G255,0)-IF($H255=AC$3,$J255,0)</f>
        <v/>
      </c>
      <c r="AD255" s="47">
        <f>IF($E255=AD$3,$G255,0)-IF($H255=AD$3,$J255,0)</f>
        <v/>
      </c>
      <c r="AE255" s="47">
        <f>IF($E255=AE$3,$G255,0)-IF($H255=AE$3,$J255,0)</f>
        <v/>
      </c>
      <c r="AF255" s="47">
        <f>IF($E255=AF$3,$G255,0)-IF($H255=AF$3,$J255,0)</f>
        <v/>
      </c>
      <c r="AG255" s="47">
        <f>IF($E255=AG$3,$G255,0)-IF($H255=AG$3,$J255,0)</f>
        <v/>
      </c>
      <c r="AH255" s="47">
        <f>IF($E255=AH$3,$G255,0)-IF($H255=AH$3,$J255,0)</f>
        <v/>
      </c>
      <c r="AI255" s="47">
        <f>IF($E255=AI$3,$G255,0)-IF($H255=AI$3,$J255,0)</f>
        <v/>
      </c>
      <c r="AJ255" s="47">
        <f>IF($E255=AJ$3,$G255,0)-IF($H255=AJ$3,$J255,0)</f>
        <v/>
      </c>
      <c r="AK255" s="47">
        <f>IF($E255=AK$3,$G255,0)-IF($H255=AK$3,$J255,0)</f>
        <v/>
      </c>
      <c r="AL255" s="48">
        <f>IF($E255=AL$3,$G255,0)-IF($H255=AL$3,$J255,0)</f>
        <v/>
      </c>
      <c r="AM255" s="46">
        <f>-IF($E255=AM$3,$G255,0)+IF($H255=AM$3,$J255,0)</f>
        <v/>
      </c>
      <c r="AN255" s="47">
        <f>-IF($E255=AN$3,$G255,0)+IF($H255=AN$3,$J255,0)</f>
        <v/>
      </c>
      <c r="AO255" s="48">
        <f>-IF($E255=AO$3,$G255,0)+IF($H255=AO$3,$J255,0)</f>
        <v/>
      </c>
      <c r="AP255" s="46">
        <f>IF($E255=AP$3,$G255,0)-IF($H255=AP$3,$J255,0)</f>
        <v/>
      </c>
      <c r="AQ255" s="47">
        <f>IF($E255=AQ$3,$G255,0)-IF($H255=AQ$3,$J255,0)</f>
        <v/>
      </c>
      <c r="AR255" s="47">
        <f>IF($E255=AR$3,$G255,0)-IF($H255=AR$3,$J255,0)</f>
        <v/>
      </c>
      <c r="AS255" s="47">
        <f>IF($E255=AS$3,$G255,0)-IF($H255=AS$3,$J255,0)</f>
        <v/>
      </c>
      <c r="AT255" s="47">
        <f>IF($E255=AT$3,$G255,0)-IF($H255=AT$3,$J255,0)</f>
        <v/>
      </c>
      <c r="AU255" s="47">
        <f>IF($E255=AU$3,$G255,0)-IF($H255=AU$3,$J255,0)</f>
        <v/>
      </c>
      <c r="AV255" s="47">
        <f>IF($E255=AV$3,$G255,0)-IF($H255=AV$3,$J255,0)</f>
        <v/>
      </c>
      <c r="AW255" s="47">
        <f>IF($E255=AW$3,$G255,0)-IF($H255=AW$3,$J255,0)</f>
        <v/>
      </c>
      <c r="AX255" s="47">
        <f>IF($E255=AX$3,$G255,0)-IF($H255=AX$3,$J255,0)</f>
        <v/>
      </c>
      <c r="AY255" s="47">
        <f>IF($E255=AY$3,$G255,0)-IF($H255=AY$3,$J255,0)</f>
        <v/>
      </c>
      <c r="AZ255" s="47">
        <f>IF($E255=AZ$3,$G255,0)-IF($H255=AZ$3,$J255,0)</f>
        <v/>
      </c>
      <c r="BA255" s="47">
        <f>IF($E255=BA$3,$G255,0)-IF($H255=BA$3,$J255,0)</f>
        <v/>
      </c>
      <c r="BB255" s="47">
        <f>IF($E255=BB$3,$G255,0)-IF($H255=BB$3,$J255,0)</f>
        <v/>
      </c>
      <c r="BC255" s="47">
        <f>IF($E255=BC$3,$G255,0)-IF($H255=BC$3,$J255,0)</f>
        <v/>
      </c>
      <c r="BD255" s="47">
        <f>IF($E255=BD$3,$G255,0)-IF($H255=BD$3,$J255,0)</f>
        <v/>
      </c>
      <c r="BE255" s="47">
        <f>IF($E255=BE$3,$G255,0)-IF($H255=BE$3,$J255,0)</f>
        <v/>
      </c>
      <c r="BF255" s="47">
        <f>IF($E255=BF$3,$G255,0)-IF($H255=BF$3,$J255,0)</f>
        <v/>
      </c>
      <c r="BG255" s="47">
        <f>IF($E255=BG$3,$G255,0)-IF($H255=BG$3,$J255,0)</f>
        <v/>
      </c>
      <c r="BH255" s="47">
        <f>IF($E255=BH$3,$G255,0)-IF($H255=BH$3,$J255,0)</f>
        <v/>
      </c>
      <c r="BI255" s="47">
        <f>IF($E255=BI$3,$G255,0)-IF($H255=BI$3,$J255,0)</f>
        <v/>
      </c>
      <c r="BJ255" s="47">
        <f>IF($E255=BJ$3,$G255,0)-IF($H255=BJ$3,$J255,0)</f>
        <v/>
      </c>
      <c r="BK255" s="47">
        <f>IF($E255=BK$3,$G255,0)-IF($H255=BK$3,$J255,0)</f>
        <v/>
      </c>
      <c r="BL255" s="46">
        <f>-IF($E255=BL$3,$G255,0)+IF($H255=BL$3,$J255,0)</f>
        <v/>
      </c>
      <c r="BM255" s="47">
        <f>-IF($E255=BM$3,$G255,0)+IF($H255=BM$3,$J255,0)</f>
        <v/>
      </c>
      <c r="BN255" s="47">
        <f>-IF($E255=BN$3,$G255,0)+IF($H255=BN$3,$J255,0)</f>
        <v/>
      </c>
      <c r="BO255" s="47">
        <f>-IF($E255=BO$3,$G255,0)+IF($H255=BO$3,$J255,0)</f>
        <v/>
      </c>
      <c r="BP255" s="47">
        <f>-IF($E255=BP$3,$G255,0)+IF($H255=BP$3,$J255,0)</f>
        <v/>
      </c>
      <c r="BQ255" s="47">
        <f>-IF($E255=BQ$3,$G255,0)+IF($H255=BQ$3,$J255,0)</f>
        <v/>
      </c>
      <c r="BR255" s="47">
        <f>-IF($E255=BR$3,$G255,0)+IF($H255=BR$3,$J255,0)</f>
        <v/>
      </c>
      <c r="BS255" s="47">
        <f>-IF($E255=BS$3,$G255,0)+IF($H255=BS$3,$J255,0)</f>
        <v/>
      </c>
      <c r="BT255" s="47">
        <f>-IF($E255=BT$3,$G255,0)+IF($H255=BT$3,$J255,0)</f>
        <v/>
      </c>
      <c r="BU255" s="46">
        <f>+G255-J255</f>
        <v/>
      </c>
      <c r="BV255" s="48">
        <f>-IF($E255=BV$3,$G255,0)+IF($H255=BV$3,$J255,0)</f>
        <v/>
      </c>
      <c r="BW255" s="3" t="n"/>
    </row>
    <row r="256" ht="15.75" customHeight="1" s="214">
      <c r="A256" s="7" t="n"/>
      <c r="B256" s="8" t="n"/>
      <c r="C256" s="9" t="n"/>
      <c r="D256" s="10" t="n"/>
      <c r="E256" s="247" t="n"/>
      <c r="F256" s="11">
        <f>IF(E256="","",IF(ISNA(VLOOKUP(E256,科目コード表!$C$4:$D$67,2,FALSE)),"該当科目なし",VLOOKUP(E256,科目コード表!$C$4:$D$67,2,FALSE)))</f>
        <v/>
      </c>
      <c r="G256" s="38" t="n"/>
      <c r="H256" s="248" t="n"/>
      <c r="I256" s="11">
        <f>IF(H256="","",IF(ISNA(VLOOKUP(H256,科目コード表!$C$4:$D$67,2,FALSE)),"該当科目なし",VLOOKUP(H256,科目コード表!$C$4:$D$67,2,FALSE)))</f>
        <v/>
      </c>
      <c r="J256" s="40" t="n"/>
      <c r="L256" s="46">
        <f>IF($E256=L$3,$G256,0)-IF($H256=L$3,$J256,0)</f>
        <v/>
      </c>
      <c r="M256" s="47">
        <f>IF($E256=M$3,$G256,0)-IF($H256=M$3,$J256,0)</f>
        <v/>
      </c>
      <c r="N256" s="47">
        <f>IF($E256=N$3,$G256,0)-IF($H256=N$3,$J256,0)</f>
        <v/>
      </c>
      <c r="O256" s="47">
        <f>IF($E256=O$3,$G256,0)-IF($H256=O$3,$J256,0)</f>
        <v/>
      </c>
      <c r="P256" s="47">
        <f>IF($E256=P$3,$G256,0)-IF($H256=P$3,$J256,0)</f>
        <v/>
      </c>
      <c r="Q256" s="47">
        <f>IF($E256=Q$3,$G256,0)-IF($H256=Q$3,$J256,0)</f>
        <v/>
      </c>
      <c r="R256" s="47">
        <f>IF($E256=R$3,$G256,0)-IF($H256=R$3,$J256,0)</f>
        <v/>
      </c>
      <c r="S256" s="47">
        <f>IF($E256=S$3,$G256,0)-IF($H256=S$3,$J256,0)</f>
        <v/>
      </c>
      <c r="T256" s="47">
        <f>IF($E256=T$3,$G256,0)-IF($H256=T$3,$J256,0)</f>
        <v/>
      </c>
      <c r="U256" s="47">
        <f>IF($E256=U$3,$G256,0)-IF($H256=U$3,$J256,0)</f>
        <v/>
      </c>
      <c r="V256" s="47">
        <f>IF($E256=V$3,$G256,0)-IF($H256=V$3,$J256,0)</f>
        <v/>
      </c>
      <c r="W256" s="47">
        <f>IF($E256=W$3,$G256,0)-IF($H256=W$3,$J256,0)</f>
        <v/>
      </c>
      <c r="X256" s="47">
        <f>IF($E256=X$3,$G256,0)-IF($H256=X$3,$J256,0)</f>
        <v/>
      </c>
      <c r="Y256" s="47">
        <f>IF($E256=Y$3,$G256,0)-IF($H256=Y$3,$J256,0)</f>
        <v/>
      </c>
      <c r="Z256" s="47">
        <f>IF($E256=Z$3,$G256,0)-IF($H256=Z$3,$J256,0)</f>
        <v/>
      </c>
      <c r="AA256" s="47">
        <f>IF($E256=AA$3,$G256,0)-IF($H256=AA$3,$J256,0)</f>
        <v/>
      </c>
      <c r="AB256" s="47">
        <f>IF($E256=AB$3,$G256,0)-IF($H256=AB$3,$J256,0)</f>
        <v/>
      </c>
      <c r="AC256" s="47">
        <f>IF($E256=AC$3,$G256,0)-IF($H256=AC$3,$J256,0)</f>
        <v/>
      </c>
      <c r="AD256" s="47">
        <f>IF($E256=AD$3,$G256,0)-IF($H256=AD$3,$J256,0)</f>
        <v/>
      </c>
      <c r="AE256" s="47">
        <f>IF($E256=AE$3,$G256,0)-IF($H256=AE$3,$J256,0)</f>
        <v/>
      </c>
      <c r="AF256" s="47">
        <f>IF($E256=AF$3,$G256,0)-IF($H256=AF$3,$J256,0)</f>
        <v/>
      </c>
      <c r="AG256" s="47">
        <f>IF($E256=AG$3,$G256,0)-IF($H256=AG$3,$J256,0)</f>
        <v/>
      </c>
      <c r="AH256" s="47">
        <f>IF($E256=AH$3,$G256,0)-IF($H256=AH$3,$J256,0)</f>
        <v/>
      </c>
      <c r="AI256" s="47">
        <f>IF($E256=AI$3,$G256,0)-IF($H256=AI$3,$J256,0)</f>
        <v/>
      </c>
      <c r="AJ256" s="47">
        <f>IF($E256=AJ$3,$G256,0)-IF($H256=AJ$3,$J256,0)</f>
        <v/>
      </c>
      <c r="AK256" s="47">
        <f>IF($E256=AK$3,$G256,0)-IF($H256=AK$3,$J256,0)</f>
        <v/>
      </c>
      <c r="AL256" s="48">
        <f>IF($E256=AL$3,$G256,0)-IF($H256=AL$3,$J256,0)</f>
        <v/>
      </c>
      <c r="AM256" s="46">
        <f>-IF($E256=AM$3,$G256,0)+IF($H256=AM$3,$J256,0)</f>
        <v/>
      </c>
      <c r="AN256" s="47">
        <f>-IF($E256=AN$3,$G256,0)+IF($H256=AN$3,$J256,0)</f>
        <v/>
      </c>
      <c r="AO256" s="48">
        <f>-IF($E256=AO$3,$G256,0)+IF($H256=AO$3,$J256,0)</f>
        <v/>
      </c>
      <c r="AP256" s="46">
        <f>IF($E256=AP$3,$G256,0)-IF($H256=AP$3,$J256,0)</f>
        <v/>
      </c>
      <c r="AQ256" s="47">
        <f>IF($E256=AQ$3,$G256,0)-IF($H256=AQ$3,$J256,0)</f>
        <v/>
      </c>
      <c r="AR256" s="47">
        <f>IF($E256=AR$3,$G256,0)-IF($H256=AR$3,$J256,0)</f>
        <v/>
      </c>
      <c r="AS256" s="47">
        <f>IF($E256=AS$3,$G256,0)-IF($H256=AS$3,$J256,0)</f>
        <v/>
      </c>
      <c r="AT256" s="47">
        <f>IF($E256=AT$3,$G256,0)-IF($H256=AT$3,$J256,0)</f>
        <v/>
      </c>
      <c r="AU256" s="47">
        <f>IF($E256=AU$3,$G256,0)-IF($H256=AU$3,$J256,0)</f>
        <v/>
      </c>
      <c r="AV256" s="47">
        <f>IF($E256=AV$3,$G256,0)-IF($H256=AV$3,$J256,0)</f>
        <v/>
      </c>
      <c r="AW256" s="47">
        <f>IF($E256=AW$3,$G256,0)-IF($H256=AW$3,$J256,0)</f>
        <v/>
      </c>
      <c r="AX256" s="47">
        <f>IF($E256=AX$3,$G256,0)-IF($H256=AX$3,$J256,0)</f>
        <v/>
      </c>
      <c r="AY256" s="47">
        <f>IF($E256=AY$3,$G256,0)-IF($H256=AY$3,$J256,0)</f>
        <v/>
      </c>
      <c r="AZ256" s="47">
        <f>IF($E256=AZ$3,$G256,0)-IF($H256=AZ$3,$J256,0)</f>
        <v/>
      </c>
      <c r="BA256" s="47">
        <f>IF($E256=BA$3,$G256,0)-IF($H256=BA$3,$J256,0)</f>
        <v/>
      </c>
      <c r="BB256" s="47">
        <f>IF($E256=BB$3,$G256,0)-IF($H256=BB$3,$J256,0)</f>
        <v/>
      </c>
      <c r="BC256" s="47">
        <f>IF($E256=BC$3,$G256,0)-IF($H256=BC$3,$J256,0)</f>
        <v/>
      </c>
      <c r="BD256" s="47">
        <f>IF($E256=BD$3,$G256,0)-IF($H256=BD$3,$J256,0)</f>
        <v/>
      </c>
      <c r="BE256" s="47">
        <f>IF($E256=BE$3,$G256,0)-IF($H256=BE$3,$J256,0)</f>
        <v/>
      </c>
      <c r="BF256" s="47">
        <f>IF($E256=BF$3,$G256,0)-IF($H256=BF$3,$J256,0)</f>
        <v/>
      </c>
      <c r="BG256" s="47">
        <f>IF($E256=BG$3,$G256,0)-IF($H256=BG$3,$J256,0)</f>
        <v/>
      </c>
      <c r="BH256" s="47">
        <f>IF($E256=BH$3,$G256,0)-IF($H256=BH$3,$J256,0)</f>
        <v/>
      </c>
      <c r="BI256" s="47">
        <f>IF($E256=BI$3,$G256,0)-IF($H256=BI$3,$J256,0)</f>
        <v/>
      </c>
      <c r="BJ256" s="47">
        <f>IF($E256=BJ$3,$G256,0)-IF($H256=BJ$3,$J256,0)</f>
        <v/>
      </c>
      <c r="BK256" s="47">
        <f>IF($E256=BK$3,$G256,0)-IF($H256=BK$3,$J256,0)</f>
        <v/>
      </c>
      <c r="BL256" s="46">
        <f>-IF($E256=BL$3,$G256,0)+IF($H256=BL$3,$J256,0)</f>
        <v/>
      </c>
      <c r="BM256" s="47">
        <f>-IF($E256=BM$3,$G256,0)+IF($H256=BM$3,$J256,0)</f>
        <v/>
      </c>
      <c r="BN256" s="47">
        <f>-IF($E256=BN$3,$G256,0)+IF($H256=BN$3,$J256,0)</f>
        <v/>
      </c>
      <c r="BO256" s="47">
        <f>-IF($E256=BO$3,$G256,0)+IF($H256=BO$3,$J256,0)</f>
        <v/>
      </c>
      <c r="BP256" s="47">
        <f>-IF($E256=BP$3,$G256,0)+IF($H256=BP$3,$J256,0)</f>
        <v/>
      </c>
      <c r="BQ256" s="47">
        <f>-IF($E256=BQ$3,$G256,0)+IF($H256=BQ$3,$J256,0)</f>
        <v/>
      </c>
      <c r="BR256" s="47">
        <f>-IF($E256=BR$3,$G256,0)+IF($H256=BR$3,$J256,0)</f>
        <v/>
      </c>
      <c r="BS256" s="47">
        <f>-IF($E256=BS$3,$G256,0)+IF($H256=BS$3,$J256,0)</f>
        <v/>
      </c>
      <c r="BT256" s="47">
        <f>-IF($E256=BT$3,$G256,0)+IF($H256=BT$3,$J256,0)</f>
        <v/>
      </c>
      <c r="BU256" s="46">
        <f>+G256-J256</f>
        <v/>
      </c>
      <c r="BV256" s="48">
        <f>-IF($E256=BV$3,$G256,0)+IF($H256=BV$3,$J256,0)</f>
        <v/>
      </c>
      <c r="BW256" s="3" t="n"/>
    </row>
    <row r="257" ht="15.75" customHeight="1" s="214">
      <c r="A257" s="7" t="n"/>
      <c r="B257" s="8" t="n"/>
      <c r="C257" s="9" t="n"/>
      <c r="D257" s="10" t="n"/>
      <c r="E257" s="247" t="n"/>
      <c r="F257" s="11">
        <f>IF(E257="","",IF(ISNA(VLOOKUP(E257,科目コード表!$C$4:$D$67,2,FALSE)),"該当科目なし",VLOOKUP(E257,科目コード表!$C$4:$D$67,2,FALSE)))</f>
        <v/>
      </c>
      <c r="G257" s="38" t="n"/>
      <c r="H257" s="248" t="n"/>
      <c r="I257" s="11">
        <f>IF(H257="","",IF(ISNA(VLOOKUP(H257,科目コード表!$C$4:$D$67,2,FALSE)),"該当科目なし",VLOOKUP(H257,科目コード表!$C$4:$D$67,2,FALSE)))</f>
        <v/>
      </c>
      <c r="J257" s="40" t="n"/>
      <c r="L257" s="46">
        <f>IF($E257=L$3,$G257,0)-IF($H257=L$3,$J257,0)</f>
        <v/>
      </c>
      <c r="M257" s="47">
        <f>IF($E257=M$3,$G257,0)-IF($H257=M$3,$J257,0)</f>
        <v/>
      </c>
      <c r="N257" s="47">
        <f>IF($E257=N$3,$G257,0)-IF($H257=N$3,$J257,0)</f>
        <v/>
      </c>
      <c r="O257" s="47">
        <f>IF($E257=O$3,$G257,0)-IF($H257=O$3,$J257,0)</f>
        <v/>
      </c>
      <c r="P257" s="47">
        <f>IF($E257=P$3,$G257,0)-IF($H257=P$3,$J257,0)</f>
        <v/>
      </c>
      <c r="Q257" s="47">
        <f>IF($E257=Q$3,$G257,0)-IF($H257=Q$3,$J257,0)</f>
        <v/>
      </c>
      <c r="R257" s="47">
        <f>IF($E257=R$3,$G257,0)-IF($H257=R$3,$J257,0)</f>
        <v/>
      </c>
      <c r="S257" s="47">
        <f>IF($E257=S$3,$G257,0)-IF($H257=S$3,$J257,0)</f>
        <v/>
      </c>
      <c r="T257" s="47">
        <f>IF($E257=T$3,$G257,0)-IF($H257=T$3,$J257,0)</f>
        <v/>
      </c>
      <c r="U257" s="47">
        <f>IF($E257=U$3,$G257,0)-IF($H257=U$3,$J257,0)</f>
        <v/>
      </c>
      <c r="V257" s="47">
        <f>IF($E257=V$3,$G257,0)-IF($H257=V$3,$J257,0)</f>
        <v/>
      </c>
      <c r="W257" s="47">
        <f>IF($E257=W$3,$G257,0)-IF($H257=W$3,$J257,0)</f>
        <v/>
      </c>
      <c r="X257" s="47">
        <f>IF($E257=X$3,$G257,0)-IF($H257=X$3,$J257,0)</f>
        <v/>
      </c>
      <c r="Y257" s="47">
        <f>IF($E257=Y$3,$G257,0)-IF($H257=Y$3,$J257,0)</f>
        <v/>
      </c>
      <c r="Z257" s="47">
        <f>IF($E257=Z$3,$G257,0)-IF($H257=Z$3,$J257,0)</f>
        <v/>
      </c>
      <c r="AA257" s="47">
        <f>IF($E257=AA$3,$G257,0)-IF($H257=AA$3,$J257,0)</f>
        <v/>
      </c>
      <c r="AB257" s="47">
        <f>IF($E257=AB$3,$G257,0)-IF($H257=AB$3,$J257,0)</f>
        <v/>
      </c>
      <c r="AC257" s="47">
        <f>IF($E257=AC$3,$G257,0)-IF($H257=AC$3,$J257,0)</f>
        <v/>
      </c>
      <c r="AD257" s="47">
        <f>IF($E257=AD$3,$G257,0)-IF($H257=AD$3,$J257,0)</f>
        <v/>
      </c>
      <c r="AE257" s="47">
        <f>IF($E257=AE$3,$G257,0)-IF($H257=AE$3,$J257,0)</f>
        <v/>
      </c>
      <c r="AF257" s="47">
        <f>IF($E257=AF$3,$G257,0)-IF($H257=AF$3,$J257,0)</f>
        <v/>
      </c>
      <c r="AG257" s="47">
        <f>IF($E257=AG$3,$G257,0)-IF($H257=AG$3,$J257,0)</f>
        <v/>
      </c>
      <c r="AH257" s="47">
        <f>IF($E257=AH$3,$G257,0)-IF($H257=AH$3,$J257,0)</f>
        <v/>
      </c>
      <c r="AI257" s="47">
        <f>IF($E257=AI$3,$G257,0)-IF($H257=AI$3,$J257,0)</f>
        <v/>
      </c>
      <c r="AJ257" s="47">
        <f>IF($E257=AJ$3,$G257,0)-IF($H257=AJ$3,$J257,0)</f>
        <v/>
      </c>
      <c r="AK257" s="47">
        <f>IF($E257=AK$3,$G257,0)-IF($H257=AK$3,$J257,0)</f>
        <v/>
      </c>
      <c r="AL257" s="48">
        <f>IF($E257=AL$3,$G257,0)-IF($H257=AL$3,$J257,0)</f>
        <v/>
      </c>
      <c r="AM257" s="46">
        <f>-IF($E257=AM$3,$G257,0)+IF($H257=AM$3,$J257,0)</f>
        <v/>
      </c>
      <c r="AN257" s="47">
        <f>-IF($E257=AN$3,$G257,0)+IF($H257=AN$3,$J257,0)</f>
        <v/>
      </c>
      <c r="AO257" s="48">
        <f>-IF($E257=AO$3,$G257,0)+IF($H257=AO$3,$J257,0)</f>
        <v/>
      </c>
      <c r="AP257" s="46">
        <f>IF($E257=AP$3,$G257,0)-IF($H257=AP$3,$J257,0)</f>
        <v/>
      </c>
      <c r="AQ257" s="47">
        <f>IF($E257=AQ$3,$G257,0)-IF($H257=AQ$3,$J257,0)</f>
        <v/>
      </c>
      <c r="AR257" s="47">
        <f>IF($E257=AR$3,$G257,0)-IF($H257=AR$3,$J257,0)</f>
        <v/>
      </c>
      <c r="AS257" s="47">
        <f>IF($E257=AS$3,$G257,0)-IF($H257=AS$3,$J257,0)</f>
        <v/>
      </c>
      <c r="AT257" s="47">
        <f>IF($E257=AT$3,$G257,0)-IF($H257=AT$3,$J257,0)</f>
        <v/>
      </c>
      <c r="AU257" s="47">
        <f>IF($E257=AU$3,$G257,0)-IF($H257=AU$3,$J257,0)</f>
        <v/>
      </c>
      <c r="AV257" s="47">
        <f>IF($E257=AV$3,$G257,0)-IF($H257=AV$3,$J257,0)</f>
        <v/>
      </c>
      <c r="AW257" s="47">
        <f>IF($E257=AW$3,$G257,0)-IF($H257=AW$3,$J257,0)</f>
        <v/>
      </c>
      <c r="AX257" s="47">
        <f>IF($E257=AX$3,$G257,0)-IF($H257=AX$3,$J257,0)</f>
        <v/>
      </c>
      <c r="AY257" s="47">
        <f>IF($E257=AY$3,$G257,0)-IF($H257=AY$3,$J257,0)</f>
        <v/>
      </c>
      <c r="AZ257" s="47">
        <f>IF($E257=AZ$3,$G257,0)-IF($H257=AZ$3,$J257,0)</f>
        <v/>
      </c>
      <c r="BA257" s="47">
        <f>IF($E257=BA$3,$G257,0)-IF($H257=BA$3,$J257,0)</f>
        <v/>
      </c>
      <c r="BB257" s="47">
        <f>IF($E257=BB$3,$G257,0)-IF($H257=BB$3,$J257,0)</f>
        <v/>
      </c>
      <c r="BC257" s="47">
        <f>IF($E257=BC$3,$G257,0)-IF($H257=BC$3,$J257,0)</f>
        <v/>
      </c>
      <c r="BD257" s="47">
        <f>IF($E257=BD$3,$G257,0)-IF($H257=BD$3,$J257,0)</f>
        <v/>
      </c>
      <c r="BE257" s="47">
        <f>IF($E257=BE$3,$G257,0)-IF($H257=BE$3,$J257,0)</f>
        <v/>
      </c>
      <c r="BF257" s="47">
        <f>IF($E257=BF$3,$G257,0)-IF($H257=BF$3,$J257,0)</f>
        <v/>
      </c>
      <c r="BG257" s="47">
        <f>IF($E257=BG$3,$G257,0)-IF($H257=BG$3,$J257,0)</f>
        <v/>
      </c>
      <c r="BH257" s="47">
        <f>IF($E257=BH$3,$G257,0)-IF($H257=BH$3,$J257,0)</f>
        <v/>
      </c>
      <c r="BI257" s="47">
        <f>IF($E257=BI$3,$G257,0)-IF($H257=BI$3,$J257,0)</f>
        <v/>
      </c>
      <c r="BJ257" s="47">
        <f>IF($E257=BJ$3,$G257,0)-IF($H257=BJ$3,$J257,0)</f>
        <v/>
      </c>
      <c r="BK257" s="47">
        <f>IF($E257=BK$3,$G257,0)-IF($H257=BK$3,$J257,0)</f>
        <v/>
      </c>
      <c r="BL257" s="46">
        <f>-IF($E257=BL$3,$G257,0)+IF($H257=BL$3,$J257,0)</f>
        <v/>
      </c>
      <c r="BM257" s="47">
        <f>-IF($E257=BM$3,$G257,0)+IF($H257=BM$3,$J257,0)</f>
        <v/>
      </c>
      <c r="BN257" s="47">
        <f>-IF($E257=BN$3,$G257,0)+IF($H257=BN$3,$J257,0)</f>
        <v/>
      </c>
      <c r="BO257" s="47">
        <f>-IF($E257=BO$3,$G257,0)+IF($H257=BO$3,$J257,0)</f>
        <v/>
      </c>
      <c r="BP257" s="47">
        <f>-IF($E257=BP$3,$G257,0)+IF($H257=BP$3,$J257,0)</f>
        <v/>
      </c>
      <c r="BQ257" s="47">
        <f>-IF($E257=BQ$3,$G257,0)+IF($H257=BQ$3,$J257,0)</f>
        <v/>
      </c>
      <c r="BR257" s="47">
        <f>-IF($E257=BR$3,$G257,0)+IF($H257=BR$3,$J257,0)</f>
        <v/>
      </c>
      <c r="BS257" s="47">
        <f>-IF($E257=BS$3,$G257,0)+IF($H257=BS$3,$J257,0)</f>
        <v/>
      </c>
      <c r="BT257" s="47">
        <f>-IF($E257=BT$3,$G257,0)+IF($H257=BT$3,$J257,0)</f>
        <v/>
      </c>
      <c r="BU257" s="46">
        <f>+G257-J257</f>
        <v/>
      </c>
      <c r="BV257" s="48">
        <f>-IF($E257=BV$3,$G257,0)+IF($H257=BV$3,$J257,0)</f>
        <v/>
      </c>
      <c r="BW257" s="3" t="n"/>
    </row>
    <row r="258" ht="15.75" customHeight="1" s="214">
      <c r="A258" s="7" t="n"/>
      <c r="B258" s="8" t="n"/>
      <c r="C258" s="9" t="n"/>
      <c r="D258" s="10" t="n"/>
      <c r="E258" s="247" t="n"/>
      <c r="F258" s="11">
        <f>IF(E258="","",IF(ISNA(VLOOKUP(E258,科目コード表!$C$4:$D$67,2,FALSE)),"該当科目なし",VLOOKUP(E258,科目コード表!$C$4:$D$67,2,FALSE)))</f>
        <v/>
      </c>
      <c r="G258" s="38" t="n"/>
      <c r="H258" s="248" t="n"/>
      <c r="I258" s="11">
        <f>IF(H258="","",IF(ISNA(VLOOKUP(H258,科目コード表!$C$4:$D$67,2,FALSE)),"該当科目なし",VLOOKUP(H258,科目コード表!$C$4:$D$67,2,FALSE)))</f>
        <v/>
      </c>
      <c r="J258" s="40" t="n"/>
      <c r="L258" s="46">
        <f>IF($E258=L$3,$G258,0)-IF($H258=L$3,$J258,0)</f>
        <v/>
      </c>
      <c r="M258" s="47">
        <f>IF($E258=M$3,$G258,0)-IF($H258=M$3,$J258,0)</f>
        <v/>
      </c>
      <c r="N258" s="47">
        <f>IF($E258=N$3,$G258,0)-IF($H258=N$3,$J258,0)</f>
        <v/>
      </c>
      <c r="O258" s="47">
        <f>IF($E258=O$3,$G258,0)-IF($H258=O$3,$J258,0)</f>
        <v/>
      </c>
      <c r="P258" s="47">
        <f>IF($E258=P$3,$G258,0)-IF($H258=P$3,$J258,0)</f>
        <v/>
      </c>
      <c r="Q258" s="47">
        <f>IF($E258=Q$3,$G258,0)-IF($H258=Q$3,$J258,0)</f>
        <v/>
      </c>
      <c r="R258" s="47">
        <f>IF($E258=R$3,$G258,0)-IF($H258=R$3,$J258,0)</f>
        <v/>
      </c>
      <c r="S258" s="47">
        <f>IF($E258=S$3,$G258,0)-IF($H258=S$3,$J258,0)</f>
        <v/>
      </c>
      <c r="T258" s="47">
        <f>IF($E258=T$3,$G258,0)-IF($H258=T$3,$J258,0)</f>
        <v/>
      </c>
      <c r="U258" s="47">
        <f>IF($E258=U$3,$G258,0)-IF($H258=U$3,$J258,0)</f>
        <v/>
      </c>
      <c r="V258" s="47">
        <f>IF($E258=V$3,$G258,0)-IF($H258=V$3,$J258,0)</f>
        <v/>
      </c>
      <c r="W258" s="47">
        <f>IF($E258=W$3,$G258,0)-IF($H258=W$3,$J258,0)</f>
        <v/>
      </c>
      <c r="X258" s="47">
        <f>IF($E258=X$3,$G258,0)-IF($H258=X$3,$J258,0)</f>
        <v/>
      </c>
      <c r="Y258" s="47">
        <f>IF($E258=Y$3,$G258,0)-IF($H258=Y$3,$J258,0)</f>
        <v/>
      </c>
      <c r="Z258" s="47">
        <f>IF($E258=Z$3,$G258,0)-IF($H258=Z$3,$J258,0)</f>
        <v/>
      </c>
      <c r="AA258" s="47">
        <f>IF($E258=AA$3,$G258,0)-IF($H258=AA$3,$J258,0)</f>
        <v/>
      </c>
      <c r="AB258" s="47">
        <f>IF($E258=AB$3,$G258,0)-IF($H258=AB$3,$J258,0)</f>
        <v/>
      </c>
      <c r="AC258" s="47">
        <f>IF($E258=AC$3,$G258,0)-IF($H258=AC$3,$J258,0)</f>
        <v/>
      </c>
      <c r="AD258" s="47">
        <f>IF($E258=AD$3,$G258,0)-IF($H258=AD$3,$J258,0)</f>
        <v/>
      </c>
      <c r="AE258" s="47">
        <f>IF($E258=AE$3,$G258,0)-IF($H258=AE$3,$J258,0)</f>
        <v/>
      </c>
      <c r="AF258" s="47">
        <f>IF($E258=AF$3,$G258,0)-IF($H258=AF$3,$J258,0)</f>
        <v/>
      </c>
      <c r="AG258" s="47">
        <f>IF($E258=AG$3,$G258,0)-IF($H258=AG$3,$J258,0)</f>
        <v/>
      </c>
      <c r="AH258" s="47">
        <f>IF($E258=AH$3,$G258,0)-IF($H258=AH$3,$J258,0)</f>
        <v/>
      </c>
      <c r="AI258" s="47">
        <f>IF($E258=AI$3,$G258,0)-IF($H258=AI$3,$J258,0)</f>
        <v/>
      </c>
      <c r="AJ258" s="47">
        <f>IF($E258=AJ$3,$G258,0)-IF($H258=AJ$3,$J258,0)</f>
        <v/>
      </c>
      <c r="AK258" s="47">
        <f>IF($E258=AK$3,$G258,0)-IF($H258=AK$3,$J258,0)</f>
        <v/>
      </c>
      <c r="AL258" s="48">
        <f>IF($E258=AL$3,$G258,0)-IF($H258=AL$3,$J258,0)</f>
        <v/>
      </c>
      <c r="AM258" s="46">
        <f>-IF($E258=AM$3,$G258,0)+IF($H258=AM$3,$J258,0)</f>
        <v/>
      </c>
      <c r="AN258" s="47">
        <f>-IF($E258=AN$3,$G258,0)+IF($H258=AN$3,$J258,0)</f>
        <v/>
      </c>
      <c r="AO258" s="48">
        <f>-IF($E258=AO$3,$G258,0)+IF($H258=AO$3,$J258,0)</f>
        <v/>
      </c>
      <c r="AP258" s="46">
        <f>IF($E258=AP$3,$G258,0)-IF($H258=AP$3,$J258,0)</f>
        <v/>
      </c>
      <c r="AQ258" s="47">
        <f>IF($E258=AQ$3,$G258,0)-IF($H258=AQ$3,$J258,0)</f>
        <v/>
      </c>
      <c r="AR258" s="47">
        <f>IF($E258=AR$3,$G258,0)-IF($H258=AR$3,$J258,0)</f>
        <v/>
      </c>
      <c r="AS258" s="47">
        <f>IF($E258=AS$3,$G258,0)-IF($H258=AS$3,$J258,0)</f>
        <v/>
      </c>
      <c r="AT258" s="47">
        <f>IF($E258=AT$3,$G258,0)-IF($H258=AT$3,$J258,0)</f>
        <v/>
      </c>
      <c r="AU258" s="47">
        <f>IF($E258=AU$3,$G258,0)-IF($H258=AU$3,$J258,0)</f>
        <v/>
      </c>
      <c r="AV258" s="47">
        <f>IF($E258=AV$3,$G258,0)-IF($H258=AV$3,$J258,0)</f>
        <v/>
      </c>
      <c r="AW258" s="47">
        <f>IF($E258=AW$3,$G258,0)-IF($H258=AW$3,$J258,0)</f>
        <v/>
      </c>
      <c r="AX258" s="47">
        <f>IF($E258=AX$3,$G258,0)-IF($H258=AX$3,$J258,0)</f>
        <v/>
      </c>
      <c r="AY258" s="47">
        <f>IF($E258=AY$3,$G258,0)-IF($H258=AY$3,$J258,0)</f>
        <v/>
      </c>
      <c r="AZ258" s="47">
        <f>IF($E258=AZ$3,$G258,0)-IF($H258=AZ$3,$J258,0)</f>
        <v/>
      </c>
      <c r="BA258" s="47">
        <f>IF($E258=BA$3,$G258,0)-IF($H258=BA$3,$J258,0)</f>
        <v/>
      </c>
      <c r="BB258" s="47">
        <f>IF($E258=BB$3,$G258,0)-IF($H258=BB$3,$J258,0)</f>
        <v/>
      </c>
      <c r="BC258" s="47">
        <f>IF($E258=BC$3,$G258,0)-IF($H258=BC$3,$J258,0)</f>
        <v/>
      </c>
      <c r="BD258" s="47">
        <f>IF($E258=BD$3,$G258,0)-IF($H258=BD$3,$J258,0)</f>
        <v/>
      </c>
      <c r="BE258" s="47">
        <f>IF($E258=BE$3,$G258,0)-IF($H258=BE$3,$J258,0)</f>
        <v/>
      </c>
      <c r="BF258" s="47">
        <f>IF($E258=BF$3,$G258,0)-IF($H258=BF$3,$J258,0)</f>
        <v/>
      </c>
      <c r="BG258" s="47">
        <f>IF($E258=BG$3,$G258,0)-IF($H258=BG$3,$J258,0)</f>
        <v/>
      </c>
      <c r="BH258" s="47">
        <f>IF($E258=BH$3,$G258,0)-IF($H258=BH$3,$J258,0)</f>
        <v/>
      </c>
      <c r="BI258" s="47">
        <f>IF($E258=BI$3,$G258,0)-IF($H258=BI$3,$J258,0)</f>
        <v/>
      </c>
      <c r="BJ258" s="47">
        <f>IF($E258=BJ$3,$G258,0)-IF($H258=BJ$3,$J258,0)</f>
        <v/>
      </c>
      <c r="BK258" s="47">
        <f>IF($E258=BK$3,$G258,0)-IF($H258=BK$3,$J258,0)</f>
        <v/>
      </c>
      <c r="BL258" s="46">
        <f>-IF($E258=BL$3,$G258,0)+IF($H258=BL$3,$J258,0)</f>
        <v/>
      </c>
      <c r="BM258" s="47">
        <f>-IF($E258=BM$3,$G258,0)+IF($H258=BM$3,$J258,0)</f>
        <v/>
      </c>
      <c r="BN258" s="47">
        <f>-IF($E258=BN$3,$G258,0)+IF($H258=BN$3,$J258,0)</f>
        <v/>
      </c>
      <c r="BO258" s="47">
        <f>-IF($E258=BO$3,$G258,0)+IF($H258=BO$3,$J258,0)</f>
        <v/>
      </c>
      <c r="BP258" s="47">
        <f>-IF($E258=BP$3,$G258,0)+IF($H258=BP$3,$J258,0)</f>
        <v/>
      </c>
      <c r="BQ258" s="47">
        <f>-IF($E258=BQ$3,$G258,0)+IF($H258=BQ$3,$J258,0)</f>
        <v/>
      </c>
      <c r="BR258" s="47">
        <f>-IF($E258=BR$3,$G258,0)+IF($H258=BR$3,$J258,0)</f>
        <v/>
      </c>
      <c r="BS258" s="47">
        <f>-IF($E258=BS$3,$G258,0)+IF($H258=BS$3,$J258,0)</f>
        <v/>
      </c>
      <c r="BT258" s="47">
        <f>-IF($E258=BT$3,$G258,0)+IF($H258=BT$3,$J258,0)</f>
        <v/>
      </c>
      <c r="BU258" s="46">
        <f>+G258-J258</f>
        <v/>
      </c>
      <c r="BV258" s="48">
        <f>-IF($E258=BV$3,$G258,0)+IF($H258=BV$3,$J258,0)</f>
        <v/>
      </c>
      <c r="BW258" s="3" t="n"/>
    </row>
    <row r="259" ht="15.75" customHeight="1" s="214">
      <c r="A259" s="7" t="n"/>
      <c r="B259" s="8" t="n"/>
      <c r="C259" s="9" t="n"/>
      <c r="D259" s="10" t="n"/>
      <c r="E259" s="247" t="n"/>
      <c r="F259" s="11">
        <f>IF(E259="","",IF(ISNA(VLOOKUP(E259,科目コード表!$C$4:$D$67,2,FALSE)),"該当科目なし",VLOOKUP(E259,科目コード表!$C$4:$D$67,2,FALSE)))</f>
        <v/>
      </c>
      <c r="G259" s="38" t="n"/>
      <c r="H259" s="248" t="n"/>
      <c r="I259" s="11">
        <f>IF(H259="","",IF(ISNA(VLOOKUP(H259,科目コード表!$C$4:$D$67,2,FALSE)),"該当科目なし",VLOOKUP(H259,科目コード表!$C$4:$D$67,2,FALSE)))</f>
        <v/>
      </c>
      <c r="J259" s="40" t="n"/>
      <c r="L259" s="46">
        <f>IF($E259=L$3,$G259,0)-IF($H259=L$3,$J259,0)</f>
        <v/>
      </c>
      <c r="M259" s="47">
        <f>IF($E259=M$3,$G259,0)-IF($H259=M$3,$J259,0)</f>
        <v/>
      </c>
      <c r="N259" s="47">
        <f>IF($E259=N$3,$G259,0)-IF($H259=N$3,$J259,0)</f>
        <v/>
      </c>
      <c r="O259" s="47">
        <f>IF($E259=O$3,$G259,0)-IF($H259=O$3,$J259,0)</f>
        <v/>
      </c>
      <c r="P259" s="47">
        <f>IF($E259=P$3,$G259,0)-IF($H259=P$3,$J259,0)</f>
        <v/>
      </c>
      <c r="Q259" s="47">
        <f>IF($E259=Q$3,$G259,0)-IF($H259=Q$3,$J259,0)</f>
        <v/>
      </c>
      <c r="R259" s="47">
        <f>IF($E259=R$3,$G259,0)-IF($H259=R$3,$J259,0)</f>
        <v/>
      </c>
      <c r="S259" s="47">
        <f>IF($E259=S$3,$G259,0)-IF($H259=S$3,$J259,0)</f>
        <v/>
      </c>
      <c r="T259" s="47">
        <f>IF($E259=T$3,$G259,0)-IF($H259=T$3,$J259,0)</f>
        <v/>
      </c>
      <c r="U259" s="47">
        <f>IF($E259=U$3,$G259,0)-IF($H259=U$3,$J259,0)</f>
        <v/>
      </c>
      <c r="V259" s="47">
        <f>IF($E259=V$3,$G259,0)-IF($H259=V$3,$J259,0)</f>
        <v/>
      </c>
      <c r="W259" s="47">
        <f>IF($E259=W$3,$G259,0)-IF($H259=W$3,$J259,0)</f>
        <v/>
      </c>
      <c r="X259" s="47">
        <f>IF($E259=X$3,$G259,0)-IF($H259=X$3,$J259,0)</f>
        <v/>
      </c>
      <c r="Y259" s="47">
        <f>IF($E259=Y$3,$G259,0)-IF($H259=Y$3,$J259,0)</f>
        <v/>
      </c>
      <c r="Z259" s="47">
        <f>IF($E259=Z$3,$G259,0)-IF($H259=Z$3,$J259,0)</f>
        <v/>
      </c>
      <c r="AA259" s="47">
        <f>IF($E259=AA$3,$G259,0)-IF($H259=AA$3,$J259,0)</f>
        <v/>
      </c>
      <c r="AB259" s="47">
        <f>IF($E259=AB$3,$G259,0)-IF($H259=AB$3,$J259,0)</f>
        <v/>
      </c>
      <c r="AC259" s="47">
        <f>IF($E259=AC$3,$G259,0)-IF($H259=AC$3,$J259,0)</f>
        <v/>
      </c>
      <c r="AD259" s="47">
        <f>IF($E259=AD$3,$G259,0)-IF($H259=AD$3,$J259,0)</f>
        <v/>
      </c>
      <c r="AE259" s="47">
        <f>IF($E259=AE$3,$G259,0)-IF($H259=AE$3,$J259,0)</f>
        <v/>
      </c>
      <c r="AF259" s="47">
        <f>IF($E259=AF$3,$G259,0)-IF($H259=AF$3,$J259,0)</f>
        <v/>
      </c>
      <c r="AG259" s="47">
        <f>IF($E259=AG$3,$G259,0)-IF($H259=AG$3,$J259,0)</f>
        <v/>
      </c>
      <c r="AH259" s="47">
        <f>IF($E259=AH$3,$G259,0)-IF($H259=AH$3,$J259,0)</f>
        <v/>
      </c>
      <c r="AI259" s="47">
        <f>IF($E259=AI$3,$G259,0)-IF($H259=AI$3,$J259,0)</f>
        <v/>
      </c>
      <c r="AJ259" s="47">
        <f>IF($E259=AJ$3,$G259,0)-IF($H259=AJ$3,$J259,0)</f>
        <v/>
      </c>
      <c r="AK259" s="47">
        <f>IF($E259=AK$3,$G259,0)-IF($H259=AK$3,$J259,0)</f>
        <v/>
      </c>
      <c r="AL259" s="48">
        <f>IF($E259=AL$3,$G259,0)-IF($H259=AL$3,$J259,0)</f>
        <v/>
      </c>
      <c r="AM259" s="46">
        <f>-IF($E259=AM$3,$G259,0)+IF($H259=AM$3,$J259,0)</f>
        <v/>
      </c>
      <c r="AN259" s="47">
        <f>-IF($E259=AN$3,$G259,0)+IF($H259=AN$3,$J259,0)</f>
        <v/>
      </c>
      <c r="AO259" s="48">
        <f>-IF($E259=AO$3,$G259,0)+IF($H259=AO$3,$J259,0)</f>
        <v/>
      </c>
      <c r="AP259" s="46">
        <f>IF($E259=AP$3,$G259,0)-IF($H259=AP$3,$J259,0)</f>
        <v/>
      </c>
      <c r="AQ259" s="47">
        <f>IF($E259=AQ$3,$G259,0)-IF($H259=AQ$3,$J259,0)</f>
        <v/>
      </c>
      <c r="AR259" s="47">
        <f>IF($E259=AR$3,$G259,0)-IF($H259=AR$3,$J259,0)</f>
        <v/>
      </c>
      <c r="AS259" s="47">
        <f>IF($E259=AS$3,$G259,0)-IF($H259=AS$3,$J259,0)</f>
        <v/>
      </c>
      <c r="AT259" s="47">
        <f>IF($E259=AT$3,$G259,0)-IF($H259=AT$3,$J259,0)</f>
        <v/>
      </c>
      <c r="AU259" s="47">
        <f>IF($E259=AU$3,$G259,0)-IF($H259=AU$3,$J259,0)</f>
        <v/>
      </c>
      <c r="AV259" s="47">
        <f>IF($E259=AV$3,$G259,0)-IF($H259=AV$3,$J259,0)</f>
        <v/>
      </c>
      <c r="AW259" s="47">
        <f>IF($E259=AW$3,$G259,0)-IF($H259=AW$3,$J259,0)</f>
        <v/>
      </c>
      <c r="AX259" s="47">
        <f>IF($E259=AX$3,$G259,0)-IF($H259=AX$3,$J259,0)</f>
        <v/>
      </c>
      <c r="AY259" s="47">
        <f>IF($E259=AY$3,$G259,0)-IF($H259=AY$3,$J259,0)</f>
        <v/>
      </c>
      <c r="AZ259" s="47">
        <f>IF($E259=AZ$3,$G259,0)-IF($H259=AZ$3,$J259,0)</f>
        <v/>
      </c>
      <c r="BA259" s="47">
        <f>IF($E259=BA$3,$G259,0)-IF($H259=BA$3,$J259,0)</f>
        <v/>
      </c>
      <c r="BB259" s="47">
        <f>IF($E259=BB$3,$G259,0)-IF($H259=BB$3,$J259,0)</f>
        <v/>
      </c>
      <c r="BC259" s="47">
        <f>IF($E259=BC$3,$G259,0)-IF($H259=BC$3,$J259,0)</f>
        <v/>
      </c>
      <c r="BD259" s="47">
        <f>IF($E259=BD$3,$G259,0)-IF($H259=BD$3,$J259,0)</f>
        <v/>
      </c>
      <c r="BE259" s="47">
        <f>IF($E259=BE$3,$G259,0)-IF($H259=BE$3,$J259,0)</f>
        <v/>
      </c>
      <c r="BF259" s="47">
        <f>IF($E259=BF$3,$G259,0)-IF($H259=BF$3,$J259,0)</f>
        <v/>
      </c>
      <c r="BG259" s="47">
        <f>IF($E259=BG$3,$G259,0)-IF($H259=BG$3,$J259,0)</f>
        <v/>
      </c>
      <c r="BH259" s="47">
        <f>IF($E259=BH$3,$G259,0)-IF($H259=BH$3,$J259,0)</f>
        <v/>
      </c>
      <c r="BI259" s="47">
        <f>IF($E259=BI$3,$G259,0)-IF($H259=BI$3,$J259,0)</f>
        <v/>
      </c>
      <c r="BJ259" s="47">
        <f>IF($E259=BJ$3,$G259,0)-IF($H259=BJ$3,$J259,0)</f>
        <v/>
      </c>
      <c r="BK259" s="47">
        <f>IF($E259=BK$3,$G259,0)-IF($H259=BK$3,$J259,0)</f>
        <v/>
      </c>
      <c r="BL259" s="46">
        <f>-IF($E259=BL$3,$G259,0)+IF($H259=BL$3,$J259,0)</f>
        <v/>
      </c>
      <c r="BM259" s="47">
        <f>-IF($E259=BM$3,$G259,0)+IF($H259=BM$3,$J259,0)</f>
        <v/>
      </c>
      <c r="BN259" s="47">
        <f>-IF($E259=BN$3,$G259,0)+IF($H259=BN$3,$J259,0)</f>
        <v/>
      </c>
      <c r="BO259" s="47">
        <f>-IF($E259=BO$3,$G259,0)+IF($H259=BO$3,$J259,0)</f>
        <v/>
      </c>
      <c r="BP259" s="47">
        <f>-IF($E259=BP$3,$G259,0)+IF($H259=BP$3,$J259,0)</f>
        <v/>
      </c>
      <c r="BQ259" s="47">
        <f>-IF($E259=BQ$3,$G259,0)+IF($H259=BQ$3,$J259,0)</f>
        <v/>
      </c>
      <c r="BR259" s="47">
        <f>-IF($E259=BR$3,$G259,0)+IF($H259=BR$3,$J259,0)</f>
        <v/>
      </c>
      <c r="BS259" s="47">
        <f>-IF($E259=BS$3,$G259,0)+IF($H259=BS$3,$J259,0)</f>
        <v/>
      </c>
      <c r="BT259" s="47">
        <f>-IF($E259=BT$3,$G259,0)+IF($H259=BT$3,$J259,0)</f>
        <v/>
      </c>
      <c r="BU259" s="46">
        <f>+G259-J259</f>
        <v/>
      </c>
      <c r="BV259" s="48">
        <f>-IF($E259=BV$3,$G259,0)+IF($H259=BV$3,$J259,0)</f>
        <v/>
      </c>
      <c r="BW259" s="3" t="n"/>
    </row>
    <row r="260" ht="15.75" customHeight="1" s="214">
      <c r="A260" s="7" t="n"/>
      <c r="B260" s="8" t="n"/>
      <c r="C260" s="9" t="n"/>
      <c r="D260" s="10" t="n"/>
      <c r="E260" s="247" t="n"/>
      <c r="F260" s="11">
        <f>IF(E260="","",IF(ISNA(VLOOKUP(E260,科目コード表!$C$4:$D$67,2,FALSE)),"該当科目なし",VLOOKUP(E260,科目コード表!$C$4:$D$67,2,FALSE)))</f>
        <v/>
      </c>
      <c r="G260" s="38" t="n"/>
      <c r="H260" s="248" t="n"/>
      <c r="I260" s="11">
        <f>IF(H260="","",IF(ISNA(VLOOKUP(H260,科目コード表!$C$4:$D$67,2,FALSE)),"該当科目なし",VLOOKUP(H260,科目コード表!$C$4:$D$67,2,FALSE)))</f>
        <v/>
      </c>
      <c r="J260" s="40" t="n"/>
      <c r="L260" s="46">
        <f>IF($E260=L$3,$G260,0)-IF($H260=L$3,$J260,0)</f>
        <v/>
      </c>
      <c r="M260" s="47">
        <f>IF($E260=M$3,$G260,0)-IF($H260=M$3,$J260,0)</f>
        <v/>
      </c>
      <c r="N260" s="47">
        <f>IF($E260=N$3,$G260,0)-IF($H260=N$3,$J260,0)</f>
        <v/>
      </c>
      <c r="O260" s="47">
        <f>IF($E260=O$3,$G260,0)-IF($H260=O$3,$J260,0)</f>
        <v/>
      </c>
      <c r="P260" s="47">
        <f>IF($E260=P$3,$G260,0)-IF($H260=P$3,$J260,0)</f>
        <v/>
      </c>
      <c r="Q260" s="47">
        <f>IF($E260=Q$3,$G260,0)-IF($H260=Q$3,$J260,0)</f>
        <v/>
      </c>
      <c r="R260" s="47">
        <f>IF($E260=R$3,$G260,0)-IF($H260=R$3,$J260,0)</f>
        <v/>
      </c>
      <c r="S260" s="47">
        <f>IF($E260=S$3,$G260,0)-IF($H260=S$3,$J260,0)</f>
        <v/>
      </c>
      <c r="T260" s="47">
        <f>IF($E260=T$3,$G260,0)-IF($H260=T$3,$J260,0)</f>
        <v/>
      </c>
      <c r="U260" s="47">
        <f>IF($E260=U$3,$G260,0)-IF($H260=U$3,$J260,0)</f>
        <v/>
      </c>
      <c r="V260" s="47">
        <f>IF($E260=V$3,$G260,0)-IF($H260=V$3,$J260,0)</f>
        <v/>
      </c>
      <c r="W260" s="47">
        <f>IF($E260=W$3,$G260,0)-IF($H260=W$3,$J260,0)</f>
        <v/>
      </c>
      <c r="X260" s="47">
        <f>IF($E260=X$3,$G260,0)-IF($H260=X$3,$J260,0)</f>
        <v/>
      </c>
      <c r="Y260" s="47">
        <f>IF($E260=Y$3,$G260,0)-IF($H260=Y$3,$J260,0)</f>
        <v/>
      </c>
      <c r="Z260" s="47">
        <f>IF($E260=Z$3,$G260,0)-IF($H260=Z$3,$J260,0)</f>
        <v/>
      </c>
      <c r="AA260" s="47">
        <f>IF($E260=AA$3,$G260,0)-IF($H260=AA$3,$J260,0)</f>
        <v/>
      </c>
      <c r="AB260" s="47">
        <f>IF($E260=AB$3,$G260,0)-IF($H260=AB$3,$J260,0)</f>
        <v/>
      </c>
      <c r="AC260" s="47">
        <f>IF($E260=AC$3,$G260,0)-IF($H260=AC$3,$J260,0)</f>
        <v/>
      </c>
      <c r="AD260" s="47">
        <f>IF($E260=AD$3,$G260,0)-IF($H260=AD$3,$J260,0)</f>
        <v/>
      </c>
      <c r="AE260" s="47">
        <f>IF($E260=AE$3,$G260,0)-IF($H260=AE$3,$J260,0)</f>
        <v/>
      </c>
      <c r="AF260" s="47">
        <f>IF($E260=AF$3,$G260,0)-IF($H260=AF$3,$J260,0)</f>
        <v/>
      </c>
      <c r="AG260" s="47">
        <f>IF($E260=AG$3,$G260,0)-IF($H260=AG$3,$J260,0)</f>
        <v/>
      </c>
      <c r="AH260" s="47">
        <f>IF($E260=AH$3,$G260,0)-IF($H260=AH$3,$J260,0)</f>
        <v/>
      </c>
      <c r="AI260" s="47">
        <f>IF($E260=AI$3,$G260,0)-IF($H260=AI$3,$J260,0)</f>
        <v/>
      </c>
      <c r="AJ260" s="47">
        <f>IF($E260=AJ$3,$G260,0)-IF($H260=AJ$3,$J260,0)</f>
        <v/>
      </c>
      <c r="AK260" s="47">
        <f>IF($E260=AK$3,$G260,0)-IF($H260=AK$3,$J260,0)</f>
        <v/>
      </c>
      <c r="AL260" s="48">
        <f>IF($E260=AL$3,$G260,0)-IF($H260=AL$3,$J260,0)</f>
        <v/>
      </c>
      <c r="AM260" s="46">
        <f>-IF($E260=AM$3,$G260,0)+IF($H260=AM$3,$J260,0)</f>
        <v/>
      </c>
      <c r="AN260" s="47">
        <f>-IF($E260=AN$3,$G260,0)+IF($H260=AN$3,$J260,0)</f>
        <v/>
      </c>
      <c r="AO260" s="48">
        <f>-IF($E260=AO$3,$G260,0)+IF($H260=AO$3,$J260,0)</f>
        <v/>
      </c>
      <c r="AP260" s="46">
        <f>IF($E260=AP$3,$G260,0)-IF($H260=AP$3,$J260,0)</f>
        <v/>
      </c>
      <c r="AQ260" s="47">
        <f>IF($E260=AQ$3,$G260,0)-IF($H260=AQ$3,$J260,0)</f>
        <v/>
      </c>
      <c r="AR260" s="47">
        <f>IF($E260=AR$3,$G260,0)-IF($H260=AR$3,$J260,0)</f>
        <v/>
      </c>
      <c r="AS260" s="47">
        <f>IF($E260=AS$3,$G260,0)-IF($H260=AS$3,$J260,0)</f>
        <v/>
      </c>
      <c r="AT260" s="47">
        <f>IF($E260=AT$3,$G260,0)-IF($H260=AT$3,$J260,0)</f>
        <v/>
      </c>
      <c r="AU260" s="47">
        <f>IF($E260=AU$3,$G260,0)-IF($H260=AU$3,$J260,0)</f>
        <v/>
      </c>
      <c r="AV260" s="47">
        <f>IF($E260=AV$3,$G260,0)-IF($H260=AV$3,$J260,0)</f>
        <v/>
      </c>
      <c r="AW260" s="47">
        <f>IF($E260=AW$3,$G260,0)-IF($H260=AW$3,$J260,0)</f>
        <v/>
      </c>
      <c r="AX260" s="47">
        <f>IF($E260=AX$3,$G260,0)-IF($H260=AX$3,$J260,0)</f>
        <v/>
      </c>
      <c r="AY260" s="47">
        <f>IF($E260=AY$3,$G260,0)-IF($H260=AY$3,$J260,0)</f>
        <v/>
      </c>
      <c r="AZ260" s="47">
        <f>IF($E260=AZ$3,$G260,0)-IF($H260=AZ$3,$J260,0)</f>
        <v/>
      </c>
      <c r="BA260" s="47">
        <f>IF($E260=BA$3,$G260,0)-IF($H260=BA$3,$J260,0)</f>
        <v/>
      </c>
      <c r="BB260" s="47">
        <f>IF($E260=BB$3,$G260,0)-IF($H260=BB$3,$J260,0)</f>
        <v/>
      </c>
      <c r="BC260" s="47">
        <f>IF($E260=BC$3,$G260,0)-IF($H260=BC$3,$J260,0)</f>
        <v/>
      </c>
      <c r="BD260" s="47">
        <f>IF($E260=BD$3,$G260,0)-IF($H260=BD$3,$J260,0)</f>
        <v/>
      </c>
      <c r="BE260" s="47">
        <f>IF($E260=BE$3,$G260,0)-IF($H260=BE$3,$J260,0)</f>
        <v/>
      </c>
      <c r="BF260" s="47">
        <f>IF($E260=BF$3,$G260,0)-IF($H260=BF$3,$J260,0)</f>
        <v/>
      </c>
      <c r="BG260" s="47">
        <f>IF($E260=BG$3,$G260,0)-IF($H260=BG$3,$J260,0)</f>
        <v/>
      </c>
      <c r="BH260" s="47">
        <f>IF($E260=BH$3,$G260,0)-IF($H260=BH$3,$J260,0)</f>
        <v/>
      </c>
      <c r="BI260" s="47">
        <f>IF($E260=BI$3,$G260,0)-IF($H260=BI$3,$J260,0)</f>
        <v/>
      </c>
      <c r="BJ260" s="47">
        <f>IF($E260=BJ$3,$G260,0)-IF($H260=BJ$3,$J260,0)</f>
        <v/>
      </c>
      <c r="BK260" s="47">
        <f>IF($E260=BK$3,$G260,0)-IF($H260=BK$3,$J260,0)</f>
        <v/>
      </c>
      <c r="BL260" s="46">
        <f>-IF($E260=BL$3,$G260,0)+IF($H260=BL$3,$J260,0)</f>
        <v/>
      </c>
      <c r="BM260" s="47">
        <f>-IF($E260=BM$3,$G260,0)+IF($H260=BM$3,$J260,0)</f>
        <v/>
      </c>
      <c r="BN260" s="47">
        <f>-IF($E260=BN$3,$G260,0)+IF($H260=BN$3,$J260,0)</f>
        <v/>
      </c>
      <c r="BO260" s="47">
        <f>-IF($E260=BO$3,$G260,0)+IF($H260=BO$3,$J260,0)</f>
        <v/>
      </c>
      <c r="BP260" s="47">
        <f>-IF($E260=BP$3,$G260,0)+IF($H260=BP$3,$J260,0)</f>
        <v/>
      </c>
      <c r="BQ260" s="47">
        <f>-IF($E260=BQ$3,$G260,0)+IF($H260=BQ$3,$J260,0)</f>
        <v/>
      </c>
      <c r="BR260" s="47">
        <f>-IF($E260=BR$3,$G260,0)+IF($H260=BR$3,$J260,0)</f>
        <v/>
      </c>
      <c r="BS260" s="47">
        <f>-IF($E260=BS$3,$G260,0)+IF($H260=BS$3,$J260,0)</f>
        <v/>
      </c>
      <c r="BT260" s="47">
        <f>-IF($E260=BT$3,$G260,0)+IF($H260=BT$3,$J260,0)</f>
        <v/>
      </c>
      <c r="BU260" s="46">
        <f>+G260-J260</f>
        <v/>
      </c>
      <c r="BV260" s="48">
        <f>-IF($E260=BV$3,$G260,0)+IF($H260=BV$3,$J260,0)</f>
        <v/>
      </c>
      <c r="BW260" s="3" t="n"/>
    </row>
    <row r="261" ht="15.75" customHeight="1" s="214">
      <c r="A261" s="7" t="n"/>
      <c r="B261" s="8" t="n"/>
      <c r="C261" s="9" t="n"/>
      <c r="D261" s="10" t="n"/>
      <c r="E261" s="247" t="n"/>
      <c r="F261" s="11">
        <f>IF(E261="","",IF(ISNA(VLOOKUP(E261,科目コード表!$C$4:$D$67,2,FALSE)),"該当科目なし",VLOOKUP(E261,科目コード表!$C$4:$D$67,2,FALSE)))</f>
        <v/>
      </c>
      <c r="G261" s="38" t="n"/>
      <c r="H261" s="248" t="n"/>
      <c r="I261" s="11">
        <f>IF(H261="","",IF(ISNA(VLOOKUP(H261,科目コード表!$C$4:$D$67,2,FALSE)),"該当科目なし",VLOOKUP(H261,科目コード表!$C$4:$D$67,2,FALSE)))</f>
        <v/>
      </c>
      <c r="J261" s="40" t="n"/>
      <c r="L261" s="46">
        <f>IF($E261=L$3,$G261,0)-IF($H261=L$3,$J261,0)</f>
        <v/>
      </c>
      <c r="M261" s="47">
        <f>IF($E261=M$3,$G261,0)-IF($H261=M$3,$J261,0)</f>
        <v/>
      </c>
      <c r="N261" s="47">
        <f>IF($E261=N$3,$G261,0)-IF($H261=N$3,$J261,0)</f>
        <v/>
      </c>
      <c r="O261" s="47">
        <f>IF($E261=O$3,$G261,0)-IF($H261=O$3,$J261,0)</f>
        <v/>
      </c>
      <c r="P261" s="47">
        <f>IF($E261=P$3,$G261,0)-IF($H261=P$3,$J261,0)</f>
        <v/>
      </c>
      <c r="Q261" s="47">
        <f>IF($E261=Q$3,$G261,0)-IF($H261=Q$3,$J261,0)</f>
        <v/>
      </c>
      <c r="R261" s="47">
        <f>IF($E261=R$3,$G261,0)-IF($H261=R$3,$J261,0)</f>
        <v/>
      </c>
      <c r="S261" s="47">
        <f>IF($E261=S$3,$G261,0)-IF($H261=S$3,$J261,0)</f>
        <v/>
      </c>
      <c r="T261" s="47">
        <f>IF($E261=T$3,$G261,0)-IF($H261=T$3,$J261,0)</f>
        <v/>
      </c>
      <c r="U261" s="47">
        <f>IF($E261=U$3,$G261,0)-IF($H261=U$3,$J261,0)</f>
        <v/>
      </c>
      <c r="V261" s="47">
        <f>IF($E261=V$3,$G261,0)-IF($H261=V$3,$J261,0)</f>
        <v/>
      </c>
      <c r="W261" s="47">
        <f>IF($E261=W$3,$G261,0)-IF($H261=W$3,$J261,0)</f>
        <v/>
      </c>
      <c r="X261" s="47">
        <f>IF($E261=X$3,$G261,0)-IF($H261=X$3,$J261,0)</f>
        <v/>
      </c>
      <c r="Y261" s="47">
        <f>IF($E261=Y$3,$G261,0)-IF($H261=Y$3,$J261,0)</f>
        <v/>
      </c>
      <c r="Z261" s="47">
        <f>IF($E261=Z$3,$G261,0)-IF($H261=Z$3,$J261,0)</f>
        <v/>
      </c>
      <c r="AA261" s="47">
        <f>IF($E261=AA$3,$G261,0)-IF($H261=AA$3,$J261,0)</f>
        <v/>
      </c>
      <c r="AB261" s="47">
        <f>IF($E261=AB$3,$G261,0)-IF($H261=AB$3,$J261,0)</f>
        <v/>
      </c>
      <c r="AC261" s="47">
        <f>IF($E261=AC$3,$G261,0)-IF($H261=AC$3,$J261,0)</f>
        <v/>
      </c>
      <c r="AD261" s="47">
        <f>IF($E261=AD$3,$G261,0)-IF($H261=AD$3,$J261,0)</f>
        <v/>
      </c>
      <c r="AE261" s="47">
        <f>IF($E261=AE$3,$G261,0)-IF($H261=AE$3,$J261,0)</f>
        <v/>
      </c>
      <c r="AF261" s="47">
        <f>IF($E261=AF$3,$G261,0)-IF($H261=AF$3,$J261,0)</f>
        <v/>
      </c>
      <c r="AG261" s="47">
        <f>IF($E261=AG$3,$G261,0)-IF($H261=AG$3,$J261,0)</f>
        <v/>
      </c>
      <c r="AH261" s="47">
        <f>IF($E261=AH$3,$G261,0)-IF($H261=AH$3,$J261,0)</f>
        <v/>
      </c>
      <c r="AI261" s="47">
        <f>IF($E261=AI$3,$G261,0)-IF($H261=AI$3,$J261,0)</f>
        <v/>
      </c>
      <c r="AJ261" s="47">
        <f>IF($E261=AJ$3,$G261,0)-IF($H261=AJ$3,$J261,0)</f>
        <v/>
      </c>
      <c r="AK261" s="47">
        <f>IF($E261=AK$3,$G261,0)-IF($H261=AK$3,$J261,0)</f>
        <v/>
      </c>
      <c r="AL261" s="48">
        <f>IF($E261=AL$3,$G261,0)-IF($H261=AL$3,$J261,0)</f>
        <v/>
      </c>
      <c r="AM261" s="46">
        <f>-IF($E261=AM$3,$G261,0)+IF($H261=AM$3,$J261,0)</f>
        <v/>
      </c>
      <c r="AN261" s="47">
        <f>-IF($E261=AN$3,$G261,0)+IF($H261=AN$3,$J261,0)</f>
        <v/>
      </c>
      <c r="AO261" s="48">
        <f>-IF($E261=AO$3,$G261,0)+IF($H261=AO$3,$J261,0)</f>
        <v/>
      </c>
      <c r="AP261" s="46">
        <f>IF($E261=AP$3,$G261,0)-IF($H261=AP$3,$J261,0)</f>
        <v/>
      </c>
      <c r="AQ261" s="47">
        <f>IF($E261=AQ$3,$G261,0)-IF($H261=AQ$3,$J261,0)</f>
        <v/>
      </c>
      <c r="AR261" s="47">
        <f>IF($E261=AR$3,$G261,0)-IF($H261=AR$3,$J261,0)</f>
        <v/>
      </c>
      <c r="AS261" s="47">
        <f>IF($E261=AS$3,$G261,0)-IF($H261=AS$3,$J261,0)</f>
        <v/>
      </c>
      <c r="AT261" s="47">
        <f>IF($E261=AT$3,$G261,0)-IF($H261=AT$3,$J261,0)</f>
        <v/>
      </c>
      <c r="AU261" s="47">
        <f>IF($E261=AU$3,$G261,0)-IF($H261=AU$3,$J261,0)</f>
        <v/>
      </c>
      <c r="AV261" s="47">
        <f>IF($E261=AV$3,$G261,0)-IF($H261=AV$3,$J261,0)</f>
        <v/>
      </c>
      <c r="AW261" s="47">
        <f>IF($E261=AW$3,$G261,0)-IF($H261=AW$3,$J261,0)</f>
        <v/>
      </c>
      <c r="AX261" s="47">
        <f>IF($E261=AX$3,$G261,0)-IF($H261=AX$3,$J261,0)</f>
        <v/>
      </c>
      <c r="AY261" s="47">
        <f>IF($E261=AY$3,$G261,0)-IF($H261=AY$3,$J261,0)</f>
        <v/>
      </c>
      <c r="AZ261" s="47">
        <f>IF($E261=AZ$3,$G261,0)-IF($H261=AZ$3,$J261,0)</f>
        <v/>
      </c>
      <c r="BA261" s="47">
        <f>IF($E261=BA$3,$G261,0)-IF($H261=BA$3,$J261,0)</f>
        <v/>
      </c>
      <c r="BB261" s="47">
        <f>IF($E261=BB$3,$G261,0)-IF($H261=BB$3,$J261,0)</f>
        <v/>
      </c>
      <c r="BC261" s="47">
        <f>IF($E261=BC$3,$G261,0)-IF($H261=BC$3,$J261,0)</f>
        <v/>
      </c>
      <c r="BD261" s="47">
        <f>IF($E261=BD$3,$G261,0)-IF($H261=BD$3,$J261,0)</f>
        <v/>
      </c>
      <c r="BE261" s="47">
        <f>IF($E261=BE$3,$G261,0)-IF($H261=BE$3,$J261,0)</f>
        <v/>
      </c>
      <c r="BF261" s="47">
        <f>IF($E261=BF$3,$G261,0)-IF($H261=BF$3,$J261,0)</f>
        <v/>
      </c>
      <c r="BG261" s="47">
        <f>IF($E261=BG$3,$G261,0)-IF($H261=BG$3,$J261,0)</f>
        <v/>
      </c>
      <c r="BH261" s="47">
        <f>IF($E261=BH$3,$G261,0)-IF($H261=BH$3,$J261,0)</f>
        <v/>
      </c>
      <c r="BI261" s="47">
        <f>IF($E261=BI$3,$G261,0)-IF($H261=BI$3,$J261,0)</f>
        <v/>
      </c>
      <c r="BJ261" s="47">
        <f>IF($E261=BJ$3,$G261,0)-IF($H261=BJ$3,$J261,0)</f>
        <v/>
      </c>
      <c r="BK261" s="47">
        <f>IF($E261=BK$3,$G261,0)-IF($H261=BK$3,$J261,0)</f>
        <v/>
      </c>
      <c r="BL261" s="46">
        <f>-IF($E261=BL$3,$G261,0)+IF($H261=BL$3,$J261,0)</f>
        <v/>
      </c>
      <c r="BM261" s="47">
        <f>-IF($E261=BM$3,$G261,0)+IF($H261=BM$3,$J261,0)</f>
        <v/>
      </c>
      <c r="BN261" s="47">
        <f>-IF($E261=BN$3,$G261,0)+IF($H261=BN$3,$J261,0)</f>
        <v/>
      </c>
      <c r="BO261" s="47">
        <f>-IF($E261=BO$3,$G261,0)+IF($H261=BO$3,$J261,0)</f>
        <v/>
      </c>
      <c r="BP261" s="47">
        <f>-IF($E261=BP$3,$G261,0)+IF($H261=BP$3,$J261,0)</f>
        <v/>
      </c>
      <c r="BQ261" s="47">
        <f>-IF($E261=BQ$3,$G261,0)+IF($H261=BQ$3,$J261,0)</f>
        <v/>
      </c>
      <c r="BR261" s="47">
        <f>-IF($E261=BR$3,$G261,0)+IF($H261=BR$3,$J261,0)</f>
        <v/>
      </c>
      <c r="BS261" s="47">
        <f>-IF($E261=BS$3,$G261,0)+IF($H261=BS$3,$J261,0)</f>
        <v/>
      </c>
      <c r="BT261" s="47">
        <f>-IF($E261=BT$3,$G261,0)+IF($H261=BT$3,$J261,0)</f>
        <v/>
      </c>
      <c r="BU261" s="46">
        <f>+G261-J261</f>
        <v/>
      </c>
      <c r="BV261" s="48">
        <f>-IF($E261=BV$3,$G261,0)+IF($H261=BV$3,$J261,0)</f>
        <v/>
      </c>
      <c r="BW261" s="3" t="n"/>
    </row>
    <row r="262" ht="15.75" customHeight="1" s="214">
      <c r="A262" s="7" t="n"/>
      <c r="B262" s="8" t="n"/>
      <c r="C262" s="9" t="n"/>
      <c r="D262" s="10" t="n"/>
      <c r="E262" s="247" t="n"/>
      <c r="F262" s="11">
        <f>IF(E262="","",IF(ISNA(VLOOKUP(E262,科目コード表!$C$4:$D$67,2,FALSE)),"該当科目なし",VLOOKUP(E262,科目コード表!$C$4:$D$67,2,FALSE)))</f>
        <v/>
      </c>
      <c r="G262" s="38" t="n"/>
      <c r="H262" s="248" t="n"/>
      <c r="I262" s="11">
        <f>IF(H262="","",IF(ISNA(VLOOKUP(H262,科目コード表!$C$4:$D$67,2,FALSE)),"該当科目なし",VLOOKUP(H262,科目コード表!$C$4:$D$67,2,FALSE)))</f>
        <v/>
      </c>
      <c r="J262" s="40" t="n"/>
      <c r="L262" s="46">
        <f>IF($E262=L$3,$G262,0)-IF($H262=L$3,$J262,0)</f>
        <v/>
      </c>
      <c r="M262" s="47">
        <f>IF($E262=M$3,$G262,0)-IF($H262=M$3,$J262,0)</f>
        <v/>
      </c>
      <c r="N262" s="47">
        <f>IF($E262=N$3,$G262,0)-IF($H262=N$3,$J262,0)</f>
        <v/>
      </c>
      <c r="O262" s="47">
        <f>IF($E262=O$3,$G262,0)-IF($H262=O$3,$J262,0)</f>
        <v/>
      </c>
      <c r="P262" s="47">
        <f>IF($E262=P$3,$G262,0)-IF($H262=P$3,$J262,0)</f>
        <v/>
      </c>
      <c r="Q262" s="47">
        <f>IF($E262=Q$3,$G262,0)-IF($H262=Q$3,$J262,0)</f>
        <v/>
      </c>
      <c r="R262" s="47">
        <f>IF($E262=R$3,$G262,0)-IF($H262=R$3,$J262,0)</f>
        <v/>
      </c>
      <c r="S262" s="47">
        <f>IF($E262=S$3,$G262,0)-IF($H262=S$3,$J262,0)</f>
        <v/>
      </c>
      <c r="T262" s="47">
        <f>IF($E262=T$3,$G262,0)-IF($H262=T$3,$J262,0)</f>
        <v/>
      </c>
      <c r="U262" s="47">
        <f>IF($E262=U$3,$G262,0)-IF($H262=U$3,$J262,0)</f>
        <v/>
      </c>
      <c r="V262" s="47">
        <f>IF($E262=V$3,$G262,0)-IF($H262=V$3,$J262,0)</f>
        <v/>
      </c>
      <c r="W262" s="47">
        <f>IF($E262=W$3,$G262,0)-IF($H262=W$3,$J262,0)</f>
        <v/>
      </c>
      <c r="X262" s="47">
        <f>IF($E262=X$3,$G262,0)-IF($H262=X$3,$J262,0)</f>
        <v/>
      </c>
      <c r="Y262" s="47">
        <f>IF($E262=Y$3,$G262,0)-IF($H262=Y$3,$J262,0)</f>
        <v/>
      </c>
      <c r="Z262" s="47">
        <f>IF($E262=Z$3,$G262,0)-IF($H262=Z$3,$J262,0)</f>
        <v/>
      </c>
      <c r="AA262" s="47">
        <f>IF($E262=AA$3,$G262,0)-IF($H262=AA$3,$J262,0)</f>
        <v/>
      </c>
      <c r="AB262" s="47">
        <f>IF($E262=AB$3,$G262,0)-IF($H262=AB$3,$J262,0)</f>
        <v/>
      </c>
      <c r="AC262" s="47">
        <f>IF($E262=AC$3,$G262,0)-IF($H262=AC$3,$J262,0)</f>
        <v/>
      </c>
      <c r="AD262" s="47">
        <f>IF($E262=AD$3,$G262,0)-IF($H262=AD$3,$J262,0)</f>
        <v/>
      </c>
      <c r="AE262" s="47">
        <f>IF($E262=AE$3,$G262,0)-IF($H262=AE$3,$J262,0)</f>
        <v/>
      </c>
      <c r="AF262" s="47">
        <f>IF($E262=AF$3,$G262,0)-IF($H262=AF$3,$J262,0)</f>
        <v/>
      </c>
      <c r="AG262" s="47">
        <f>IF($E262=AG$3,$G262,0)-IF($H262=AG$3,$J262,0)</f>
        <v/>
      </c>
      <c r="AH262" s="47">
        <f>IF($E262=AH$3,$G262,0)-IF($H262=AH$3,$J262,0)</f>
        <v/>
      </c>
      <c r="AI262" s="47">
        <f>IF($E262=AI$3,$G262,0)-IF($H262=AI$3,$J262,0)</f>
        <v/>
      </c>
      <c r="AJ262" s="47">
        <f>IF($E262=AJ$3,$G262,0)-IF($H262=AJ$3,$J262,0)</f>
        <v/>
      </c>
      <c r="AK262" s="47">
        <f>IF($E262=AK$3,$G262,0)-IF($H262=AK$3,$J262,0)</f>
        <v/>
      </c>
      <c r="AL262" s="48">
        <f>IF($E262=AL$3,$G262,0)-IF($H262=AL$3,$J262,0)</f>
        <v/>
      </c>
      <c r="AM262" s="46">
        <f>-IF($E262=AM$3,$G262,0)+IF($H262=AM$3,$J262,0)</f>
        <v/>
      </c>
      <c r="AN262" s="47">
        <f>-IF($E262=AN$3,$G262,0)+IF($H262=AN$3,$J262,0)</f>
        <v/>
      </c>
      <c r="AO262" s="48">
        <f>-IF($E262=AO$3,$G262,0)+IF($H262=AO$3,$J262,0)</f>
        <v/>
      </c>
      <c r="AP262" s="46">
        <f>IF($E262=AP$3,$G262,0)-IF($H262=AP$3,$J262,0)</f>
        <v/>
      </c>
      <c r="AQ262" s="47">
        <f>IF($E262=AQ$3,$G262,0)-IF($H262=AQ$3,$J262,0)</f>
        <v/>
      </c>
      <c r="AR262" s="47">
        <f>IF($E262=AR$3,$G262,0)-IF($H262=AR$3,$J262,0)</f>
        <v/>
      </c>
      <c r="AS262" s="47">
        <f>IF($E262=AS$3,$G262,0)-IF($H262=AS$3,$J262,0)</f>
        <v/>
      </c>
      <c r="AT262" s="47">
        <f>IF($E262=AT$3,$G262,0)-IF($H262=AT$3,$J262,0)</f>
        <v/>
      </c>
      <c r="AU262" s="47">
        <f>IF($E262=AU$3,$G262,0)-IF($H262=AU$3,$J262,0)</f>
        <v/>
      </c>
      <c r="AV262" s="47">
        <f>IF($E262=AV$3,$G262,0)-IF($H262=AV$3,$J262,0)</f>
        <v/>
      </c>
      <c r="AW262" s="47">
        <f>IF($E262=AW$3,$G262,0)-IF($H262=AW$3,$J262,0)</f>
        <v/>
      </c>
      <c r="AX262" s="47">
        <f>IF($E262=AX$3,$G262,0)-IF($H262=AX$3,$J262,0)</f>
        <v/>
      </c>
      <c r="AY262" s="47">
        <f>IF($E262=AY$3,$G262,0)-IF($H262=AY$3,$J262,0)</f>
        <v/>
      </c>
      <c r="AZ262" s="47">
        <f>IF($E262=AZ$3,$G262,0)-IF($H262=AZ$3,$J262,0)</f>
        <v/>
      </c>
      <c r="BA262" s="47">
        <f>IF($E262=BA$3,$G262,0)-IF($H262=BA$3,$J262,0)</f>
        <v/>
      </c>
      <c r="BB262" s="47">
        <f>IF($E262=BB$3,$G262,0)-IF($H262=BB$3,$J262,0)</f>
        <v/>
      </c>
      <c r="BC262" s="47">
        <f>IF($E262=BC$3,$G262,0)-IF($H262=BC$3,$J262,0)</f>
        <v/>
      </c>
      <c r="BD262" s="47">
        <f>IF($E262=BD$3,$G262,0)-IF($H262=BD$3,$J262,0)</f>
        <v/>
      </c>
      <c r="BE262" s="47">
        <f>IF($E262=BE$3,$G262,0)-IF($H262=BE$3,$J262,0)</f>
        <v/>
      </c>
      <c r="BF262" s="47">
        <f>IF($E262=BF$3,$G262,0)-IF($H262=BF$3,$J262,0)</f>
        <v/>
      </c>
      <c r="BG262" s="47">
        <f>IF($E262=BG$3,$G262,0)-IF($H262=BG$3,$J262,0)</f>
        <v/>
      </c>
      <c r="BH262" s="47">
        <f>IF($E262=BH$3,$G262,0)-IF($H262=BH$3,$J262,0)</f>
        <v/>
      </c>
      <c r="BI262" s="47">
        <f>IF($E262=BI$3,$G262,0)-IF($H262=BI$3,$J262,0)</f>
        <v/>
      </c>
      <c r="BJ262" s="47">
        <f>IF($E262=BJ$3,$G262,0)-IF($H262=BJ$3,$J262,0)</f>
        <v/>
      </c>
      <c r="BK262" s="47">
        <f>IF($E262=BK$3,$G262,0)-IF($H262=BK$3,$J262,0)</f>
        <v/>
      </c>
      <c r="BL262" s="46">
        <f>-IF($E262=BL$3,$G262,0)+IF($H262=BL$3,$J262,0)</f>
        <v/>
      </c>
      <c r="BM262" s="47">
        <f>-IF($E262=BM$3,$G262,0)+IF($H262=BM$3,$J262,0)</f>
        <v/>
      </c>
      <c r="BN262" s="47">
        <f>-IF($E262=BN$3,$G262,0)+IF($H262=BN$3,$J262,0)</f>
        <v/>
      </c>
      <c r="BO262" s="47">
        <f>-IF($E262=BO$3,$G262,0)+IF($H262=BO$3,$J262,0)</f>
        <v/>
      </c>
      <c r="BP262" s="47">
        <f>-IF($E262=BP$3,$G262,0)+IF($H262=BP$3,$J262,0)</f>
        <v/>
      </c>
      <c r="BQ262" s="47">
        <f>-IF($E262=BQ$3,$G262,0)+IF($H262=BQ$3,$J262,0)</f>
        <v/>
      </c>
      <c r="BR262" s="47">
        <f>-IF($E262=BR$3,$G262,0)+IF($H262=BR$3,$J262,0)</f>
        <v/>
      </c>
      <c r="BS262" s="47">
        <f>-IF($E262=BS$3,$G262,0)+IF($H262=BS$3,$J262,0)</f>
        <v/>
      </c>
      <c r="BT262" s="47">
        <f>-IF($E262=BT$3,$G262,0)+IF($H262=BT$3,$J262,0)</f>
        <v/>
      </c>
      <c r="BU262" s="46">
        <f>+G262-J262</f>
        <v/>
      </c>
      <c r="BV262" s="48">
        <f>-IF($E262=BV$3,$G262,0)+IF($H262=BV$3,$J262,0)</f>
        <v/>
      </c>
      <c r="BW262" s="3" t="n"/>
    </row>
    <row r="263" ht="15.75" customHeight="1" s="214">
      <c r="A263" s="7" t="n"/>
      <c r="B263" s="8" t="n"/>
      <c r="C263" s="9" t="n"/>
      <c r="D263" s="10" t="n"/>
      <c r="E263" s="247" t="n"/>
      <c r="F263" s="11">
        <f>IF(E263="","",IF(ISNA(VLOOKUP(E263,科目コード表!$C$4:$D$67,2,FALSE)),"該当科目なし",VLOOKUP(E263,科目コード表!$C$4:$D$67,2,FALSE)))</f>
        <v/>
      </c>
      <c r="G263" s="38" t="n"/>
      <c r="H263" s="248" t="n"/>
      <c r="I263" s="11">
        <f>IF(H263="","",IF(ISNA(VLOOKUP(H263,科目コード表!$C$4:$D$67,2,FALSE)),"該当科目なし",VLOOKUP(H263,科目コード表!$C$4:$D$67,2,FALSE)))</f>
        <v/>
      </c>
      <c r="J263" s="40" t="n"/>
      <c r="L263" s="46">
        <f>IF($E263=L$3,$G263,0)-IF($H263=L$3,$J263,0)</f>
        <v/>
      </c>
      <c r="M263" s="47">
        <f>IF($E263=M$3,$G263,0)-IF($H263=M$3,$J263,0)</f>
        <v/>
      </c>
      <c r="N263" s="47">
        <f>IF($E263=N$3,$G263,0)-IF($H263=N$3,$J263,0)</f>
        <v/>
      </c>
      <c r="O263" s="47">
        <f>IF($E263=O$3,$G263,0)-IF($H263=O$3,$J263,0)</f>
        <v/>
      </c>
      <c r="P263" s="47">
        <f>IF($E263=P$3,$G263,0)-IF($H263=P$3,$J263,0)</f>
        <v/>
      </c>
      <c r="Q263" s="47">
        <f>IF($E263=Q$3,$G263,0)-IF($H263=Q$3,$J263,0)</f>
        <v/>
      </c>
      <c r="R263" s="47">
        <f>IF($E263=R$3,$G263,0)-IF($H263=R$3,$J263,0)</f>
        <v/>
      </c>
      <c r="S263" s="47">
        <f>IF($E263=S$3,$G263,0)-IF($H263=S$3,$J263,0)</f>
        <v/>
      </c>
      <c r="T263" s="47">
        <f>IF($E263=T$3,$G263,0)-IF($H263=T$3,$J263,0)</f>
        <v/>
      </c>
      <c r="U263" s="47">
        <f>IF($E263=U$3,$G263,0)-IF($H263=U$3,$J263,0)</f>
        <v/>
      </c>
      <c r="V263" s="47">
        <f>IF($E263=V$3,$G263,0)-IF($H263=V$3,$J263,0)</f>
        <v/>
      </c>
      <c r="W263" s="47">
        <f>IF($E263=W$3,$G263,0)-IF($H263=W$3,$J263,0)</f>
        <v/>
      </c>
      <c r="X263" s="47">
        <f>IF($E263=X$3,$G263,0)-IF($H263=X$3,$J263,0)</f>
        <v/>
      </c>
      <c r="Y263" s="47">
        <f>IF($E263=Y$3,$G263,0)-IF($H263=Y$3,$J263,0)</f>
        <v/>
      </c>
      <c r="Z263" s="47">
        <f>IF($E263=Z$3,$G263,0)-IF($H263=Z$3,$J263,0)</f>
        <v/>
      </c>
      <c r="AA263" s="47">
        <f>IF($E263=AA$3,$G263,0)-IF($H263=AA$3,$J263,0)</f>
        <v/>
      </c>
      <c r="AB263" s="47">
        <f>IF($E263=AB$3,$G263,0)-IF($H263=AB$3,$J263,0)</f>
        <v/>
      </c>
      <c r="AC263" s="47">
        <f>IF($E263=AC$3,$G263,0)-IF($H263=AC$3,$J263,0)</f>
        <v/>
      </c>
      <c r="AD263" s="47">
        <f>IF($E263=AD$3,$G263,0)-IF($H263=AD$3,$J263,0)</f>
        <v/>
      </c>
      <c r="AE263" s="47">
        <f>IF($E263=AE$3,$G263,0)-IF($H263=AE$3,$J263,0)</f>
        <v/>
      </c>
      <c r="AF263" s="47">
        <f>IF($E263=AF$3,$G263,0)-IF($H263=AF$3,$J263,0)</f>
        <v/>
      </c>
      <c r="AG263" s="47">
        <f>IF($E263=AG$3,$G263,0)-IF($H263=AG$3,$J263,0)</f>
        <v/>
      </c>
      <c r="AH263" s="47">
        <f>IF($E263=AH$3,$G263,0)-IF($H263=AH$3,$J263,0)</f>
        <v/>
      </c>
      <c r="AI263" s="47">
        <f>IF($E263=AI$3,$G263,0)-IF($H263=AI$3,$J263,0)</f>
        <v/>
      </c>
      <c r="AJ263" s="47">
        <f>IF($E263=AJ$3,$G263,0)-IF($H263=AJ$3,$J263,0)</f>
        <v/>
      </c>
      <c r="AK263" s="47">
        <f>IF($E263=AK$3,$G263,0)-IF($H263=AK$3,$J263,0)</f>
        <v/>
      </c>
      <c r="AL263" s="48">
        <f>IF($E263=AL$3,$G263,0)-IF($H263=AL$3,$J263,0)</f>
        <v/>
      </c>
      <c r="AM263" s="46">
        <f>-IF($E263=AM$3,$G263,0)+IF($H263=AM$3,$J263,0)</f>
        <v/>
      </c>
      <c r="AN263" s="47">
        <f>-IF($E263=AN$3,$G263,0)+IF($H263=AN$3,$J263,0)</f>
        <v/>
      </c>
      <c r="AO263" s="48">
        <f>-IF($E263=AO$3,$G263,0)+IF($H263=AO$3,$J263,0)</f>
        <v/>
      </c>
      <c r="AP263" s="46">
        <f>IF($E263=AP$3,$G263,0)-IF($H263=AP$3,$J263,0)</f>
        <v/>
      </c>
      <c r="AQ263" s="47">
        <f>IF($E263=AQ$3,$G263,0)-IF($H263=AQ$3,$J263,0)</f>
        <v/>
      </c>
      <c r="AR263" s="47">
        <f>IF($E263=AR$3,$G263,0)-IF($H263=AR$3,$J263,0)</f>
        <v/>
      </c>
      <c r="AS263" s="47">
        <f>IF($E263=AS$3,$G263,0)-IF($H263=AS$3,$J263,0)</f>
        <v/>
      </c>
      <c r="AT263" s="47">
        <f>IF($E263=AT$3,$G263,0)-IF($H263=AT$3,$J263,0)</f>
        <v/>
      </c>
      <c r="AU263" s="47">
        <f>IF($E263=AU$3,$G263,0)-IF($H263=AU$3,$J263,0)</f>
        <v/>
      </c>
      <c r="AV263" s="47">
        <f>IF($E263=AV$3,$G263,0)-IF($H263=AV$3,$J263,0)</f>
        <v/>
      </c>
      <c r="AW263" s="47">
        <f>IF($E263=AW$3,$G263,0)-IF($H263=AW$3,$J263,0)</f>
        <v/>
      </c>
      <c r="AX263" s="47">
        <f>IF($E263=AX$3,$G263,0)-IF($H263=AX$3,$J263,0)</f>
        <v/>
      </c>
      <c r="AY263" s="47">
        <f>IF($E263=AY$3,$G263,0)-IF($H263=AY$3,$J263,0)</f>
        <v/>
      </c>
      <c r="AZ263" s="47">
        <f>IF($E263=AZ$3,$G263,0)-IF($H263=AZ$3,$J263,0)</f>
        <v/>
      </c>
      <c r="BA263" s="47">
        <f>IF($E263=BA$3,$G263,0)-IF($H263=BA$3,$J263,0)</f>
        <v/>
      </c>
      <c r="BB263" s="47">
        <f>IF($E263=BB$3,$G263,0)-IF($H263=BB$3,$J263,0)</f>
        <v/>
      </c>
      <c r="BC263" s="47">
        <f>IF($E263=BC$3,$G263,0)-IF($H263=BC$3,$J263,0)</f>
        <v/>
      </c>
      <c r="BD263" s="47">
        <f>IF($E263=BD$3,$G263,0)-IF($H263=BD$3,$J263,0)</f>
        <v/>
      </c>
      <c r="BE263" s="47">
        <f>IF($E263=BE$3,$G263,0)-IF($H263=BE$3,$J263,0)</f>
        <v/>
      </c>
      <c r="BF263" s="47">
        <f>IF($E263=BF$3,$G263,0)-IF($H263=BF$3,$J263,0)</f>
        <v/>
      </c>
      <c r="BG263" s="47">
        <f>IF($E263=BG$3,$G263,0)-IF($H263=BG$3,$J263,0)</f>
        <v/>
      </c>
      <c r="BH263" s="47">
        <f>IF($E263=BH$3,$G263,0)-IF($H263=BH$3,$J263,0)</f>
        <v/>
      </c>
      <c r="BI263" s="47">
        <f>IF($E263=BI$3,$G263,0)-IF($H263=BI$3,$J263,0)</f>
        <v/>
      </c>
      <c r="BJ263" s="47">
        <f>IF($E263=BJ$3,$G263,0)-IF($H263=BJ$3,$J263,0)</f>
        <v/>
      </c>
      <c r="BK263" s="47">
        <f>IF($E263=BK$3,$G263,0)-IF($H263=BK$3,$J263,0)</f>
        <v/>
      </c>
      <c r="BL263" s="46">
        <f>-IF($E263=BL$3,$G263,0)+IF($H263=BL$3,$J263,0)</f>
        <v/>
      </c>
      <c r="BM263" s="47">
        <f>-IF($E263=BM$3,$G263,0)+IF($H263=BM$3,$J263,0)</f>
        <v/>
      </c>
      <c r="BN263" s="47">
        <f>-IF($E263=BN$3,$G263,0)+IF($H263=BN$3,$J263,0)</f>
        <v/>
      </c>
      <c r="BO263" s="47">
        <f>-IF($E263=BO$3,$G263,0)+IF($H263=BO$3,$J263,0)</f>
        <v/>
      </c>
      <c r="BP263" s="47">
        <f>-IF($E263=BP$3,$G263,0)+IF($H263=BP$3,$J263,0)</f>
        <v/>
      </c>
      <c r="BQ263" s="47">
        <f>-IF($E263=BQ$3,$G263,0)+IF($H263=BQ$3,$J263,0)</f>
        <v/>
      </c>
      <c r="BR263" s="47">
        <f>-IF($E263=BR$3,$G263,0)+IF($H263=BR$3,$J263,0)</f>
        <v/>
      </c>
      <c r="BS263" s="47">
        <f>-IF($E263=BS$3,$G263,0)+IF($H263=BS$3,$J263,0)</f>
        <v/>
      </c>
      <c r="BT263" s="47">
        <f>-IF($E263=BT$3,$G263,0)+IF($H263=BT$3,$J263,0)</f>
        <v/>
      </c>
      <c r="BU263" s="46">
        <f>+G263-J263</f>
        <v/>
      </c>
      <c r="BV263" s="48">
        <f>-IF($E263=BV$3,$G263,0)+IF($H263=BV$3,$J263,0)</f>
        <v/>
      </c>
      <c r="BW263" s="3" t="n"/>
    </row>
    <row r="264" ht="15.75" customHeight="1" s="214">
      <c r="A264" s="7" t="n"/>
      <c r="B264" s="8" t="n"/>
      <c r="C264" s="9" t="n"/>
      <c r="D264" s="10" t="n"/>
      <c r="E264" s="247" t="n"/>
      <c r="F264" s="11">
        <f>IF(E264="","",IF(ISNA(VLOOKUP(E264,科目コード表!$C$4:$D$67,2,FALSE)),"該当科目なし",VLOOKUP(E264,科目コード表!$C$4:$D$67,2,FALSE)))</f>
        <v/>
      </c>
      <c r="G264" s="38" t="n"/>
      <c r="H264" s="248" t="n"/>
      <c r="I264" s="11">
        <f>IF(H264="","",IF(ISNA(VLOOKUP(H264,科目コード表!$C$4:$D$67,2,FALSE)),"該当科目なし",VLOOKUP(H264,科目コード表!$C$4:$D$67,2,FALSE)))</f>
        <v/>
      </c>
      <c r="J264" s="40" t="n"/>
      <c r="L264" s="46">
        <f>IF($E264=L$3,$G264,0)-IF($H264=L$3,$J264,0)</f>
        <v/>
      </c>
      <c r="M264" s="47">
        <f>IF($E264=M$3,$G264,0)-IF($H264=M$3,$J264,0)</f>
        <v/>
      </c>
      <c r="N264" s="47">
        <f>IF($E264=N$3,$G264,0)-IF($H264=N$3,$J264,0)</f>
        <v/>
      </c>
      <c r="O264" s="47">
        <f>IF($E264=O$3,$G264,0)-IF($H264=O$3,$J264,0)</f>
        <v/>
      </c>
      <c r="P264" s="47">
        <f>IF($E264=P$3,$G264,0)-IF($H264=P$3,$J264,0)</f>
        <v/>
      </c>
      <c r="Q264" s="47">
        <f>IF($E264=Q$3,$G264,0)-IF($H264=Q$3,$J264,0)</f>
        <v/>
      </c>
      <c r="R264" s="47">
        <f>IF($E264=R$3,$G264,0)-IF($H264=R$3,$J264,0)</f>
        <v/>
      </c>
      <c r="S264" s="47">
        <f>IF($E264=S$3,$G264,0)-IF($H264=S$3,$J264,0)</f>
        <v/>
      </c>
      <c r="T264" s="47">
        <f>IF($E264=T$3,$G264,0)-IF($H264=T$3,$J264,0)</f>
        <v/>
      </c>
      <c r="U264" s="47">
        <f>IF($E264=U$3,$G264,0)-IF($H264=U$3,$J264,0)</f>
        <v/>
      </c>
      <c r="V264" s="47">
        <f>IF($E264=V$3,$G264,0)-IF($H264=V$3,$J264,0)</f>
        <v/>
      </c>
      <c r="W264" s="47">
        <f>IF($E264=W$3,$G264,0)-IF($H264=W$3,$J264,0)</f>
        <v/>
      </c>
      <c r="X264" s="47">
        <f>IF($E264=X$3,$G264,0)-IF($H264=X$3,$J264,0)</f>
        <v/>
      </c>
      <c r="Y264" s="47">
        <f>IF($E264=Y$3,$G264,0)-IF($H264=Y$3,$J264,0)</f>
        <v/>
      </c>
      <c r="Z264" s="47">
        <f>IF($E264=Z$3,$G264,0)-IF($H264=Z$3,$J264,0)</f>
        <v/>
      </c>
      <c r="AA264" s="47">
        <f>IF($E264=AA$3,$G264,0)-IF($H264=AA$3,$J264,0)</f>
        <v/>
      </c>
      <c r="AB264" s="47">
        <f>IF($E264=AB$3,$G264,0)-IF($H264=AB$3,$J264,0)</f>
        <v/>
      </c>
      <c r="AC264" s="47">
        <f>IF($E264=AC$3,$G264,0)-IF($H264=AC$3,$J264,0)</f>
        <v/>
      </c>
      <c r="AD264" s="47">
        <f>IF($E264=AD$3,$G264,0)-IF($H264=AD$3,$J264,0)</f>
        <v/>
      </c>
      <c r="AE264" s="47">
        <f>IF($E264=AE$3,$G264,0)-IF($H264=AE$3,$J264,0)</f>
        <v/>
      </c>
      <c r="AF264" s="47">
        <f>IF($E264=AF$3,$G264,0)-IF($H264=AF$3,$J264,0)</f>
        <v/>
      </c>
      <c r="AG264" s="47">
        <f>IF($E264=AG$3,$G264,0)-IF($H264=AG$3,$J264,0)</f>
        <v/>
      </c>
      <c r="AH264" s="47">
        <f>IF($E264=AH$3,$G264,0)-IF($H264=AH$3,$J264,0)</f>
        <v/>
      </c>
      <c r="AI264" s="47">
        <f>IF($E264=AI$3,$G264,0)-IF($H264=AI$3,$J264,0)</f>
        <v/>
      </c>
      <c r="AJ264" s="47">
        <f>IF($E264=AJ$3,$G264,0)-IF($H264=AJ$3,$J264,0)</f>
        <v/>
      </c>
      <c r="AK264" s="47">
        <f>IF($E264=AK$3,$G264,0)-IF($H264=AK$3,$J264,0)</f>
        <v/>
      </c>
      <c r="AL264" s="48">
        <f>IF($E264=AL$3,$G264,0)-IF($H264=AL$3,$J264,0)</f>
        <v/>
      </c>
      <c r="AM264" s="46">
        <f>-IF($E264=AM$3,$G264,0)+IF($H264=AM$3,$J264,0)</f>
        <v/>
      </c>
      <c r="AN264" s="47">
        <f>-IF($E264=AN$3,$G264,0)+IF($H264=AN$3,$J264,0)</f>
        <v/>
      </c>
      <c r="AO264" s="48">
        <f>-IF($E264=AO$3,$G264,0)+IF($H264=AO$3,$J264,0)</f>
        <v/>
      </c>
      <c r="AP264" s="46">
        <f>IF($E264=AP$3,$G264,0)-IF($H264=AP$3,$J264,0)</f>
        <v/>
      </c>
      <c r="AQ264" s="47">
        <f>IF($E264=AQ$3,$G264,0)-IF($H264=AQ$3,$J264,0)</f>
        <v/>
      </c>
      <c r="AR264" s="47">
        <f>IF($E264=AR$3,$G264,0)-IF($H264=AR$3,$J264,0)</f>
        <v/>
      </c>
      <c r="AS264" s="47">
        <f>IF($E264=AS$3,$G264,0)-IF($H264=AS$3,$J264,0)</f>
        <v/>
      </c>
      <c r="AT264" s="47">
        <f>IF($E264=AT$3,$G264,0)-IF($H264=AT$3,$J264,0)</f>
        <v/>
      </c>
      <c r="AU264" s="47">
        <f>IF($E264=AU$3,$G264,0)-IF($H264=AU$3,$J264,0)</f>
        <v/>
      </c>
      <c r="AV264" s="47">
        <f>IF($E264=AV$3,$G264,0)-IF($H264=AV$3,$J264,0)</f>
        <v/>
      </c>
      <c r="AW264" s="47">
        <f>IF($E264=AW$3,$G264,0)-IF($H264=AW$3,$J264,0)</f>
        <v/>
      </c>
      <c r="AX264" s="47">
        <f>IF($E264=AX$3,$G264,0)-IF($H264=AX$3,$J264,0)</f>
        <v/>
      </c>
      <c r="AY264" s="47">
        <f>IF($E264=AY$3,$G264,0)-IF($H264=AY$3,$J264,0)</f>
        <v/>
      </c>
      <c r="AZ264" s="47">
        <f>IF($E264=AZ$3,$G264,0)-IF($H264=AZ$3,$J264,0)</f>
        <v/>
      </c>
      <c r="BA264" s="47">
        <f>IF($E264=BA$3,$G264,0)-IF($H264=BA$3,$J264,0)</f>
        <v/>
      </c>
      <c r="BB264" s="47">
        <f>IF($E264=BB$3,$G264,0)-IF($H264=BB$3,$J264,0)</f>
        <v/>
      </c>
      <c r="BC264" s="47">
        <f>IF($E264=BC$3,$G264,0)-IF($H264=BC$3,$J264,0)</f>
        <v/>
      </c>
      <c r="BD264" s="47">
        <f>IF($E264=BD$3,$G264,0)-IF($H264=BD$3,$J264,0)</f>
        <v/>
      </c>
      <c r="BE264" s="47">
        <f>IF($E264=BE$3,$G264,0)-IF($H264=BE$3,$J264,0)</f>
        <v/>
      </c>
      <c r="BF264" s="47">
        <f>IF($E264=BF$3,$G264,0)-IF($H264=BF$3,$J264,0)</f>
        <v/>
      </c>
      <c r="BG264" s="47">
        <f>IF($E264=BG$3,$G264,0)-IF($H264=BG$3,$J264,0)</f>
        <v/>
      </c>
      <c r="BH264" s="47">
        <f>IF($E264=BH$3,$G264,0)-IF($H264=BH$3,$J264,0)</f>
        <v/>
      </c>
      <c r="BI264" s="47">
        <f>IF($E264=BI$3,$G264,0)-IF($H264=BI$3,$J264,0)</f>
        <v/>
      </c>
      <c r="BJ264" s="47">
        <f>IF($E264=BJ$3,$G264,0)-IF($H264=BJ$3,$J264,0)</f>
        <v/>
      </c>
      <c r="BK264" s="47">
        <f>IF($E264=BK$3,$G264,0)-IF($H264=BK$3,$J264,0)</f>
        <v/>
      </c>
      <c r="BL264" s="46">
        <f>-IF($E264=BL$3,$G264,0)+IF($H264=BL$3,$J264,0)</f>
        <v/>
      </c>
      <c r="BM264" s="47">
        <f>-IF($E264=BM$3,$G264,0)+IF($H264=BM$3,$J264,0)</f>
        <v/>
      </c>
      <c r="BN264" s="47">
        <f>-IF($E264=BN$3,$G264,0)+IF($H264=BN$3,$J264,0)</f>
        <v/>
      </c>
      <c r="BO264" s="47">
        <f>-IF($E264=BO$3,$G264,0)+IF($H264=BO$3,$J264,0)</f>
        <v/>
      </c>
      <c r="BP264" s="47">
        <f>-IF($E264=BP$3,$G264,0)+IF($H264=BP$3,$J264,0)</f>
        <v/>
      </c>
      <c r="BQ264" s="47">
        <f>-IF($E264=BQ$3,$G264,0)+IF($H264=BQ$3,$J264,0)</f>
        <v/>
      </c>
      <c r="BR264" s="47">
        <f>-IF($E264=BR$3,$G264,0)+IF($H264=BR$3,$J264,0)</f>
        <v/>
      </c>
      <c r="BS264" s="47">
        <f>-IF($E264=BS$3,$G264,0)+IF($H264=BS$3,$J264,0)</f>
        <v/>
      </c>
      <c r="BT264" s="47">
        <f>-IF($E264=BT$3,$G264,0)+IF($H264=BT$3,$J264,0)</f>
        <v/>
      </c>
      <c r="BU264" s="46">
        <f>+G264-J264</f>
        <v/>
      </c>
      <c r="BV264" s="48">
        <f>-IF($E264=BV$3,$G264,0)+IF($H264=BV$3,$J264,0)</f>
        <v/>
      </c>
      <c r="BW264" s="3" t="n"/>
    </row>
    <row r="265" ht="15.75" customHeight="1" s="214">
      <c r="A265" s="7" t="n"/>
      <c r="B265" s="8" t="n"/>
      <c r="C265" s="9" t="n"/>
      <c r="D265" s="10" t="n"/>
      <c r="E265" s="247" t="n"/>
      <c r="F265" s="11">
        <f>IF(E265="","",IF(ISNA(VLOOKUP(E265,科目コード表!$C$4:$D$67,2,FALSE)),"該当科目なし",VLOOKUP(E265,科目コード表!$C$4:$D$67,2,FALSE)))</f>
        <v/>
      </c>
      <c r="G265" s="38" t="n"/>
      <c r="H265" s="248" t="n"/>
      <c r="I265" s="11">
        <f>IF(H265="","",IF(ISNA(VLOOKUP(H265,科目コード表!$C$4:$D$67,2,FALSE)),"該当科目なし",VLOOKUP(H265,科目コード表!$C$4:$D$67,2,FALSE)))</f>
        <v/>
      </c>
      <c r="J265" s="40" t="n"/>
      <c r="L265" s="46">
        <f>IF($E265=L$3,$G265,0)-IF($H265=L$3,$J265,0)</f>
        <v/>
      </c>
      <c r="M265" s="47">
        <f>IF($E265=M$3,$G265,0)-IF($H265=M$3,$J265,0)</f>
        <v/>
      </c>
      <c r="N265" s="47">
        <f>IF($E265=N$3,$G265,0)-IF($H265=N$3,$J265,0)</f>
        <v/>
      </c>
      <c r="O265" s="47">
        <f>IF($E265=O$3,$G265,0)-IF($H265=O$3,$J265,0)</f>
        <v/>
      </c>
      <c r="P265" s="47">
        <f>IF($E265=P$3,$G265,0)-IF($H265=P$3,$J265,0)</f>
        <v/>
      </c>
      <c r="Q265" s="47">
        <f>IF($E265=Q$3,$G265,0)-IF($H265=Q$3,$J265,0)</f>
        <v/>
      </c>
      <c r="R265" s="47">
        <f>IF($E265=R$3,$G265,0)-IF($H265=R$3,$J265,0)</f>
        <v/>
      </c>
      <c r="S265" s="47">
        <f>IF($E265=S$3,$G265,0)-IF($H265=S$3,$J265,0)</f>
        <v/>
      </c>
      <c r="T265" s="47">
        <f>IF($E265=T$3,$G265,0)-IF($H265=T$3,$J265,0)</f>
        <v/>
      </c>
      <c r="U265" s="47">
        <f>IF($E265=U$3,$G265,0)-IF($H265=U$3,$J265,0)</f>
        <v/>
      </c>
      <c r="V265" s="47">
        <f>IF($E265=V$3,$G265,0)-IF($H265=V$3,$J265,0)</f>
        <v/>
      </c>
      <c r="W265" s="47">
        <f>IF($E265=W$3,$G265,0)-IF($H265=W$3,$J265,0)</f>
        <v/>
      </c>
      <c r="X265" s="47">
        <f>IF($E265=X$3,$G265,0)-IF($H265=X$3,$J265,0)</f>
        <v/>
      </c>
      <c r="Y265" s="47">
        <f>IF($E265=Y$3,$G265,0)-IF($H265=Y$3,$J265,0)</f>
        <v/>
      </c>
      <c r="Z265" s="47">
        <f>IF($E265=Z$3,$G265,0)-IF($H265=Z$3,$J265,0)</f>
        <v/>
      </c>
      <c r="AA265" s="47">
        <f>IF($E265=AA$3,$G265,0)-IF($H265=AA$3,$J265,0)</f>
        <v/>
      </c>
      <c r="AB265" s="47">
        <f>IF($E265=AB$3,$G265,0)-IF($H265=AB$3,$J265,0)</f>
        <v/>
      </c>
      <c r="AC265" s="47">
        <f>IF($E265=AC$3,$G265,0)-IF($H265=AC$3,$J265,0)</f>
        <v/>
      </c>
      <c r="AD265" s="47">
        <f>IF($E265=AD$3,$G265,0)-IF($H265=AD$3,$J265,0)</f>
        <v/>
      </c>
      <c r="AE265" s="47">
        <f>IF($E265=AE$3,$G265,0)-IF($H265=AE$3,$J265,0)</f>
        <v/>
      </c>
      <c r="AF265" s="47">
        <f>IF($E265=AF$3,$G265,0)-IF($H265=AF$3,$J265,0)</f>
        <v/>
      </c>
      <c r="AG265" s="47">
        <f>IF($E265=AG$3,$G265,0)-IF($H265=AG$3,$J265,0)</f>
        <v/>
      </c>
      <c r="AH265" s="47">
        <f>IF($E265=AH$3,$G265,0)-IF($H265=AH$3,$J265,0)</f>
        <v/>
      </c>
      <c r="AI265" s="47">
        <f>IF($E265=AI$3,$G265,0)-IF($H265=AI$3,$J265,0)</f>
        <v/>
      </c>
      <c r="AJ265" s="47">
        <f>IF($E265=AJ$3,$G265,0)-IF($H265=AJ$3,$J265,0)</f>
        <v/>
      </c>
      <c r="AK265" s="47">
        <f>IF($E265=AK$3,$G265,0)-IF($H265=AK$3,$J265,0)</f>
        <v/>
      </c>
      <c r="AL265" s="48">
        <f>IF($E265=AL$3,$G265,0)-IF($H265=AL$3,$J265,0)</f>
        <v/>
      </c>
      <c r="AM265" s="46">
        <f>-IF($E265=AM$3,$G265,0)+IF($H265=AM$3,$J265,0)</f>
        <v/>
      </c>
      <c r="AN265" s="47">
        <f>-IF($E265=AN$3,$G265,0)+IF($H265=AN$3,$J265,0)</f>
        <v/>
      </c>
      <c r="AO265" s="48">
        <f>-IF($E265=AO$3,$G265,0)+IF($H265=AO$3,$J265,0)</f>
        <v/>
      </c>
      <c r="AP265" s="46">
        <f>IF($E265=AP$3,$G265,0)-IF($H265=AP$3,$J265,0)</f>
        <v/>
      </c>
      <c r="AQ265" s="47">
        <f>IF($E265=AQ$3,$G265,0)-IF($H265=AQ$3,$J265,0)</f>
        <v/>
      </c>
      <c r="AR265" s="47">
        <f>IF($E265=AR$3,$G265,0)-IF($H265=AR$3,$J265,0)</f>
        <v/>
      </c>
      <c r="AS265" s="47">
        <f>IF($E265=AS$3,$G265,0)-IF($H265=AS$3,$J265,0)</f>
        <v/>
      </c>
      <c r="AT265" s="47">
        <f>IF($E265=AT$3,$G265,0)-IF($H265=AT$3,$J265,0)</f>
        <v/>
      </c>
      <c r="AU265" s="47">
        <f>IF($E265=AU$3,$G265,0)-IF($H265=AU$3,$J265,0)</f>
        <v/>
      </c>
      <c r="AV265" s="47">
        <f>IF($E265=AV$3,$G265,0)-IF($H265=AV$3,$J265,0)</f>
        <v/>
      </c>
      <c r="AW265" s="47">
        <f>IF($E265=AW$3,$G265,0)-IF($H265=AW$3,$J265,0)</f>
        <v/>
      </c>
      <c r="AX265" s="47">
        <f>IF($E265=AX$3,$G265,0)-IF($H265=AX$3,$J265,0)</f>
        <v/>
      </c>
      <c r="AY265" s="47">
        <f>IF($E265=AY$3,$G265,0)-IF($H265=AY$3,$J265,0)</f>
        <v/>
      </c>
      <c r="AZ265" s="47">
        <f>IF($E265=AZ$3,$G265,0)-IF($H265=AZ$3,$J265,0)</f>
        <v/>
      </c>
      <c r="BA265" s="47">
        <f>IF($E265=BA$3,$G265,0)-IF($H265=BA$3,$J265,0)</f>
        <v/>
      </c>
      <c r="BB265" s="47">
        <f>IF($E265=BB$3,$G265,0)-IF($H265=BB$3,$J265,0)</f>
        <v/>
      </c>
      <c r="BC265" s="47">
        <f>IF($E265=BC$3,$G265,0)-IF($H265=BC$3,$J265,0)</f>
        <v/>
      </c>
      <c r="BD265" s="47">
        <f>IF($E265=BD$3,$G265,0)-IF($H265=BD$3,$J265,0)</f>
        <v/>
      </c>
      <c r="BE265" s="47">
        <f>IF($E265=BE$3,$G265,0)-IF($H265=BE$3,$J265,0)</f>
        <v/>
      </c>
      <c r="BF265" s="47">
        <f>IF($E265=BF$3,$G265,0)-IF($H265=BF$3,$J265,0)</f>
        <v/>
      </c>
      <c r="BG265" s="47">
        <f>IF($E265=BG$3,$G265,0)-IF($H265=BG$3,$J265,0)</f>
        <v/>
      </c>
      <c r="BH265" s="47">
        <f>IF($E265=BH$3,$G265,0)-IF($H265=BH$3,$J265,0)</f>
        <v/>
      </c>
      <c r="BI265" s="47">
        <f>IF($E265=BI$3,$G265,0)-IF($H265=BI$3,$J265,0)</f>
        <v/>
      </c>
      <c r="BJ265" s="47">
        <f>IF($E265=BJ$3,$G265,0)-IF($H265=BJ$3,$J265,0)</f>
        <v/>
      </c>
      <c r="BK265" s="47">
        <f>IF($E265=BK$3,$G265,0)-IF($H265=BK$3,$J265,0)</f>
        <v/>
      </c>
      <c r="BL265" s="46">
        <f>-IF($E265=BL$3,$G265,0)+IF($H265=BL$3,$J265,0)</f>
        <v/>
      </c>
      <c r="BM265" s="47">
        <f>-IF($E265=BM$3,$G265,0)+IF($H265=BM$3,$J265,0)</f>
        <v/>
      </c>
      <c r="BN265" s="47">
        <f>-IF($E265=BN$3,$G265,0)+IF($H265=BN$3,$J265,0)</f>
        <v/>
      </c>
      <c r="BO265" s="47">
        <f>-IF($E265=BO$3,$G265,0)+IF($H265=BO$3,$J265,0)</f>
        <v/>
      </c>
      <c r="BP265" s="47">
        <f>-IF($E265=BP$3,$G265,0)+IF($H265=BP$3,$J265,0)</f>
        <v/>
      </c>
      <c r="BQ265" s="47">
        <f>-IF($E265=BQ$3,$G265,0)+IF($H265=BQ$3,$J265,0)</f>
        <v/>
      </c>
      <c r="BR265" s="47">
        <f>-IF($E265=BR$3,$G265,0)+IF($H265=BR$3,$J265,0)</f>
        <v/>
      </c>
      <c r="BS265" s="47">
        <f>-IF($E265=BS$3,$G265,0)+IF($H265=BS$3,$J265,0)</f>
        <v/>
      </c>
      <c r="BT265" s="47">
        <f>-IF($E265=BT$3,$G265,0)+IF($H265=BT$3,$J265,0)</f>
        <v/>
      </c>
      <c r="BU265" s="46">
        <f>+G265-J265</f>
        <v/>
      </c>
      <c r="BV265" s="48">
        <f>-IF($E265=BV$3,$G265,0)+IF($H265=BV$3,$J265,0)</f>
        <v/>
      </c>
      <c r="BW265" s="3" t="n"/>
    </row>
    <row r="266" ht="15.75" customHeight="1" s="214">
      <c r="A266" s="7" t="n"/>
      <c r="B266" s="8" t="n"/>
      <c r="C266" s="9" t="n"/>
      <c r="D266" s="10" t="n"/>
      <c r="E266" s="247" t="n"/>
      <c r="F266" s="11">
        <f>IF(E266="","",IF(ISNA(VLOOKUP(E266,科目コード表!$C$4:$D$67,2,FALSE)),"該当科目なし",VLOOKUP(E266,科目コード表!$C$4:$D$67,2,FALSE)))</f>
        <v/>
      </c>
      <c r="G266" s="38" t="n"/>
      <c r="H266" s="248" t="n"/>
      <c r="I266" s="11">
        <f>IF(H266="","",IF(ISNA(VLOOKUP(H266,科目コード表!$C$4:$D$67,2,FALSE)),"該当科目なし",VLOOKUP(H266,科目コード表!$C$4:$D$67,2,FALSE)))</f>
        <v/>
      </c>
      <c r="J266" s="40" t="n"/>
      <c r="L266" s="46">
        <f>IF($E266=L$3,$G266,0)-IF($H266=L$3,$J266,0)</f>
        <v/>
      </c>
      <c r="M266" s="47">
        <f>IF($E266=M$3,$G266,0)-IF($H266=M$3,$J266,0)</f>
        <v/>
      </c>
      <c r="N266" s="47">
        <f>IF($E266=N$3,$G266,0)-IF($H266=N$3,$J266,0)</f>
        <v/>
      </c>
      <c r="O266" s="47">
        <f>IF($E266=O$3,$G266,0)-IF($H266=O$3,$J266,0)</f>
        <v/>
      </c>
      <c r="P266" s="47">
        <f>IF($E266=P$3,$G266,0)-IF($H266=P$3,$J266,0)</f>
        <v/>
      </c>
      <c r="Q266" s="47">
        <f>IF($E266=Q$3,$G266,0)-IF($H266=Q$3,$J266,0)</f>
        <v/>
      </c>
      <c r="R266" s="47">
        <f>IF($E266=R$3,$G266,0)-IF($H266=R$3,$J266,0)</f>
        <v/>
      </c>
      <c r="S266" s="47">
        <f>IF($E266=S$3,$G266,0)-IF($H266=S$3,$J266,0)</f>
        <v/>
      </c>
      <c r="T266" s="47">
        <f>IF($E266=T$3,$G266,0)-IF($H266=T$3,$J266,0)</f>
        <v/>
      </c>
      <c r="U266" s="47">
        <f>IF($E266=U$3,$G266,0)-IF($H266=U$3,$J266,0)</f>
        <v/>
      </c>
      <c r="V266" s="47">
        <f>IF($E266=V$3,$G266,0)-IF($H266=V$3,$J266,0)</f>
        <v/>
      </c>
      <c r="W266" s="47">
        <f>IF($E266=W$3,$G266,0)-IF($H266=W$3,$J266,0)</f>
        <v/>
      </c>
      <c r="X266" s="47">
        <f>IF($E266=X$3,$G266,0)-IF($H266=X$3,$J266,0)</f>
        <v/>
      </c>
      <c r="Y266" s="47">
        <f>IF($E266=Y$3,$G266,0)-IF($H266=Y$3,$J266,0)</f>
        <v/>
      </c>
      <c r="Z266" s="47">
        <f>IF($E266=Z$3,$G266,0)-IF($H266=Z$3,$J266,0)</f>
        <v/>
      </c>
      <c r="AA266" s="47">
        <f>IF($E266=AA$3,$G266,0)-IF($H266=AA$3,$J266,0)</f>
        <v/>
      </c>
      <c r="AB266" s="47">
        <f>IF($E266=AB$3,$G266,0)-IF($H266=AB$3,$J266,0)</f>
        <v/>
      </c>
      <c r="AC266" s="47">
        <f>IF($E266=AC$3,$G266,0)-IF($H266=AC$3,$J266,0)</f>
        <v/>
      </c>
      <c r="AD266" s="47">
        <f>IF($E266=AD$3,$G266,0)-IF($H266=AD$3,$J266,0)</f>
        <v/>
      </c>
      <c r="AE266" s="47">
        <f>IF($E266=AE$3,$G266,0)-IF($H266=AE$3,$J266,0)</f>
        <v/>
      </c>
      <c r="AF266" s="47">
        <f>IF($E266=AF$3,$G266,0)-IF($H266=AF$3,$J266,0)</f>
        <v/>
      </c>
      <c r="AG266" s="47">
        <f>IF($E266=AG$3,$G266,0)-IF($H266=AG$3,$J266,0)</f>
        <v/>
      </c>
      <c r="AH266" s="47">
        <f>IF($E266=AH$3,$G266,0)-IF($H266=AH$3,$J266,0)</f>
        <v/>
      </c>
      <c r="AI266" s="47">
        <f>IF($E266=AI$3,$G266,0)-IF($H266=AI$3,$J266,0)</f>
        <v/>
      </c>
      <c r="AJ266" s="47">
        <f>IF($E266=AJ$3,$G266,0)-IF($H266=AJ$3,$J266,0)</f>
        <v/>
      </c>
      <c r="AK266" s="47">
        <f>IF($E266=AK$3,$G266,0)-IF($H266=AK$3,$J266,0)</f>
        <v/>
      </c>
      <c r="AL266" s="48">
        <f>IF($E266=AL$3,$G266,0)-IF($H266=AL$3,$J266,0)</f>
        <v/>
      </c>
      <c r="AM266" s="46">
        <f>-IF($E266=AM$3,$G266,0)+IF($H266=AM$3,$J266,0)</f>
        <v/>
      </c>
      <c r="AN266" s="47">
        <f>-IF($E266=AN$3,$G266,0)+IF($H266=AN$3,$J266,0)</f>
        <v/>
      </c>
      <c r="AO266" s="48">
        <f>-IF($E266=AO$3,$G266,0)+IF($H266=AO$3,$J266,0)</f>
        <v/>
      </c>
      <c r="AP266" s="46">
        <f>IF($E266=AP$3,$G266,0)-IF($H266=AP$3,$J266,0)</f>
        <v/>
      </c>
      <c r="AQ266" s="47">
        <f>IF($E266=AQ$3,$G266,0)-IF($H266=AQ$3,$J266,0)</f>
        <v/>
      </c>
      <c r="AR266" s="47">
        <f>IF($E266=AR$3,$G266,0)-IF($H266=AR$3,$J266,0)</f>
        <v/>
      </c>
      <c r="AS266" s="47">
        <f>IF($E266=AS$3,$G266,0)-IF($H266=AS$3,$J266,0)</f>
        <v/>
      </c>
      <c r="AT266" s="47">
        <f>IF($E266=AT$3,$G266,0)-IF($H266=AT$3,$J266,0)</f>
        <v/>
      </c>
      <c r="AU266" s="47">
        <f>IF($E266=AU$3,$G266,0)-IF($H266=AU$3,$J266,0)</f>
        <v/>
      </c>
      <c r="AV266" s="47">
        <f>IF($E266=AV$3,$G266,0)-IF($H266=AV$3,$J266,0)</f>
        <v/>
      </c>
      <c r="AW266" s="47">
        <f>IF($E266=AW$3,$G266,0)-IF($H266=AW$3,$J266,0)</f>
        <v/>
      </c>
      <c r="AX266" s="47">
        <f>IF($E266=AX$3,$G266,0)-IF($H266=AX$3,$J266,0)</f>
        <v/>
      </c>
      <c r="AY266" s="47">
        <f>IF($E266=AY$3,$G266,0)-IF($H266=AY$3,$J266,0)</f>
        <v/>
      </c>
      <c r="AZ266" s="47">
        <f>IF($E266=AZ$3,$G266,0)-IF($H266=AZ$3,$J266,0)</f>
        <v/>
      </c>
      <c r="BA266" s="47">
        <f>IF($E266=BA$3,$G266,0)-IF($H266=BA$3,$J266,0)</f>
        <v/>
      </c>
      <c r="BB266" s="47">
        <f>IF($E266=BB$3,$G266,0)-IF($H266=BB$3,$J266,0)</f>
        <v/>
      </c>
      <c r="BC266" s="47">
        <f>IF($E266=BC$3,$G266,0)-IF($H266=BC$3,$J266,0)</f>
        <v/>
      </c>
      <c r="BD266" s="47">
        <f>IF($E266=BD$3,$G266,0)-IF($H266=BD$3,$J266,0)</f>
        <v/>
      </c>
      <c r="BE266" s="47">
        <f>IF($E266=BE$3,$G266,0)-IF($H266=BE$3,$J266,0)</f>
        <v/>
      </c>
      <c r="BF266" s="47">
        <f>IF($E266=BF$3,$G266,0)-IF($H266=BF$3,$J266,0)</f>
        <v/>
      </c>
      <c r="BG266" s="47">
        <f>IF($E266=BG$3,$G266,0)-IF($H266=BG$3,$J266,0)</f>
        <v/>
      </c>
      <c r="BH266" s="47">
        <f>IF($E266=BH$3,$G266,0)-IF($H266=BH$3,$J266,0)</f>
        <v/>
      </c>
      <c r="BI266" s="47">
        <f>IF($E266=BI$3,$G266,0)-IF($H266=BI$3,$J266,0)</f>
        <v/>
      </c>
      <c r="BJ266" s="47">
        <f>IF($E266=BJ$3,$G266,0)-IF($H266=BJ$3,$J266,0)</f>
        <v/>
      </c>
      <c r="BK266" s="47">
        <f>IF($E266=BK$3,$G266,0)-IF($H266=BK$3,$J266,0)</f>
        <v/>
      </c>
      <c r="BL266" s="46">
        <f>-IF($E266=BL$3,$G266,0)+IF($H266=BL$3,$J266,0)</f>
        <v/>
      </c>
      <c r="BM266" s="47">
        <f>-IF($E266=BM$3,$G266,0)+IF($H266=BM$3,$J266,0)</f>
        <v/>
      </c>
      <c r="BN266" s="47">
        <f>-IF($E266=BN$3,$G266,0)+IF($H266=BN$3,$J266,0)</f>
        <v/>
      </c>
      <c r="BO266" s="47">
        <f>-IF($E266=BO$3,$G266,0)+IF($H266=BO$3,$J266,0)</f>
        <v/>
      </c>
      <c r="BP266" s="47">
        <f>-IF($E266=BP$3,$G266,0)+IF($H266=BP$3,$J266,0)</f>
        <v/>
      </c>
      <c r="BQ266" s="47">
        <f>-IF($E266=BQ$3,$G266,0)+IF($H266=BQ$3,$J266,0)</f>
        <v/>
      </c>
      <c r="BR266" s="47">
        <f>-IF($E266=BR$3,$G266,0)+IF($H266=BR$3,$J266,0)</f>
        <v/>
      </c>
      <c r="BS266" s="47">
        <f>-IF($E266=BS$3,$G266,0)+IF($H266=BS$3,$J266,0)</f>
        <v/>
      </c>
      <c r="BT266" s="47">
        <f>-IF($E266=BT$3,$G266,0)+IF($H266=BT$3,$J266,0)</f>
        <v/>
      </c>
      <c r="BU266" s="46">
        <f>+G266-J266</f>
        <v/>
      </c>
      <c r="BV266" s="48">
        <f>-IF($E266=BV$3,$G266,0)+IF($H266=BV$3,$J266,0)</f>
        <v/>
      </c>
      <c r="BW266" s="3" t="n"/>
    </row>
    <row r="267" ht="15.75" customHeight="1" s="214">
      <c r="A267" s="7" t="n"/>
      <c r="B267" s="8" t="n"/>
      <c r="C267" s="9" t="n"/>
      <c r="D267" s="10" t="n"/>
      <c r="E267" s="247" t="n"/>
      <c r="F267" s="11">
        <f>IF(E267="","",IF(ISNA(VLOOKUP(E267,科目コード表!$C$4:$D$67,2,FALSE)),"該当科目なし",VLOOKUP(E267,科目コード表!$C$4:$D$67,2,FALSE)))</f>
        <v/>
      </c>
      <c r="G267" s="38" t="n"/>
      <c r="H267" s="248" t="n"/>
      <c r="I267" s="11">
        <f>IF(H267="","",IF(ISNA(VLOOKUP(H267,科目コード表!$C$4:$D$67,2,FALSE)),"該当科目なし",VLOOKUP(H267,科目コード表!$C$4:$D$67,2,FALSE)))</f>
        <v/>
      </c>
      <c r="J267" s="40" t="n"/>
      <c r="L267" s="46">
        <f>IF($E267=L$3,$G267,0)-IF($H267=L$3,$J267,0)</f>
        <v/>
      </c>
      <c r="M267" s="47">
        <f>IF($E267=M$3,$G267,0)-IF($H267=M$3,$J267,0)</f>
        <v/>
      </c>
      <c r="N267" s="47">
        <f>IF($E267=N$3,$G267,0)-IF($H267=N$3,$J267,0)</f>
        <v/>
      </c>
      <c r="O267" s="47">
        <f>IF($E267=O$3,$G267,0)-IF($H267=O$3,$J267,0)</f>
        <v/>
      </c>
      <c r="P267" s="47">
        <f>IF($E267=P$3,$G267,0)-IF($H267=P$3,$J267,0)</f>
        <v/>
      </c>
      <c r="Q267" s="47">
        <f>IF($E267=Q$3,$G267,0)-IF($H267=Q$3,$J267,0)</f>
        <v/>
      </c>
      <c r="R267" s="47">
        <f>IF($E267=R$3,$G267,0)-IF($H267=R$3,$J267,0)</f>
        <v/>
      </c>
      <c r="S267" s="47">
        <f>IF($E267=S$3,$G267,0)-IF($H267=S$3,$J267,0)</f>
        <v/>
      </c>
      <c r="T267" s="47">
        <f>IF($E267=T$3,$G267,0)-IF($H267=T$3,$J267,0)</f>
        <v/>
      </c>
      <c r="U267" s="47">
        <f>IF($E267=U$3,$G267,0)-IF($H267=U$3,$J267,0)</f>
        <v/>
      </c>
      <c r="V267" s="47">
        <f>IF($E267=V$3,$G267,0)-IF($H267=V$3,$J267,0)</f>
        <v/>
      </c>
      <c r="W267" s="47">
        <f>IF($E267=W$3,$G267,0)-IF($H267=W$3,$J267,0)</f>
        <v/>
      </c>
      <c r="X267" s="47">
        <f>IF($E267=X$3,$G267,0)-IF($H267=X$3,$J267,0)</f>
        <v/>
      </c>
      <c r="Y267" s="47">
        <f>IF($E267=Y$3,$G267,0)-IF($H267=Y$3,$J267,0)</f>
        <v/>
      </c>
      <c r="Z267" s="47">
        <f>IF($E267=Z$3,$G267,0)-IF($H267=Z$3,$J267,0)</f>
        <v/>
      </c>
      <c r="AA267" s="47">
        <f>IF($E267=AA$3,$G267,0)-IF($H267=AA$3,$J267,0)</f>
        <v/>
      </c>
      <c r="AB267" s="47">
        <f>IF($E267=AB$3,$G267,0)-IF($H267=AB$3,$J267,0)</f>
        <v/>
      </c>
      <c r="AC267" s="47">
        <f>IF($E267=AC$3,$G267,0)-IF($H267=AC$3,$J267,0)</f>
        <v/>
      </c>
      <c r="AD267" s="47">
        <f>IF($E267=AD$3,$G267,0)-IF($H267=AD$3,$J267,0)</f>
        <v/>
      </c>
      <c r="AE267" s="47">
        <f>IF($E267=AE$3,$G267,0)-IF($H267=AE$3,$J267,0)</f>
        <v/>
      </c>
      <c r="AF267" s="47">
        <f>IF($E267=AF$3,$G267,0)-IF($H267=AF$3,$J267,0)</f>
        <v/>
      </c>
      <c r="AG267" s="47">
        <f>IF($E267=AG$3,$G267,0)-IF($H267=AG$3,$J267,0)</f>
        <v/>
      </c>
      <c r="AH267" s="47">
        <f>IF($E267=AH$3,$G267,0)-IF($H267=AH$3,$J267,0)</f>
        <v/>
      </c>
      <c r="AI267" s="47">
        <f>IF($E267=AI$3,$G267,0)-IF($H267=AI$3,$J267,0)</f>
        <v/>
      </c>
      <c r="AJ267" s="47">
        <f>IF($E267=AJ$3,$G267,0)-IF($H267=AJ$3,$J267,0)</f>
        <v/>
      </c>
      <c r="AK267" s="47">
        <f>IF($E267=AK$3,$G267,0)-IF($H267=AK$3,$J267,0)</f>
        <v/>
      </c>
      <c r="AL267" s="48">
        <f>IF($E267=AL$3,$G267,0)-IF($H267=AL$3,$J267,0)</f>
        <v/>
      </c>
      <c r="AM267" s="46">
        <f>-IF($E267=AM$3,$G267,0)+IF($H267=AM$3,$J267,0)</f>
        <v/>
      </c>
      <c r="AN267" s="47">
        <f>-IF($E267=AN$3,$G267,0)+IF($H267=AN$3,$J267,0)</f>
        <v/>
      </c>
      <c r="AO267" s="48">
        <f>-IF($E267=AO$3,$G267,0)+IF($H267=AO$3,$J267,0)</f>
        <v/>
      </c>
      <c r="AP267" s="46">
        <f>IF($E267=AP$3,$G267,0)-IF($H267=AP$3,$J267,0)</f>
        <v/>
      </c>
      <c r="AQ267" s="47">
        <f>IF($E267=AQ$3,$G267,0)-IF($H267=AQ$3,$J267,0)</f>
        <v/>
      </c>
      <c r="AR267" s="47">
        <f>IF($E267=AR$3,$G267,0)-IF($H267=AR$3,$J267,0)</f>
        <v/>
      </c>
      <c r="AS267" s="47">
        <f>IF($E267=AS$3,$G267,0)-IF($H267=AS$3,$J267,0)</f>
        <v/>
      </c>
      <c r="AT267" s="47">
        <f>IF($E267=AT$3,$G267,0)-IF($H267=AT$3,$J267,0)</f>
        <v/>
      </c>
      <c r="AU267" s="47">
        <f>IF($E267=AU$3,$G267,0)-IF($H267=AU$3,$J267,0)</f>
        <v/>
      </c>
      <c r="AV267" s="47">
        <f>IF($E267=AV$3,$G267,0)-IF($H267=AV$3,$J267,0)</f>
        <v/>
      </c>
      <c r="AW267" s="47">
        <f>IF($E267=AW$3,$G267,0)-IF($H267=AW$3,$J267,0)</f>
        <v/>
      </c>
      <c r="AX267" s="47">
        <f>IF($E267=AX$3,$G267,0)-IF($H267=AX$3,$J267,0)</f>
        <v/>
      </c>
      <c r="AY267" s="47">
        <f>IF($E267=AY$3,$G267,0)-IF($H267=AY$3,$J267,0)</f>
        <v/>
      </c>
      <c r="AZ267" s="47">
        <f>IF($E267=AZ$3,$G267,0)-IF($H267=AZ$3,$J267,0)</f>
        <v/>
      </c>
      <c r="BA267" s="47">
        <f>IF($E267=BA$3,$G267,0)-IF($H267=BA$3,$J267,0)</f>
        <v/>
      </c>
      <c r="BB267" s="47">
        <f>IF($E267=BB$3,$G267,0)-IF($H267=BB$3,$J267,0)</f>
        <v/>
      </c>
      <c r="BC267" s="47">
        <f>IF($E267=BC$3,$G267,0)-IF($H267=BC$3,$J267,0)</f>
        <v/>
      </c>
      <c r="BD267" s="47">
        <f>IF($E267=BD$3,$G267,0)-IF($H267=BD$3,$J267,0)</f>
        <v/>
      </c>
      <c r="BE267" s="47">
        <f>IF($E267=BE$3,$G267,0)-IF($H267=BE$3,$J267,0)</f>
        <v/>
      </c>
      <c r="BF267" s="47">
        <f>IF($E267=BF$3,$G267,0)-IF($H267=BF$3,$J267,0)</f>
        <v/>
      </c>
      <c r="BG267" s="47">
        <f>IF($E267=BG$3,$G267,0)-IF($H267=BG$3,$J267,0)</f>
        <v/>
      </c>
      <c r="BH267" s="47">
        <f>IF($E267=BH$3,$G267,0)-IF($H267=BH$3,$J267,0)</f>
        <v/>
      </c>
      <c r="BI267" s="47">
        <f>IF($E267=BI$3,$G267,0)-IF($H267=BI$3,$J267,0)</f>
        <v/>
      </c>
      <c r="BJ267" s="47">
        <f>IF($E267=BJ$3,$G267,0)-IF($H267=BJ$3,$J267,0)</f>
        <v/>
      </c>
      <c r="BK267" s="47">
        <f>IF($E267=BK$3,$G267,0)-IF($H267=BK$3,$J267,0)</f>
        <v/>
      </c>
      <c r="BL267" s="46">
        <f>-IF($E267=BL$3,$G267,0)+IF($H267=BL$3,$J267,0)</f>
        <v/>
      </c>
      <c r="BM267" s="47">
        <f>-IF($E267=BM$3,$G267,0)+IF($H267=BM$3,$J267,0)</f>
        <v/>
      </c>
      <c r="BN267" s="47">
        <f>-IF($E267=BN$3,$G267,0)+IF($H267=BN$3,$J267,0)</f>
        <v/>
      </c>
      <c r="BO267" s="47">
        <f>-IF($E267=BO$3,$G267,0)+IF($H267=BO$3,$J267,0)</f>
        <v/>
      </c>
      <c r="BP267" s="47">
        <f>-IF($E267=BP$3,$G267,0)+IF($H267=BP$3,$J267,0)</f>
        <v/>
      </c>
      <c r="BQ267" s="47">
        <f>-IF($E267=BQ$3,$G267,0)+IF($H267=BQ$3,$J267,0)</f>
        <v/>
      </c>
      <c r="BR267" s="47">
        <f>-IF($E267=BR$3,$G267,0)+IF($H267=BR$3,$J267,0)</f>
        <v/>
      </c>
      <c r="BS267" s="47">
        <f>-IF($E267=BS$3,$G267,0)+IF($H267=BS$3,$J267,0)</f>
        <v/>
      </c>
      <c r="BT267" s="47">
        <f>-IF($E267=BT$3,$G267,0)+IF($H267=BT$3,$J267,0)</f>
        <v/>
      </c>
      <c r="BU267" s="46">
        <f>+G267-J267</f>
        <v/>
      </c>
      <c r="BV267" s="48">
        <f>-IF($E267=BV$3,$G267,0)+IF($H267=BV$3,$J267,0)</f>
        <v/>
      </c>
      <c r="BW267" s="3" t="n"/>
    </row>
    <row r="268" ht="15.75" customHeight="1" s="214">
      <c r="A268" s="7" t="n"/>
      <c r="B268" s="8" t="n"/>
      <c r="C268" s="9" t="n"/>
      <c r="D268" s="10" t="n"/>
      <c r="E268" s="247" t="n"/>
      <c r="F268" s="11">
        <f>IF(E268="","",IF(ISNA(VLOOKUP(E268,科目コード表!$C$4:$D$67,2,FALSE)),"該当科目なし",VLOOKUP(E268,科目コード表!$C$4:$D$67,2,FALSE)))</f>
        <v/>
      </c>
      <c r="G268" s="38" t="n"/>
      <c r="H268" s="248" t="n"/>
      <c r="I268" s="11">
        <f>IF(H268="","",IF(ISNA(VLOOKUP(H268,科目コード表!$C$4:$D$67,2,FALSE)),"該当科目なし",VLOOKUP(H268,科目コード表!$C$4:$D$67,2,FALSE)))</f>
        <v/>
      </c>
      <c r="J268" s="40" t="n"/>
      <c r="L268" s="46">
        <f>IF($E268=L$3,$G268,0)-IF($H268=L$3,$J268,0)</f>
        <v/>
      </c>
      <c r="M268" s="47">
        <f>IF($E268=M$3,$G268,0)-IF($H268=M$3,$J268,0)</f>
        <v/>
      </c>
      <c r="N268" s="47">
        <f>IF($E268=N$3,$G268,0)-IF($H268=N$3,$J268,0)</f>
        <v/>
      </c>
      <c r="O268" s="47">
        <f>IF($E268=O$3,$G268,0)-IF($H268=O$3,$J268,0)</f>
        <v/>
      </c>
      <c r="P268" s="47">
        <f>IF($E268=P$3,$G268,0)-IF($H268=P$3,$J268,0)</f>
        <v/>
      </c>
      <c r="Q268" s="47">
        <f>IF($E268=Q$3,$G268,0)-IF($H268=Q$3,$J268,0)</f>
        <v/>
      </c>
      <c r="R268" s="47">
        <f>IF($E268=R$3,$G268,0)-IF($H268=R$3,$J268,0)</f>
        <v/>
      </c>
      <c r="S268" s="47">
        <f>IF($E268=S$3,$G268,0)-IF($H268=S$3,$J268,0)</f>
        <v/>
      </c>
      <c r="T268" s="47">
        <f>IF($E268=T$3,$G268,0)-IF($H268=T$3,$J268,0)</f>
        <v/>
      </c>
      <c r="U268" s="47">
        <f>IF($E268=U$3,$G268,0)-IF($H268=U$3,$J268,0)</f>
        <v/>
      </c>
      <c r="V268" s="47">
        <f>IF($E268=V$3,$G268,0)-IF($H268=V$3,$J268,0)</f>
        <v/>
      </c>
      <c r="W268" s="47">
        <f>IF($E268=W$3,$G268,0)-IF($H268=W$3,$J268,0)</f>
        <v/>
      </c>
      <c r="X268" s="47">
        <f>IF($E268=X$3,$G268,0)-IF($H268=X$3,$J268,0)</f>
        <v/>
      </c>
      <c r="Y268" s="47">
        <f>IF($E268=Y$3,$G268,0)-IF($H268=Y$3,$J268,0)</f>
        <v/>
      </c>
      <c r="Z268" s="47">
        <f>IF($E268=Z$3,$G268,0)-IF($H268=Z$3,$J268,0)</f>
        <v/>
      </c>
      <c r="AA268" s="47">
        <f>IF($E268=AA$3,$G268,0)-IF($H268=AA$3,$J268,0)</f>
        <v/>
      </c>
      <c r="AB268" s="47">
        <f>IF($E268=AB$3,$G268,0)-IF($H268=AB$3,$J268,0)</f>
        <v/>
      </c>
      <c r="AC268" s="47">
        <f>IF($E268=AC$3,$G268,0)-IF($H268=AC$3,$J268,0)</f>
        <v/>
      </c>
      <c r="AD268" s="47">
        <f>IF($E268=AD$3,$G268,0)-IF($H268=AD$3,$J268,0)</f>
        <v/>
      </c>
      <c r="AE268" s="47">
        <f>IF($E268=AE$3,$G268,0)-IF($H268=AE$3,$J268,0)</f>
        <v/>
      </c>
      <c r="AF268" s="47">
        <f>IF($E268=AF$3,$G268,0)-IF($H268=AF$3,$J268,0)</f>
        <v/>
      </c>
      <c r="AG268" s="47">
        <f>IF($E268=AG$3,$G268,0)-IF($H268=AG$3,$J268,0)</f>
        <v/>
      </c>
      <c r="AH268" s="47">
        <f>IF($E268=AH$3,$G268,0)-IF($H268=AH$3,$J268,0)</f>
        <v/>
      </c>
      <c r="AI268" s="47">
        <f>IF($E268=AI$3,$G268,0)-IF($H268=AI$3,$J268,0)</f>
        <v/>
      </c>
      <c r="AJ268" s="47">
        <f>IF($E268=AJ$3,$G268,0)-IF($H268=AJ$3,$J268,0)</f>
        <v/>
      </c>
      <c r="AK268" s="47">
        <f>IF($E268=AK$3,$G268,0)-IF($H268=AK$3,$J268,0)</f>
        <v/>
      </c>
      <c r="AL268" s="48">
        <f>IF($E268=AL$3,$G268,0)-IF($H268=AL$3,$J268,0)</f>
        <v/>
      </c>
      <c r="AM268" s="46">
        <f>-IF($E268=AM$3,$G268,0)+IF($H268=AM$3,$J268,0)</f>
        <v/>
      </c>
      <c r="AN268" s="47">
        <f>-IF($E268=AN$3,$G268,0)+IF($H268=AN$3,$J268,0)</f>
        <v/>
      </c>
      <c r="AO268" s="48">
        <f>-IF($E268=AO$3,$G268,0)+IF($H268=AO$3,$J268,0)</f>
        <v/>
      </c>
      <c r="AP268" s="46">
        <f>IF($E268=AP$3,$G268,0)-IF($H268=AP$3,$J268,0)</f>
        <v/>
      </c>
      <c r="AQ268" s="47">
        <f>IF($E268=AQ$3,$G268,0)-IF($H268=AQ$3,$J268,0)</f>
        <v/>
      </c>
      <c r="AR268" s="47">
        <f>IF($E268=AR$3,$G268,0)-IF($H268=AR$3,$J268,0)</f>
        <v/>
      </c>
      <c r="AS268" s="47">
        <f>IF($E268=AS$3,$G268,0)-IF($H268=AS$3,$J268,0)</f>
        <v/>
      </c>
      <c r="AT268" s="47">
        <f>IF($E268=AT$3,$G268,0)-IF($H268=AT$3,$J268,0)</f>
        <v/>
      </c>
      <c r="AU268" s="47">
        <f>IF($E268=AU$3,$G268,0)-IF($H268=AU$3,$J268,0)</f>
        <v/>
      </c>
      <c r="AV268" s="47">
        <f>IF($E268=AV$3,$G268,0)-IF($H268=AV$3,$J268,0)</f>
        <v/>
      </c>
      <c r="AW268" s="47">
        <f>IF($E268=AW$3,$G268,0)-IF($H268=AW$3,$J268,0)</f>
        <v/>
      </c>
      <c r="AX268" s="47">
        <f>IF($E268=AX$3,$G268,0)-IF($H268=AX$3,$J268,0)</f>
        <v/>
      </c>
      <c r="AY268" s="47">
        <f>IF($E268=AY$3,$G268,0)-IF($H268=AY$3,$J268,0)</f>
        <v/>
      </c>
      <c r="AZ268" s="47">
        <f>IF($E268=AZ$3,$G268,0)-IF($H268=AZ$3,$J268,0)</f>
        <v/>
      </c>
      <c r="BA268" s="47">
        <f>IF($E268=BA$3,$G268,0)-IF($H268=BA$3,$J268,0)</f>
        <v/>
      </c>
      <c r="BB268" s="47">
        <f>IF($E268=BB$3,$G268,0)-IF($H268=BB$3,$J268,0)</f>
        <v/>
      </c>
      <c r="BC268" s="47">
        <f>IF($E268=BC$3,$G268,0)-IF($H268=BC$3,$J268,0)</f>
        <v/>
      </c>
      <c r="BD268" s="47">
        <f>IF($E268=BD$3,$G268,0)-IF($H268=BD$3,$J268,0)</f>
        <v/>
      </c>
      <c r="BE268" s="47">
        <f>IF($E268=BE$3,$G268,0)-IF($H268=BE$3,$J268,0)</f>
        <v/>
      </c>
      <c r="BF268" s="47">
        <f>IF($E268=BF$3,$G268,0)-IF($H268=BF$3,$J268,0)</f>
        <v/>
      </c>
      <c r="BG268" s="47">
        <f>IF($E268=BG$3,$G268,0)-IF($H268=BG$3,$J268,0)</f>
        <v/>
      </c>
      <c r="BH268" s="47">
        <f>IF($E268=BH$3,$G268,0)-IF($H268=BH$3,$J268,0)</f>
        <v/>
      </c>
      <c r="BI268" s="47">
        <f>IF($E268=BI$3,$G268,0)-IF($H268=BI$3,$J268,0)</f>
        <v/>
      </c>
      <c r="BJ268" s="47">
        <f>IF($E268=BJ$3,$G268,0)-IF($H268=BJ$3,$J268,0)</f>
        <v/>
      </c>
      <c r="BK268" s="47">
        <f>IF($E268=BK$3,$G268,0)-IF($H268=BK$3,$J268,0)</f>
        <v/>
      </c>
      <c r="BL268" s="46">
        <f>-IF($E268=BL$3,$G268,0)+IF($H268=BL$3,$J268,0)</f>
        <v/>
      </c>
      <c r="BM268" s="47">
        <f>-IF($E268=BM$3,$G268,0)+IF($H268=BM$3,$J268,0)</f>
        <v/>
      </c>
      <c r="BN268" s="47">
        <f>-IF($E268=BN$3,$G268,0)+IF($H268=BN$3,$J268,0)</f>
        <v/>
      </c>
      <c r="BO268" s="47">
        <f>-IF($E268=BO$3,$G268,0)+IF($H268=BO$3,$J268,0)</f>
        <v/>
      </c>
      <c r="BP268" s="47">
        <f>-IF($E268=BP$3,$G268,0)+IF($H268=BP$3,$J268,0)</f>
        <v/>
      </c>
      <c r="BQ268" s="47">
        <f>-IF($E268=BQ$3,$G268,0)+IF($H268=BQ$3,$J268,0)</f>
        <v/>
      </c>
      <c r="BR268" s="47">
        <f>-IF($E268=BR$3,$G268,0)+IF($H268=BR$3,$J268,0)</f>
        <v/>
      </c>
      <c r="BS268" s="47">
        <f>-IF($E268=BS$3,$G268,0)+IF($H268=BS$3,$J268,0)</f>
        <v/>
      </c>
      <c r="BT268" s="47">
        <f>-IF($E268=BT$3,$G268,0)+IF($H268=BT$3,$J268,0)</f>
        <v/>
      </c>
      <c r="BU268" s="46">
        <f>+G268-J268</f>
        <v/>
      </c>
      <c r="BV268" s="48">
        <f>-IF($E268=BV$3,$G268,0)+IF($H268=BV$3,$J268,0)</f>
        <v/>
      </c>
      <c r="BW268" s="3" t="n"/>
    </row>
    <row r="269" ht="15.75" customHeight="1" s="214">
      <c r="A269" s="7" t="n"/>
      <c r="B269" s="8" t="n"/>
      <c r="C269" s="9" t="n"/>
      <c r="D269" s="10" t="n"/>
      <c r="E269" s="247" t="n"/>
      <c r="F269" s="11">
        <f>IF(E269="","",IF(ISNA(VLOOKUP(E269,科目コード表!$C$4:$D$67,2,FALSE)),"該当科目なし",VLOOKUP(E269,科目コード表!$C$4:$D$67,2,FALSE)))</f>
        <v/>
      </c>
      <c r="G269" s="38" t="n"/>
      <c r="H269" s="248" t="n"/>
      <c r="I269" s="11">
        <f>IF(H269="","",IF(ISNA(VLOOKUP(H269,科目コード表!$C$4:$D$67,2,FALSE)),"該当科目なし",VLOOKUP(H269,科目コード表!$C$4:$D$67,2,FALSE)))</f>
        <v/>
      </c>
      <c r="J269" s="40" t="n"/>
      <c r="L269" s="46">
        <f>IF($E269=L$3,$G269,0)-IF($H269=L$3,$J269,0)</f>
        <v/>
      </c>
      <c r="M269" s="47">
        <f>IF($E269=M$3,$G269,0)-IF($H269=M$3,$J269,0)</f>
        <v/>
      </c>
      <c r="N269" s="47">
        <f>IF($E269=N$3,$G269,0)-IF($H269=N$3,$J269,0)</f>
        <v/>
      </c>
      <c r="O269" s="47">
        <f>IF($E269=O$3,$G269,0)-IF($H269=O$3,$J269,0)</f>
        <v/>
      </c>
      <c r="P269" s="47">
        <f>IF($E269=P$3,$G269,0)-IF($H269=P$3,$J269,0)</f>
        <v/>
      </c>
      <c r="Q269" s="47">
        <f>IF($E269=Q$3,$G269,0)-IF($H269=Q$3,$J269,0)</f>
        <v/>
      </c>
      <c r="R269" s="47">
        <f>IF($E269=R$3,$G269,0)-IF($H269=R$3,$J269,0)</f>
        <v/>
      </c>
      <c r="S269" s="47">
        <f>IF($E269=S$3,$G269,0)-IF($H269=S$3,$J269,0)</f>
        <v/>
      </c>
      <c r="T269" s="47">
        <f>IF($E269=T$3,$G269,0)-IF($H269=T$3,$J269,0)</f>
        <v/>
      </c>
      <c r="U269" s="47">
        <f>IF($E269=U$3,$G269,0)-IF($H269=U$3,$J269,0)</f>
        <v/>
      </c>
      <c r="V269" s="47">
        <f>IF($E269=V$3,$G269,0)-IF($H269=V$3,$J269,0)</f>
        <v/>
      </c>
      <c r="W269" s="47">
        <f>IF($E269=W$3,$G269,0)-IF($H269=W$3,$J269,0)</f>
        <v/>
      </c>
      <c r="X269" s="47">
        <f>IF($E269=X$3,$G269,0)-IF($H269=X$3,$J269,0)</f>
        <v/>
      </c>
      <c r="Y269" s="47">
        <f>IF($E269=Y$3,$G269,0)-IF($H269=Y$3,$J269,0)</f>
        <v/>
      </c>
      <c r="Z269" s="47">
        <f>IF($E269=Z$3,$G269,0)-IF($H269=Z$3,$J269,0)</f>
        <v/>
      </c>
      <c r="AA269" s="47">
        <f>IF($E269=AA$3,$G269,0)-IF($H269=AA$3,$J269,0)</f>
        <v/>
      </c>
      <c r="AB269" s="47">
        <f>IF($E269=AB$3,$G269,0)-IF($H269=AB$3,$J269,0)</f>
        <v/>
      </c>
      <c r="AC269" s="47">
        <f>IF($E269=AC$3,$G269,0)-IF($H269=AC$3,$J269,0)</f>
        <v/>
      </c>
      <c r="AD269" s="47">
        <f>IF($E269=AD$3,$G269,0)-IF($H269=AD$3,$J269,0)</f>
        <v/>
      </c>
      <c r="AE269" s="47">
        <f>IF($E269=AE$3,$G269,0)-IF($H269=AE$3,$J269,0)</f>
        <v/>
      </c>
      <c r="AF269" s="47">
        <f>IF($E269=AF$3,$G269,0)-IF($H269=AF$3,$J269,0)</f>
        <v/>
      </c>
      <c r="AG269" s="47">
        <f>IF($E269=AG$3,$G269,0)-IF($H269=AG$3,$J269,0)</f>
        <v/>
      </c>
      <c r="AH269" s="47">
        <f>IF($E269=AH$3,$G269,0)-IF($H269=AH$3,$J269,0)</f>
        <v/>
      </c>
      <c r="AI269" s="47">
        <f>IF($E269=AI$3,$G269,0)-IF($H269=AI$3,$J269,0)</f>
        <v/>
      </c>
      <c r="AJ269" s="47">
        <f>IF($E269=AJ$3,$G269,0)-IF($H269=AJ$3,$J269,0)</f>
        <v/>
      </c>
      <c r="AK269" s="47">
        <f>IF($E269=AK$3,$G269,0)-IF($H269=AK$3,$J269,0)</f>
        <v/>
      </c>
      <c r="AL269" s="48">
        <f>IF($E269=AL$3,$G269,0)-IF($H269=AL$3,$J269,0)</f>
        <v/>
      </c>
      <c r="AM269" s="46">
        <f>-IF($E269=AM$3,$G269,0)+IF($H269=AM$3,$J269,0)</f>
        <v/>
      </c>
      <c r="AN269" s="47">
        <f>-IF($E269=AN$3,$G269,0)+IF($H269=AN$3,$J269,0)</f>
        <v/>
      </c>
      <c r="AO269" s="48">
        <f>-IF($E269=AO$3,$G269,0)+IF($H269=AO$3,$J269,0)</f>
        <v/>
      </c>
      <c r="AP269" s="46">
        <f>IF($E269=AP$3,$G269,0)-IF($H269=AP$3,$J269,0)</f>
        <v/>
      </c>
      <c r="AQ269" s="47">
        <f>IF($E269=AQ$3,$G269,0)-IF($H269=AQ$3,$J269,0)</f>
        <v/>
      </c>
      <c r="AR269" s="47">
        <f>IF($E269=AR$3,$G269,0)-IF($H269=AR$3,$J269,0)</f>
        <v/>
      </c>
      <c r="AS269" s="47">
        <f>IF($E269=AS$3,$G269,0)-IF($H269=AS$3,$J269,0)</f>
        <v/>
      </c>
      <c r="AT269" s="47">
        <f>IF($E269=AT$3,$G269,0)-IF($H269=AT$3,$J269,0)</f>
        <v/>
      </c>
      <c r="AU269" s="47">
        <f>IF($E269=AU$3,$G269,0)-IF($H269=AU$3,$J269,0)</f>
        <v/>
      </c>
      <c r="AV269" s="47">
        <f>IF($E269=AV$3,$G269,0)-IF($H269=AV$3,$J269,0)</f>
        <v/>
      </c>
      <c r="AW269" s="47">
        <f>IF($E269=AW$3,$G269,0)-IF($H269=AW$3,$J269,0)</f>
        <v/>
      </c>
      <c r="AX269" s="47">
        <f>IF($E269=AX$3,$G269,0)-IF($H269=AX$3,$J269,0)</f>
        <v/>
      </c>
      <c r="AY269" s="47">
        <f>IF($E269=AY$3,$G269,0)-IF($H269=AY$3,$J269,0)</f>
        <v/>
      </c>
      <c r="AZ269" s="47">
        <f>IF($E269=AZ$3,$G269,0)-IF($H269=AZ$3,$J269,0)</f>
        <v/>
      </c>
      <c r="BA269" s="47">
        <f>IF($E269=BA$3,$G269,0)-IF($H269=BA$3,$J269,0)</f>
        <v/>
      </c>
      <c r="BB269" s="47">
        <f>IF($E269=BB$3,$G269,0)-IF($H269=BB$3,$J269,0)</f>
        <v/>
      </c>
      <c r="BC269" s="47">
        <f>IF($E269=BC$3,$G269,0)-IF($H269=BC$3,$J269,0)</f>
        <v/>
      </c>
      <c r="BD269" s="47">
        <f>IF($E269=BD$3,$G269,0)-IF($H269=BD$3,$J269,0)</f>
        <v/>
      </c>
      <c r="BE269" s="47">
        <f>IF($E269=BE$3,$G269,0)-IF($H269=BE$3,$J269,0)</f>
        <v/>
      </c>
      <c r="BF269" s="47">
        <f>IF($E269=BF$3,$G269,0)-IF($H269=BF$3,$J269,0)</f>
        <v/>
      </c>
      <c r="BG269" s="47">
        <f>IF($E269=BG$3,$G269,0)-IF($H269=BG$3,$J269,0)</f>
        <v/>
      </c>
      <c r="BH269" s="47">
        <f>IF($E269=BH$3,$G269,0)-IF($H269=BH$3,$J269,0)</f>
        <v/>
      </c>
      <c r="BI269" s="47">
        <f>IF($E269=BI$3,$G269,0)-IF($H269=BI$3,$J269,0)</f>
        <v/>
      </c>
      <c r="BJ269" s="47">
        <f>IF($E269=BJ$3,$G269,0)-IF($H269=BJ$3,$J269,0)</f>
        <v/>
      </c>
      <c r="BK269" s="47">
        <f>IF($E269=BK$3,$G269,0)-IF($H269=BK$3,$J269,0)</f>
        <v/>
      </c>
      <c r="BL269" s="46">
        <f>-IF($E269=BL$3,$G269,0)+IF($H269=BL$3,$J269,0)</f>
        <v/>
      </c>
      <c r="BM269" s="47">
        <f>-IF($E269=BM$3,$G269,0)+IF($H269=BM$3,$J269,0)</f>
        <v/>
      </c>
      <c r="BN269" s="47">
        <f>-IF($E269=BN$3,$G269,0)+IF($H269=BN$3,$J269,0)</f>
        <v/>
      </c>
      <c r="BO269" s="47">
        <f>-IF($E269=BO$3,$G269,0)+IF($H269=BO$3,$J269,0)</f>
        <v/>
      </c>
      <c r="BP269" s="47">
        <f>-IF($E269=BP$3,$G269,0)+IF($H269=BP$3,$J269,0)</f>
        <v/>
      </c>
      <c r="BQ269" s="47">
        <f>-IF($E269=BQ$3,$G269,0)+IF($H269=BQ$3,$J269,0)</f>
        <v/>
      </c>
      <c r="BR269" s="47">
        <f>-IF($E269=BR$3,$G269,0)+IF($H269=BR$3,$J269,0)</f>
        <v/>
      </c>
      <c r="BS269" s="47">
        <f>-IF($E269=BS$3,$G269,0)+IF($H269=BS$3,$J269,0)</f>
        <v/>
      </c>
      <c r="BT269" s="47">
        <f>-IF($E269=BT$3,$G269,0)+IF($H269=BT$3,$J269,0)</f>
        <v/>
      </c>
      <c r="BU269" s="46">
        <f>+G269-J269</f>
        <v/>
      </c>
      <c r="BV269" s="48">
        <f>-IF($E269=BV$3,$G269,0)+IF($H269=BV$3,$J269,0)</f>
        <v/>
      </c>
      <c r="BW269" s="3" t="n"/>
    </row>
    <row r="270" ht="15.75" customHeight="1" s="214">
      <c r="A270" s="7" t="n"/>
      <c r="B270" s="8" t="n"/>
      <c r="C270" s="9" t="n"/>
      <c r="D270" s="10" t="n"/>
      <c r="E270" s="247" t="n"/>
      <c r="F270" s="11">
        <f>IF(E270="","",IF(ISNA(VLOOKUP(E270,科目コード表!$C$4:$D$67,2,FALSE)),"該当科目なし",VLOOKUP(E270,科目コード表!$C$4:$D$67,2,FALSE)))</f>
        <v/>
      </c>
      <c r="G270" s="38" t="n"/>
      <c r="H270" s="248" t="n"/>
      <c r="I270" s="11">
        <f>IF(H270="","",IF(ISNA(VLOOKUP(H270,科目コード表!$C$4:$D$67,2,FALSE)),"該当科目なし",VLOOKUP(H270,科目コード表!$C$4:$D$67,2,FALSE)))</f>
        <v/>
      </c>
      <c r="J270" s="40" t="n"/>
      <c r="L270" s="46">
        <f>IF($E270=L$3,$G270,0)-IF($H270=L$3,$J270,0)</f>
        <v/>
      </c>
      <c r="M270" s="47">
        <f>IF($E270=M$3,$G270,0)-IF($H270=M$3,$J270,0)</f>
        <v/>
      </c>
      <c r="N270" s="47">
        <f>IF($E270=N$3,$G270,0)-IF($H270=N$3,$J270,0)</f>
        <v/>
      </c>
      <c r="O270" s="47">
        <f>IF($E270=O$3,$G270,0)-IF($H270=O$3,$J270,0)</f>
        <v/>
      </c>
      <c r="P270" s="47">
        <f>IF($E270=P$3,$G270,0)-IF($H270=P$3,$J270,0)</f>
        <v/>
      </c>
      <c r="Q270" s="47">
        <f>IF($E270=Q$3,$G270,0)-IF($H270=Q$3,$J270,0)</f>
        <v/>
      </c>
      <c r="R270" s="47">
        <f>IF($E270=R$3,$G270,0)-IF($H270=R$3,$J270,0)</f>
        <v/>
      </c>
      <c r="S270" s="47">
        <f>IF($E270=S$3,$G270,0)-IF($H270=S$3,$J270,0)</f>
        <v/>
      </c>
      <c r="T270" s="47">
        <f>IF($E270=T$3,$G270,0)-IF($H270=T$3,$J270,0)</f>
        <v/>
      </c>
      <c r="U270" s="47">
        <f>IF($E270=U$3,$G270,0)-IF($H270=U$3,$J270,0)</f>
        <v/>
      </c>
      <c r="V270" s="47">
        <f>IF($E270=V$3,$G270,0)-IF($H270=V$3,$J270,0)</f>
        <v/>
      </c>
      <c r="W270" s="47">
        <f>IF($E270=W$3,$G270,0)-IF($H270=W$3,$J270,0)</f>
        <v/>
      </c>
      <c r="X270" s="47">
        <f>IF($E270=X$3,$G270,0)-IF($H270=X$3,$J270,0)</f>
        <v/>
      </c>
      <c r="Y270" s="47">
        <f>IF($E270=Y$3,$G270,0)-IF($H270=Y$3,$J270,0)</f>
        <v/>
      </c>
      <c r="Z270" s="47">
        <f>IF($E270=Z$3,$G270,0)-IF($H270=Z$3,$J270,0)</f>
        <v/>
      </c>
      <c r="AA270" s="47">
        <f>IF($E270=AA$3,$G270,0)-IF($H270=AA$3,$J270,0)</f>
        <v/>
      </c>
      <c r="AB270" s="47">
        <f>IF($E270=AB$3,$G270,0)-IF($H270=AB$3,$J270,0)</f>
        <v/>
      </c>
      <c r="AC270" s="47">
        <f>IF($E270=AC$3,$G270,0)-IF($H270=AC$3,$J270,0)</f>
        <v/>
      </c>
      <c r="AD270" s="47">
        <f>IF($E270=AD$3,$G270,0)-IF($H270=AD$3,$J270,0)</f>
        <v/>
      </c>
      <c r="AE270" s="47">
        <f>IF($E270=AE$3,$G270,0)-IF($H270=AE$3,$J270,0)</f>
        <v/>
      </c>
      <c r="AF270" s="47">
        <f>IF($E270=AF$3,$G270,0)-IF($H270=AF$3,$J270,0)</f>
        <v/>
      </c>
      <c r="AG270" s="47">
        <f>IF($E270=AG$3,$G270,0)-IF($H270=AG$3,$J270,0)</f>
        <v/>
      </c>
      <c r="AH270" s="47">
        <f>IF($E270=AH$3,$G270,0)-IF($H270=AH$3,$J270,0)</f>
        <v/>
      </c>
      <c r="AI270" s="47">
        <f>IF($E270=AI$3,$G270,0)-IF($H270=AI$3,$J270,0)</f>
        <v/>
      </c>
      <c r="AJ270" s="47">
        <f>IF($E270=AJ$3,$G270,0)-IF($H270=AJ$3,$J270,0)</f>
        <v/>
      </c>
      <c r="AK270" s="47">
        <f>IF($E270=AK$3,$G270,0)-IF($H270=AK$3,$J270,0)</f>
        <v/>
      </c>
      <c r="AL270" s="48">
        <f>IF($E270=AL$3,$G270,0)-IF($H270=AL$3,$J270,0)</f>
        <v/>
      </c>
      <c r="AM270" s="46">
        <f>-IF($E270=AM$3,$G270,0)+IF($H270=AM$3,$J270,0)</f>
        <v/>
      </c>
      <c r="AN270" s="47">
        <f>-IF($E270=AN$3,$G270,0)+IF($H270=AN$3,$J270,0)</f>
        <v/>
      </c>
      <c r="AO270" s="48">
        <f>-IF($E270=AO$3,$G270,0)+IF($H270=AO$3,$J270,0)</f>
        <v/>
      </c>
      <c r="AP270" s="46">
        <f>IF($E270=AP$3,$G270,0)-IF($H270=AP$3,$J270,0)</f>
        <v/>
      </c>
      <c r="AQ270" s="47">
        <f>IF($E270=AQ$3,$G270,0)-IF($H270=AQ$3,$J270,0)</f>
        <v/>
      </c>
      <c r="AR270" s="47">
        <f>IF($E270=AR$3,$G270,0)-IF($H270=AR$3,$J270,0)</f>
        <v/>
      </c>
      <c r="AS270" s="47">
        <f>IF($E270=AS$3,$G270,0)-IF($H270=AS$3,$J270,0)</f>
        <v/>
      </c>
      <c r="AT270" s="47">
        <f>IF($E270=AT$3,$G270,0)-IF($H270=AT$3,$J270,0)</f>
        <v/>
      </c>
      <c r="AU270" s="47">
        <f>IF($E270=AU$3,$G270,0)-IF($H270=AU$3,$J270,0)</f>
        <v/>
      </c>
      <c r="AV270" s="47">
        <f>IF($E270=AV$3,$G270,0)-IF($H270=AV$3,$J270,0)</f>
        <v/>
      </c>
      <c r="AW270" s="47">
        <f>IF($E270=AW$3,$G270,0)-IF($H270=AW$3,$J270,0)</f>
        <v/>
      </c>
      <c r="AX270" s="47">
        <f>IF($E270=AX$3,$G270,0)-IF($H270=AX$3,$J270,0)</f>
        <v/>
      </c>
      <c r="AY270" s="47">
        <f>IF($E270=AY$3,$G270,0)-IF($H270=AY$3,$J270,0)</f>
        <v/>
      </c>
      <c r="AZ270" s="47">
        <f>IF($E270=AZ$3,$G270,0)-IF($H270=AZ$3,$J270,0)</f>
        <v/>
      </c>
      <c r="BA270" s="47">
        <f>IF($E270=BA$3,$G270,0)-IF($H270=BA$3,$J270,0)</f>
        <v/>
      </c>
      <c r="BB270" s="47">
        <f>IF($E270=BB$3,$G270,0)-IF($H270=BB$3,$J270,0)</f>
        <v/>
      </c>
      <c r="BC270" s="47">
        <f>IF($E270=BC$3,$G270,0)-IF($H270=BC$3,$J270,0)</f>
        <v/>
      </c>
      <c r="BD270" s="47">
        <f>IF($E270=BD$3,$G270,0)-IF($H270=BD$3,$J270,0)</f>
        <v/>
      </c>
      <c r="BE270" s="47">
        <f>IF($E270=BE$3,$G270,0)-IF($H270=BE$3,$J270,0)</f>
        <v/>
      </c>
      <c r="BF270" s="47">
        <f>IF($E270=BF$3,$G270,0)-IF($H270=BF$3,$J270,0)</f>
        <v/>
      </c>
      <c r="BG270" s="47">
        <f>IF($E270=BG$3,$G270,0)-IF($H270=BG$3,$J270,0)</f>
        <v/>
      </c>
      <c r="BH270" s="47">
        <f>IF($E270=BH$3,$G270,0)-IF($H270=BH$3,$J270,0)</f>
        <v/>
      </c>
      <c r="BI270" s="47">
        <f>IF($E270=BI$3,$G270,0)-IF($H270=BI$3,$J270,0)</f>
        <v/>
      </c>
      <c r="BJ270" s="47">
        <f>IF($E270=BJ$3,$G270,0)-IF($H270=BJ$3,$J270,0)</f>
        <v/>
      </c>
      <c r="BK270" s="47">
        <f>IF($E270=BK$3,$G270,0)-IF($H270=BK$3,$J270,0)</f>
        <v/>
      </c>
      <c r="BL270" s="46">
        <f>-IF($E270=BL$3,$G270,0)+IF($H270=BL$3,$J270,0)</f>
        <v/>
      </c>
      <c r="BM270" s="47">
        <f>-IF($E270=BM$3,$G270,0)+IF($H270=BM$3,$J270,0)</f>
        <v/>
      </c>
      <c r="BN270" s="47">
        <f>-IF($E270=BN$3,$G270,0)+IF($H270=BN$3,$J270,0)</f>
        <v/>
      </c>
      <c r="BO270" s="47">
        <f>-IF($E270=BO$3,$G270,0)+IF($H270=BO$3,$J270,0)</f>
        <v/>
      </c>
      <c r="BP270" s="47">
        <f>-IF($E270=BP$3,$G270,0)+IF($H270=BP$3,$J270,0)</f>
        <v/>
      </c>
      <c r="BQ270" s="47">
        <f>-IF($E270=BQ$3,$G270,0)+IF($H270=BQ$3,$J270,0)</f>
        <v/>
      </c>
      <c r="BR270" s="47">
        <f>-IF($E270=BR$3,$G270,0)+IF($H270=BR$3,$J270,0)</f>
        <v/>
      </c>
      <c r="BS270" s="47">
        <f>-IF($E270=BS$3,$G270,0)+IF($H270=BS$3,$J270,0)</f>
        <v/>
      </c>
      <c r="BT270" s="47">
        <f>-IF($E270=BT$3,$G270,0)+IF($H270=BT$3,$J270,0)</f>
        <v/>
      </c>
      <c r="BU270" s="46">
        <f>+G270-J270</f>
        <v/>
      </c>
      <c r="BV270" s="48">
        <f>-IF($E270=BV$3,$G270,0)+IF($H270=BV$3,$J270,0)</f>
        <v/>
      </c>
      <c r="BW270" s="3" t="n"/>
    </row>
    <row r="271" ht="15.75" customHeight="1" s="214">
      <c r="A271" s="7" t="n"/>
      <c r="B271" s="8" t="n"/>
      <c r="C271" s="9" t="n"/>
      <c r="D271" s="10" t="n"/>
      <c r="E271" s="247" t="n"/>
      <c r="F271" s="11">
        <f>IF(E271="","",IF(ISNA(VLOOKUP(E271,科目コード表!$C$4:$D$67,2,FALSE)),"該当科目なし",VLOOKUP(E271,科目コード表!$C$4:$D$67,2,FALSE)))</f>
        <v/>
      </c>
      <c r="G271" s="38" t="n"/>
      <c r="H271" s="248" t="n"/>
      <c r="I271" s="11">
        <f>IF(H271="","",IF(ISNA(VLOOKUP(H271,科目コード表!$C$4:$D$67,2,FALSE)),"該当科目なし",VLOOKUP(H271,科目コード表!$C$4:$D$67,2,FALSE)))</f>
        <v/>
      </c>
      <c r="J271" s="40" t="n"/>
      <c r="L271" s="46">
        <f>IF($E271=L$3,$G271,0)-IF($H271=L$3,$J271,0)</f>
        <v/>
      </c>
      <c r="M271" s="47">
        <f>IF($E271=M$3,$G271,0)-IF($H271=M$3,$J271,0)</f>
        <v/>
      </c>
      <c r="N271" s="47">
        <f>IF($E271=N$3,$G271,0)-IF($H271=N$3,$J271,0)</f>
        <v/>
      </c>
      <c r="O271" s="47">
        <f>IF($E271=O$3,$G271,0)-IF($H271=O$3,$J271,0)</f>
        <v/>
      </c>
      <c r="P271" s="47">
        <f>IF($E271=P$3,$G271,0)-IF($H271=P$3,$J271,0)</f>
        <v/>
      </c>
      <c r="Q271" s="47">
        <f>IF($E271=Q$3,$G271,0)-IF($H271=Q$3,$J271,0)</f>
        <v/>
      </c>
      <c r="R271" s="47">
        <f>IF($E271=R$3,$G271,0)-IF($H271=R$3,$J271,0)</f>
        <v/>
      </c>
      <c r="S271" s="47">
        <f>IF($E271=S$3,$G271,0)-IF($H271=S$3,$J271,0)</f>
        <v/>
      </c>
      <c r="T271" s="47">
        <f>IF($E271=T$3,$G271,0)-IF($H271=T$3,$J271,0)</f>
        <v/>
      </c>
      <c r="U271" s="47">
        <f>IF($E271=U$3,$G271,0)-IF($H271=U$3,$J271,0)</f>
        <v/>
      </c>
      <c r="V271" s="47">
        <f>IF($E271=V$3,$G271,0)-IF($H271=V$3,$J271,0)</f>
        <v/>
      </c>
      <c r="W271" s="47">
        <f>IF($E271=W$3,$G271,0)-IF($H271=W$3,$J271,0)</f>
        <v/>
      </c>
      <c r="X271" s="47">
        <f>IF($E271=X$3,$G271,0)-IF($H271=X$3,$J271,0)</f>
        <v/>
      </c>
      <c r="Y271" s="47">
        <f>IF($E271=Y$3,$G271,0)-IF($H271=Y$3,$J271,0)</f>
        <v/>
      </c>
      <c r="Z271" s="47">
        <f>IF($E271=Z$3,$G271,0)-IF($H271=Z$3,$J271,0)</f>
        <v/>
      </c>
      <c r="AA271" s="47">
        <f>IF($E271=AA$3,$G271,0)-IF($H271=AA$3,$J271,0)</f>
        <v/>
      </c>
      <c r="AB271" s="47">
        <f>IF($E271=AB$3,$G271,0)-IF($H271=AB$3,$J271,0)</f>
        <v/>
      </c>
      <c r="AC271" s="47">
        <f>IF($E271=AC$3,$G271,0)-IF($H271=AC$3,$J271,0)</f>
        <v/>
      </c>
      <c r="AD271" s="47">
        <f>IF($E271=AD$3,$G271,0)-IF($H271=AD$3,$J271,0)</f>
        <v/>
      </c>
      <c r="AE271" s="47">
        <f>IF($E271=AE$3,$G271,0)-IF($H271=AE$3,$J271,0)</f>
        <v/>
      </c>
      <c r="AF271" s="47">
        <f>IF($E271=AF$3,$G271,0)-IF($H271=AF$3,$J271,0)</f>
        <v/>
      </c>
      <c r="AG271" s="47">
        <f>IF($E271=AG$3,$G271,0)-IF($H271=AG$3,$J271,0)</f>
        <v/>
      </c>
      <c r="AH271" s="47">
        <f>IF($E271=AH$3,$G271,0)-IF($H271=AH$3,$J271,0)</f>
        <v/>
      </c>
      <c r="AI271" s="47">
        <f>IF($E271=AI$3,$G271,0)-IF($H271=AI$3,$J271,0)</f>
        <v/>
      </c>
      <c r="AJ271" s="47">
        <f>IF($E271=AJ$3,$G271,0)-IF($H271=AJ$3,$J271,0)</f>
        <v/>
      </c>
      <c r="AK271" s="47">
        <f>IF($E271=AK$3,$G271,0)-IF($H271=AK$3,$J271,0)</f>
        <v/>
      </c>
      <c r="AL271" s="48">
        <f>IF($E271=AL$3,$G271,0)-IF($H271=AL$3,$J271,0)</f>
        <v/>
      </c>
      <c r="AM271" s="46">
        <f>-IF($E271=AM$3,$G271,0)+IF($H271=AM$3,$J271,0)</f>
        <v/>
      </c>
      <c r="AN271" s="47">
        <f>-IF($E271=AN$3,$G271,0)+IF($H271=AN$3,$J271,0)</f>
        <v/>
      </c>
      <c r="AO271" s="48">
        <f>-IF($E271=AO$3,$G271,0)+IF($H271=AO$3,$J271,0)</f>
        <v/>
      </c>
      <c r="AP271" s="46">
        <f>IF($E271=AP$3,$G271,0)-IF($H271=AP$3,$J271,0)</f>
        <v/>
      </c>
      <c r="AQ271" s="47">
        <f>IF($E271=AQ$3,$G271,0)-IF($H271=AQ$3,$J271,0)</f>
        <v/>
      </c>
      <c r="AR271" s="47">
        <f>IF($E271=AR$3,$G271,0)-IF($H271=AR$3,$J271,0)</f>
        <v/>
      </c>
      <c r="AS271" s="47">
        <f>IF($E271=AS$3,$G271,0)-IF($H271=AS$3,$J271,0)</f>
        <v/>
      </c>
      <c r="AT271" s="47">
        <f>IF($E271=AT$3,$G271,0)-IF($H271=AT$3,$J271,0)</f>
        <v/>
      </c>
      <c r="AU271" s="47">
        <f>IF($E271=AU$3,$G271,0)-IF($H271=AU$3,$J271,0)</f>
        <v/>
      </c>
      <c r="AV271" s="47">
        <f>IF($E271=AV$3,$G271,0)-IF($H271=AV$3,$J271,0)</f>
        <v/>
      </c>
      <c r="AW271" s="47">
        <f>IF($E271=AW$3,$G271,0)-IF($H271=AW$3,$J271,0)</f>
        <v/>
      </c>
      <c r="AX271" s="47">
        <f>IF($E271=AX$3,$G271,0)-IF($H271=AX$3,$J271,0)</f>
        <v/>
      </c>
      <c r="AY271" s="47">
        <f>IF($E271=AY$3,$G271,0)-IF($H271=AY$3,$J271,0)</f>
        <v/>
      </c>
      <c r="AZ271" s="47">
        <f>IF($E271=AZ$3,$G271,0)-IF($H271=AZ$3,$J271,0)</f>
        <v/>
      </c>
      <c r="BA271" s="47">
        <f>IF($E271=BA$3,$G271,0)-IF($H271=BA$3,$J271,0)</f>
        <v/>
      </c>
      <c r="BB271" s="47">
        <f>IF($E271=BB$3,$G271,0)-IF($H271=BB$3,$J271,0)</f>
        <v/>
      </c>
      <c r="BC271" s="47">
        <f>IF($E271=BC$3,$G271,0)-IF($H271=BC$3,$J271,0)</f>
        <v/>
      </c>
      <c r="BD271" s="47">
        <f>IF($E271=BD$3,$G271,0)-IF($H271=BD$3,$J271,0)</f>
        <v/>
      </c>
      <c r="BE271" s="47">
        <f>IF($E271=BE$3,$G271,0)-IF($H271=BE$3,$J271,0)</f>
        <v/>
      </c>
      <c r="BF271" s="47">
        <f>IF($E271=BF$3,$G271,0)-IF($H271=BF$3,$J271,0)</f>
        <v/>
      </c>
      <c r="BG271" s="47">
        <f>IF($E271=BG$3,$G271,0)-IF($H271=BG$3,$J271,0)</f>
        <v/>
      </c>
      <c r="BH271" s="47">
        <f>IF($E271=BH$3,$G271,0)-IF($H271=BH$3,$J271,0)</f>
        <v/>
      </c>
      <c r="BI271" s="47">
        <f>IF($E271=BI$3,$G271,0)-IF($H271=BI$3,$J271,0)</f>
        <v/>
      </c>
      <c r="BJ271" s="47">
        <f>IF($E271=BJ$3,$G271,0)-IF($H271=BJ$3,$J271,0)</f>
        <v/>
      </c>
      <c r="BK271" s="47">
        <f>IF($E271=BK$3,$G271,0)-IF($H271=BK$3,$J271,0)</f>
        <v/>
      </c>
      <c r="BL271" s="46">
        <f>-IF($E271=BL$3,$G271,0)+IF($H271=BL$3,$J271,0)</f>
        <v/>
      </c>
      <c r="BM271" s="47">
        <f>-IF($E271=BM$3,$G271,0)+IF($H271=BM$3,$J271,0)</f>
        <v/>
      </c>
      <c r="BN271" s="47">
        <f>-IF($E271=BN$3,$G271,0)+IF($H271=BN$3,$J271,0)</f>
        <v/>
      </c>
      <c r="BO271" s="47">
        <f>-IF($E271=BO$3,$G271,0)+IF($H271=BO$3,$J271,0)</f>
        <v/>
      </c>
      <c r="BP271" s="47">
        <f>-IF($E271=BP$3,$G271,0)+IF($H271=BP$3,$J271,0)</f>
        <v/>
      </c>
      <c r="BQ271" s="47">
        <f>-IF($E271=BQ$3,$G271,0)+IF($H271=BQ$3,$J271,0)</f>
        <v/>
      </c>
      <c r="BR271" s="47">
        <f>-IF($E271=BR$3,$G271,0)+IF($H271=BR$3,$J271,0)</f>
        <v/>
      </c>
      <c r="BS271" s="47">
        <f>-IF($E271=BS$3,$G271,0)+IF($H271=BS$3,$J271,0)</f>
        <v/>
      </c>
      <c r="BT271" s="47">
        <f>-IF($E271=BT$3,$G271,0)+IF($H271=BT$3,$J271,0)</f>
        <v/>
      </c>
      <c r="BU271" s="46">
        <f>+G271-J271</f>
        <v/>
      </c>
      <c r="BV271" s="48">
        <f>-IF($E271=BV$3,$G271,0)+IF($H271=BV$3,$J271,0)</f>
        <v/>
      </c>
      <c r="BW271" s="3" t="n"/>
    </row>
    <row r="272" ht="15.75" customHeight="1" s="214">
      <c r="A272" s="7" t="n"/>
      <c r="B272" s="8" t="n"/>
      <c r="C272" s="9" t="n"/>
      <c r="D272" s="10" t="n"/>
      <c r="E272" s="247" t="n"/>
      <c r="F272" s="11">
        <f>IF(E272="","",IF(ISNA(VLOOKUP(E272,科目コード表!$C$4:$D$67,2,FALSE)),"該当科目なし",VLOOKUP(E272,科目コード表!$C$4:$D$67,2,FALSE)))</f>
        <v/>
      </c>
      <c r="G272" s="38" t="n"/>
      <c r="H272" s="248" t="n"/>
      <c r="I272" s="11">
        <f>IF(H272="","",IF(ISNA(VLOOKUP(H272,科目コード表!$C$4:$D$67,2,FALSE)),"該当科目なし",VLOOKUP(H272,科目コード表!$C$4:$D$67,2,FALSE)))</f>
        <v/>
      </c>
      <c r="J272" s="40" t="n"/>
      <c r="L272" s="46">
        <f>IF($E272=L$3,$G272,0)-IF($H272=L$3,$J272,0)</f>
        <v/>
      </c>
      <c r="M272" s="47">
        <f>IF($E272=M$3,$G272,0)-IF($H272=M$3,$J272,0)</f>
        <v/>
      </c>
      <c r="N272" s="47">
        <f>IF($E272=N$3,$G272,0)-IF($H272=N$3,$J272,0)</f>
        <v/>
      </c>
      <c r="O272" s="47">
        <f>IF($E272=O$3,$G272,0)-IF($H272=O$3,$J272,0)</f>
        <v/>
      </c>
      <c r="P272" s="47">
        <f>IF($E272=P$3,$G272,0)-IF($H272=P$3,$J272,0)</f>
        <v/>
      </c>
      <c r="Q272" s="47">
        <f>IF($E272=Q$3,$G272,0)-IF($H272=Q$3,$J272,0)</f>
        <v/>
      </c>
      <c r="R272" s="47">
        <f>IF($E272=R$3,$G272,0)-IF($H272=R$3,$J272,0)</f>
        <v/>
      </c>
      <c r="S272" s="47">
        <f>IF($E272=S$3,$G272,0)-IF($H272=S$3,$J272,0)</f>
        <v/>
      </c>
      <c r="T272" s="47">
        <f>IF($E272=T$3,$G272,0)-IF($H272=T$3,$J272,0)</f>
        <v/>
      </c>
      <c r="U272" s="47">
        <f>IF($E272=U$3,$G272,0)-IF($H272=U$3,$J272,0)</f>
        <v/>
      </c>
      <c r="V272" s="47">
        <f>IF($E272=V$3,$G272,0)-IF($H272=V$3,$J272,0)</f>
        <v/>
      </c>
      <c r="W272" s="47">
        <f>IF($E272=W$3,$G272,0)-IF($H272=W$3,$J272,0)</f>
        <v/>
      </c>
      <c r="X272" s="47">
        <f>IF($E272=X$3,$G272,0)-IF($H272=X$3,$J272,0)</f>
        <v/>
      </c>
      <c r="Y272" s="47">
        <f>IF($E272=Y$3,$G272,0)-IF($H272=Y$3,$J272,0)</f>
        <v/>
      </c>
      <c r="Z272" s="47">
        <f>IF($E272=Z$3,$G272,0)-IF($H272=Z$3,$J272,0)</f>
        <v/>
      </c>
      <c r="AA272" s="47">
        <f>IF($E272=AA$3,$G272,0)-IF($H272=AA$3,$J272,0)</f>
        <v/>
      </c>
      <c r="AB272" s="47">
        <f>IF($E272=AB$3,$G272,0)-IF($H272=AB$3,$J272,0)</f>
        <v/>
      </c>
      <c r="AC272" s="47">
        <f>IF($E272=AC$3,$G272,0)-IF($H272=AC$3,$J272,0)</f>
        <v/>
      </c>
      <c r="AD272" s="47">
        <f>IF($E272=AD$3,$G272,0)-IF($H272=AD$3,$J272,0)</f>
        <v/>
      </c>
      <c r="AE272" s="47">
        <f>IF($E272=AE$3,$G272,0)-IF($H272=AE$3,$J272,0)</f>
        <v/>
      </c>
      <c r="AF272" s="47">
        <f>IF($E272=AF$3,$G272,0)-IF($H272=AF$3,$J272,0)</f>
        <v/>
      </c>
      <c r="AG272" s="47">
        <f>IF($E272=AG$3,$G272,0)-IF($H272=AG$3,$J272,0)</f>
        <v/>
      </c>
      <c r="AH272" s="47">
        <f>IF($E272=AH$3,$G272,0)-IF($H272=AH$3,$J272,0)</f>
        <v/>
      </c>
      <c r="AI272" s="47">
        <f>IF($E272=AI$3,$G272,0)-IF($H272=AI$3,$J272,0)</f>
        <v/>
      </c>
      <c r="AJ272" s="47">
        <f>IF($E272=AJ$3,$G272,0)-IF($H272=AJ$3,$J272,0)</f>
        <v/>
      </c>
      <c r="AK272" s="47">
        <f>IF($E272=AK$3,$G272,0)-IF($H272=AK$3,$J272,0)</f>
        <v/>
      </c>
      <c r="AL272" s="48">
        <f>IF($E272=AL$3,$G272,0)-IF($H272=AL$3,$J272,0)</f>
        <v/>
      </c>
      <c r="AM272" s="46">
        <f>-IF($E272=AM$3,$G272,0)+IF($H272=AM$3,$J272,0)</f>
        <v/>
      </c>
      <c r="AN272" s="47">
        <f>-IF($E272=AN$3,$G272,0)+IF($H272=AN$3,$J272,0)</f>
        <v/>
      </c>
      <c r="AO272" s="48">
        <f>-IF($E272=AO$3,$G272,0)+IF($H272=AO$3,$J272,0)</f>
        <v/>
      </c>
      <c r="AP272" s="46">
        <f>IF($E272=AP$3,$G272,0)-IF($H272=AP$3,$J272,0)</f>
        <v/>
      </c>
      <c r="AQ272" s="47">
        <f>IF($E272=AQ$3,$G272,0)-IF($H272=AQ$3,$J272,0)</f>
        <v/>
      </c>
      <c r="AR272" s="47">
        <f>IF($E272=AR$3,$G272,0)-IF($H272=AR$3,$J272,0)</f>
        <v/>
      </c>
      <c r="AS272" s="47">
        <f>IF($E272=AS$3,$G272,0)-IF($H272=AS$3,$J272,0)</f>
        <v/>
      </c>
      <c r="AT272" s="47">
        <f>IF($E272=AT$3,$G272,0)-IF($H272=AT$3,$J272,0)</f>
        <v/>
      </c>
      <c r="AU272" s="47">
        <f>IF($E272=AU$3,$G272,0)-IF($H272=AU$3,$J272,0)</f>
        <v/>
      </c>
      <c r="AV272" s="47">
        <f>IF($E272=AV$3,$G272,0)-IF($H272=AV$3,$J272,0)</f>
        <v/>
      </c>
      <c r="AW272" s="47">
        <f>IF($E272=AW$3,$G272,0)-IF($H272=AW$3,$J272,0)</f>
        <v/>
      </c>
      <c r="AX272" s="47">
        <f>IF($E272=AX$3,$G272,0)-IF($H272=AX$3,$J272,0)</f>
        <v/>
      </c>
      <c r="AY272" s="47">
        <f>IF($E272=AY$3,$G272,0)-IF($H272=AY$3,$J272,0)</f>
        <v/>
      </c>
      <c r="AZ272" s="47">
        <f>IF($E272=AZ$3,$G272,0)-IF($H272=AZ$3,$J272,0)</f>
        <v/>
      </c>
      <c r="BA272" s="47">
        <f>IF($E272=BA$3,$G272,0)-IF($H272=BA$3,$J272,0)</f>
        <v/>
      </c>
      <c r="BB272" s="47">
        <f>IF($E272=BB$3,$G272,0)-IF($H272=BB$3,$J272,0)</f>
        <v/>
      </c>
      <c r="BC272" s="47">
        <f>IF($E272=BC$3,$G272,0)-IF($H272=BC$3,$J272,0)</f>
        <v/>
      </c>
      <c r="BD272" s="47">
        <f>IF($E272=BD$3,$G272,0)-IF($H272=BD$3,$J272,0)</f>
        <v/>
      </c>
      <c r="BE272" s="47">
        <f>IF($E272=BE$3,$G272,0)-IF($H272=BE$3,$J272,0)</f>
        <v/>
      </c>
      <c r="BF272" s="47">
        <f>IF($E272=BF$3,$G272,0)-IF($H272=BF$3,$J272,0)</f>
        <v/>
      </c>
      <c r="BG272" s="47">
        <f>IF($E272=BG$3,$G272,0)-IF($H272=BG$3,$J272,0)</f>
        <v/>
      </c>
      <c r="BH272" s="47">
        <f>IF($E272=BH$3,$G272,0)-IF($H272=BH$3,$J272,0)</f>
        <v/>
      </c>
      <c r="BI272" s="47">
        <f>IF($E272=BI$3,$G272,0)-IF($H272=BI$3,$J272,0)</f>
        <v/>
      </c>
      <c r="BJ272" s="47">
        <f>IF($E272=BJ$3,$G272,0)-IF($H272=BJ$3,$J272,0)</f>
        <v/>
      </c>
      <c r="BK272" s="47">
        <f>IF($E272=BK$3,$G272,0)-IF($H272=BK$3,$J272,0)</f>
        <v/>
      </c>
      <c r="BL272" s="46">
        <f>-IF($E272=BL$3,$G272,0)+IF($H272=BL$3,$J272,0)</f>
        <v/>
      </c>
      <c r="BM272" s="47">
        <f>-IF($E272=BM$3,$G272,0)+IF($H272=BM$3,$J272,0)</f>
        <v/>
      </c>
      <c r="BN272" s="47">
        <f>-IF($E272=BN$3,$G272,0)+IF($H272=BN$3,$J272,0)</f>
        <v/>
      </c>
      <c r="BO272" s="47">
        <f>-IF($E272=BO$3,$G272,0)+IF($H272=BO$3,$J272,0)</f>
        <v/>
      </c>
      <c r="BP272" s="47">
        <f>-IF($E272=BP$3,$G272,0)+IF($H272=BP$3,$J272,0)</f>
        <v/>
      </c>
      <c r="BQ272" s="47">
        <f>-IF($E272=BQ$3,$G272,0)+IF($H272=BQ$3,$J272,0)</f>
        <v/>
      </c>
      <c r="BR272" s="47">
        <f>-IF($E272=BR$3,$G272,0)+IF($H272=BR$3,$J272,0)</f>
        <v/>
      </c>
      <c r="BS272" s="47">
        <f>-IF($E272=BS$3,$G272,0)+IF($H272=BS$3,$J272,0)</f>
        <v/>
      </c>
      <c r="BT272" s="47">
        <f>-IF($E272=BT$3,$G272,0)+IF($H272=BT$3,$J272,0)</f>
        <v/>
      </c>
      <c r="BU272" s="46">
        <f>+G272-J272</f>
        <v/>
      </c>
      <c r="BV272" s="48">
        <f>-IF($E272=BV$3,$G272,0)+IF($H272=BV$3,$J272,0)</f>
        <v/>
      </c>
      <c r="BW272" s="3" t="n"/>
    </row>
    <row r="273" ht="15.75" customHeight="1" s="214">
      <c r="A273" s="7" t="n"/>
      <c r="B273" s="8" t="n"/>
      <c r="C273" s="9" t="n"/>
      <c r="D273" s="10" t="n"/>
      <c r="E273" s="247" t="n"/>
      <c r="F273" s="11">
        <f>IF(E273="","",IF(ISNA(VLOOKUP(E273,科目コード表!$C$4:$D$67,2,FALSE)),"該当科目なし",VLOOKUP(E273,科目コード表!$C$4:$D$67,2,FALSE)))</f>
        <v/>
      </c>
      <c r="G273" s="38" t="n"/>
      <c r="H273" s="248" t="n"/>
      <c r="I273" s="11">
        <f>IF(H273="","",IF(ISNA(VLOOKUP(H273,科目コード表!$C$4:$D$67,2,FALSE)),"該当科目なし",VLOOKUP(H273,科目コード表!$C$4:$D$67,2,FALSE)))</f>
        <v/>
      </c>
      <c r="J273" s="40" t="n"/>
      <c r="L273" s="46">
        <f>IF($E273=L$3,$G273,0)-IF($H273=L$3,$J273,0)</f>
        <v/>
      </c>
      <c r="M273" s="47">
        <f>IF($E273=M$3,$G273,0)-IF($H273=M$3,$J273,0)</f>
        <v/>
      </c>
      <c r="N273" s="47">
        <f>IF($E273=N$3,$G273,0)-IF($H273=N$3,$J273,0)</f>
        <v/>
      </c>
      <c r="O273" s="47">
        <f>IF($E273=O$3,$G273,0)-IF($H273=O$3,$J273,0)</f>
        <v/>
      </c>
      <c r="P273" s="47">
        <f>IF($E273=P$3,$G273,0)-IF($H273=P$3,$J273,0)</f>
        <v/>
      </c>
      <c r="Q273" s="47">
        <f>IF($E273=Q$3,$G273,0)-IF($H273=Q$3,$J273,0)</f>
        <v/>
      </c>
      <c r="R273" s="47">
        <f>IF($E273=R$3,$G273,0)-IF($H273=R$3,$J273,0)</f>
        <v/>
      </c>
      <c r="S273" s="47">
        <f>IF($E273=S$3,$G273,0)-IF($H273=S$3,$J273,0)</f>
        <v/>
      </c>
      <c r="T273" s="47">
        <f>IF($E273=T$3,$G273,0)-IF($H273=T$3,$J273,0)</f>
        <v/>
      </c>
      <c r="U273" s="47">
        <f>IF($E273=U$3,$G273,0)-IF($H273=U$3,$J273,0)</f>
        <v/>
      </c>
      <c r="V273" s="47">
        <f>IF($E273=V$3,$G273,0)-IF($H273=V$3,$J273,0)</f>
        <v/>
      </c>
      <c r="W273" s="47">
        <f>IF($E273=W$3,$G273,0)-IF($H273=W$3,$J273,0)</f>
        <v/>
      </c>
      <c r="X273" s="47">
        <f>IF($E273=X$3,$G273,0)-IF($H273=X$3,$J273,0)</f>
        <v/>
      </c>
      <c r="Y273" s="47">
        <f>IF($E273=Y$3,$G273,0)-IF($H273=Y$3,$J273,0)</f>
        <v/>
      </c>
      <c r="Z273" s="47">
        <f>IF($E273=Z$3,$G273,0)-IF($H273=Z$3,$J273,0)</f>
        <v/>
      </c>
      <c r="AA273" s="47">
        <f>IF($E273=AA$3,$G273,0)-IF($H273=AA$3,$J273,0)</f>
        <v/>
      </c>
      <c r="AB273" s="47">
        <f>IF($E273=AB$3,$G273,0)-IF($H273=AB$3,$J273,0)</f>
        <v/>
      </c>
      <c r="AC273" s="47">
        <f>IF($E273=AC$3,$G273,0)-IF($H273=AC$3,$J273,0)</f>
        <v/>
      </c>
      <c r="AD273" s="47">
        <f>IF($E273=AD$3,$G273,0)-IF($H273=AD$3,$J273,0)</f>
        <v/>
      </c>
      <c r="AE273" s="47">
        <f>IF($E273=AE$3,$G273,0)-IF($H273=AE$3,$J273,0)</f>
        <v/>
      </c>
      <c r="AF273" s="47">
        <f>IF($E273=AF$3,$G273,0)-IF($H273=AF$3,$J273,0)</f>
        <v/>
      </c>
      <c r="AG273" s="47">
        <f>IF($E273=AG$3,$G273,0)-IF($H273=AG$3,$J273,0)</f>
        <v/>
      </c>
      <c r="AH273" s="47">
        <f>IF($E273=AH$3,$G273,0)-IF($H273=AH$3,$J273,0)</f>
        <v/>
      </c>
      <c r="AI273" s="47">
        <f>IF($E273=AI$3,$G273,0)-IF($H273=AI$3,$J273,0)</f>
        <v/>
      </c>
      <c r="AJ273" s="47">
        <f>IF($E273=AJ$3,$G273,0)-IF($H273=AJ$3,$J273,0)</f>
        <v/>
      </c>
      <c r="AK273" s="47">
        <f>IF($E273=AK$3,$G273,0)-IF($H273=AK$3,$J273,0)</f>
        <v/>
      </c>
      <c r="AL273" s="48">
        <f>IF($E273=AL$3,$G273,0)-IF($H273=AL$3,$J273,0)</f>
        <v/>
      </c>
      <c r="AM273" s="46">
        <f>-IF($E273=AM$3,$G273,0)+IF($H273=AM$3,$J273,0)</f>
        <v/>
      </c>
      <c r="AN273" s="47">
        <f>-IF($E273=AN$3,$G273,0)+IF($H273=AN$3,$J273,0)</f>
        <v/>
      </c>
      <c r="AO273" s="48">
        <f>-IF($E273=AO$3,$G273,0)+IF($H273=AO$3,$J273,0)</f>
        <v/>
      </c>
      <c r="AP273" s="46">
        <f>IF($E273=AP$3,$G273,0)-IF($H273=AP$3,$J273,0)</f>
        <v/>
      </c>
      <c r="AQ273" s="47">
        <f>IF($E273=AQ$3,$G273,0)-IF($H273=AQ$3,$J273,0)</f>
        <v/>
      </c>
      <c r="AR273" s="47">
        <f>IF($E273=AR$3,$G273,0)-IF($H273=AR$3,$J273,0)</f>
        <v/>
      </c>
      <c r="AS273" s="47">
        <f>IF($E273=AS$3,$G273,0)-IF($H273=AS$3,$J273,0)</f>
        <v/>
      </c>
      <c r="AT273" s="47">
        <f>IF($E273=AT$3,$G273,0)-IF($H273=AT$3,$J273,0)</f>
        <v/>
      </c>
      <c r="AU273" s="47">
        <f>IF($E273=AU$3,$G273,0)-IF($H273=AU$3,$J273,0)</f>
        <v/>
      </c>
      <c r="AV273" s="47">
        <f>IF($E273=AV$3,$G273,0)-IF($H273=AV$3,$J273,0)</f>
        <v/>
      </c>
      <c r="AW273" s="47">
        <f>IF($E273=AW$3,$G273,0)-IF($H273=AW$3,$J273,0)</f>
        <v/>
      </c>
      <c r="AX273" s="47">
        <f>IF($E273=AX$3,$G273,0)-IF($H273=AX$3,$J273,0)</f>
        <v/>
      </c>
      <c r="AY273" s="47">
        <f>IF($E273=AY$3,$G273,0)-IF($H273=AY$3,$J273,0)</f>
        <v/>
      </c>
      <c r="AZ273" s="47">
        <f>IF($E273=AZ$3,$G273,0)-IF($H273=AZ$3,$J273,0)</f>
        <v/>
      </c>
      <c r="BA273" s="47">
        <f>IF($E273=BA$3,$G273,0)-IF($H273=BA$3,$J273,0)</f>
        <v/>
      </c>
      <c r="BB273" s="47">
        <f>IF($E273=BB$3,$G273,0)-IF($H273=BB$3,$J273,0)</f>
        <v/>
      </c>
      <c r="BC273" s="47">
        <f>IF($E273=BC$3,$G273,0)-IF($H273=BC$3,$J273,0)</f>
        <v/>
      </c>
      <c r="BD273" s="47">
        <f>IF($E273=BD$3,$G273,0)-IF($H273=BD$3,$J273,0)</f>
        <v/>
      </c>
      <c r="BE273" s="47">
        <f>IF($E273=BE$3,$G273,0)-IF($H273=BE$3,$J273,0)</f>
        <v/>
      </c>
      <c r="BF273" s="47">
        <f>IF($E273=BF$3,$G273,0)-IF($H273=BF$3,$J273,0)</f>
        <v/>
      </c>
      <c r="BG273" s="47">
        <f>IF($E273=BG$3,$G273,0)-IF($H273=BG$3,$J273,0)</f>
        <v/>
      </c>
      <c r="BH273" s="47">
        <f>IF($E273=BH$3,$G273,0)-IF($H273=BH$3,$J273,0)</f>
        <v/>
      </c>
      <c r="BI273" s="47">
        <f>IF($E273=BI$3,$G273,0)-IF($H273=BI$3,$J273,0)</f>
        <v/>
      </c>
      <c r="BJ273" s="47">
        <f>IF($E273=BJ$3,$G273,0)-IF($H273=BJ$3,$J273,0)</f>
        <v/>
      </c>
      <c r="BK273" s="47">
        <f>IF($E273=BK$3,$G273,0)-IF($H273=BK$3,$J273,0)</f>
        <v/>
      </c>
      <c r="BL273" s="46">
        <f>-IF($E273=BL$3,$G273,0)+IF($H273=BL$3,$J273,0)</f>
        <v/>
      </c>
      <c r="BM273" s="47">
        <f>-IF($E273=BM$3,$G273,0)+IF($H273=BM$3,$J273,0)</f>
        <v/>
      </c>
      <c r="BN273" s="47">
        <f>-IF($E273=BN$3,$G273,0)+IF($H273=BN$3,$J273,0)</f>
        <v/>
      </c>
      <c r="BO273" s="47">
        <f>-IF($E273=BO$3,$G273,0)+IF($H273=BO$3,$J273,0)</f>
        <v/>
      </c>
      <c r="BP273" s="47">
        <f>-IF($E273=BP$3,$G273,0)+IF($H273=BP$3,$J273,0)</f>
        <v/>
      </c>
      <c r="BQ273" s="47">
        <f>-IF($E273=BQ$3,$G273,0)+IF($H273=BQ$3,$J273,0)</f>
        <v/>
      </c>
      <c r="BR273" s="47">
        <f>-IF($E273=BR$3,$G273,0)+IF($H273=BR$3,$J273,0)</f>
        <v/>
      </c>
      <c r="BS273" s="47">
        <f>-IF($E273=BS$3,$G273,0)+IF($H273=BS$3,$J273,0)</f>
        <v/>
      </c>
      <c r="BT273" s="47">
        <f>-IF($E273=BT$3,$G273,0)+IF($H273=BT$3,$J273,0)</f>
        <v/>
      </c>
      <c r="BU273" s="46">
        <f>+G273-J273</f>
        <v/>
      </c>
      <c r="BV273" s="48">
        <f>-IF($E273=BV$3,$G273,0)+IF($H273=BV$3,$J273,0)</f>
        <v/>
      </c>
      <c r="BW273" s="3" t="n"/>
    </row>
    <row r="274" ht="15.75" customHeight="1" s="214">
      <c r="A274" s="7" t="n"/>
      <c r="B274" s="8" t="n"/>
      <c r="C274" s="9" t="n"/>
      <c r="D274" s="10" t="n"/>
      <c r="E274" s="247" t="n"/>
      <c r="F274" s="11">
        <f>IF(E274="","",IF(ISNA(VLOOKUP(E274,科目コード表!$C$4:$D$67,2,FALSE)),"該当科目なし",VLOOKUP(E274,科目コード表!$C$4:$D$67,2,FALSE)))</f>
        <v/>
      </c>
      <c r="G274" s="38" t="n"/>
      <c r="H274" s="248" t="n"/>
      <c r="I274" s="11">
        <f>IF(H274="","",IF(ISNA(VLOOKUP(H274,科目コード表!$C$4:$D$67,2,FALSE)),"該当科目なし",VLOOKUP(H274,科目コード表!$C$4:$D$67,2,FALSE)))</f>
        <v/>
      </c>
      <c r="J274" s="40" t="n"/>
      <c r="L274" s="46">
        <f>IF($E274=L$3,$G274,0)-IF($H274=L$3,$J274,0)</f>
        <v/>
      </c>
      <c r="M274" s="47">
        <f>IF($E274=M$3,$G274,0)-IF($H274=M$3,$J274,0)</f>
        <v/>
      </c>
      <c r="N274" s="47">
        <f>IF($E274=N$3,$G274,0)-IF($H274=N$3,$J274,0)</f>
        <v/>
      </c>
      <c r="O274" s="47">
        <f>IF($E274=O$3,$G274,0)-IF($H274=O$3,$J274,0)</f>
        <v/>
      </c>
      <c r="P274" s="47">
        <f>IF($E274=P$3,$G274,0)-IF($H274=P$3,$J274,0)</f>
        <v/>
      </c>
      <c r="Q274" s="47">
        <f>IF($E274=Q$3,$G274,0)-IF($H274=Q$3,$J274,0)</f>
        <v/>
      </c>
      <c r="R274" s="47">
        <f>IF($E274=R$3,$G274,0)-IF($H274=R$3,$J274,0)</f>
        <v/>
      </c>
      <c r="S274" s="47">
        <f>IF($E274=S$3,$G274,0)-IF($H274=S$3,$J274,0)</f>
        <v/>
      </c>
      <c r="T274" s="47">
        <f>IF($E274=T$3,$G274,0)-IF($H274=T$3,$J274,0)</f>
        <v/>
      </c>
      <c r="U274" s="47">
        <f>IF($E274=U$3,$G274,0)-IF($H274=U$3,$J274,0)</f>
        <v/>
      </c>
      <c r="V274" s="47">
        <f>IF($E274=V$3,$G274,0)-IF($H274=V$3,$J274,0)</f>
        <v/>
      </c>
      <c r="W274" s="47">
        <f>IF($E274=W$3,$G274,0)-IF($H274=W$3,$J274,0)</f>
        <v/>
      </c>
      <c r="X274" s="47">
        <f>IF($E274=X$3,$G274,0)-IF($H274=X$3,$J274,0)</f>
        <v/>
      </c>
      <c r="Y274" s="47">
        <f>IF($E274=Y$3,$G274,0)-IF($H274=Y$3,$J274,0)</f>
        <v/>
      </c>
      <c r="Z274" s="47">
        <f>IF($E274=Z$3,$G274,0)-IF($H274=Z$3,$J274,0)</f>
        <v/>
      </c>
      <c r="AA274" s="47">
        <f>IF($E274=AA$3,$G274,0)-IF($H274=AA$3,$J274,0)</f>
        <v/>
      </c>
      <c r="AB274" s="47">
        <f>IF($E274=AB$3,$G274,0)-IF($H274=AB$3,$J274,0)</f>
        <v/>
      </c>
      <c r="AC274" s="47">
        <f>IF($E274=AC$3,$G274,0)-IF($H274=AC$3,$J274,0)</f>
        <v/>
      </c>
      <c r="AD274" s="47">
        <f>IF($E274=AD$3,$G274,0)-IF($H274=AD$3,$J274,0)</f>
        <v/>
      </c>
      <c r="AE274" s="47">
        <f>IF($E274=AE$3,$G274,0)-IF($H274=AE$3,$J274,0)</f>
        <v/>
      </c>
      <c r="AF274" s="47">
        <f>IF($E274=AF$3,$G274,0)-IF($H274=AF$3,$J274,0)</f>
        <v/>
      </c>
      <c r="AG274" s="47">
        <f>IF($E274=AG$3,$G274,0)-IF($H274=AG$3,$J274,0)</f>
        <v/>
      </c>
      <c r="AH274" s="47">
        <f>IF($E274=AH$3,$G274,0)-IF($H274=AH$3,$J274,0)</f>
        <v/>
      </c>
      <c r="AI274" s="47">
        <f>IF($E274=AI$3,$G274,0)-IF($H274=AI$3,$J274,0)</f>
        <v/>
      </c>
      <c r="AJ274" s="47">
        <f>IF($E274=AJ$3,$G274,0)-IF($H274=AJ$3,$J274,0)</f>
        <v/>
      </c>
      <c r="AK274" s="47">
        <f>IF($E274=AK$3,$G274,0)-IF($H274=AK$3,$J274,0)</f>
        <v/>
      </c>
      <c r="AL274" s="48">
        <f>IF($E274=AL$3,$G274,0)-IF($H274=AL$3,$J274,0)</f>
        <v/>
      </c>
      <c r="AM274" s="46">
        <f>-IF($E274=AM$3,$G274,0)+IF($H274=AM$3,$J274,0)</f>
        <v/>
      </c>
      <c r="AN274" s="47">
        <f>-IF($E274=AN$3,$G274,0)+IF($H274=AN$3,$J274,0)</f>
        <v/>
      </c>
      <c r="AO274" s="48">
        <f>-IF($E274=AO$3,$G274,0)+IF($H274=AO$3,$J274,0)</f>
        <v/>
      </c>
      <c r="AP274" s="46">
        <f>IF($E274=AP$3,$G274,0)-IF($H274=AP$3,$J274,0)</f>
        <v/>
      </c>
      <c r="AQ274" s="47">
        <f>IF($E274=AQ$3,$G274,0)-IF($H274=AQ$3,$J274,0)</f>
        <v/>
      </c>
      <c r="AR274" s="47">
        <f>IF($E274=AR$3,$G274,0)-IF($H274=AR$3,$J274,0)</f>
        <v/>
      </c>
      <c r="AS274" s="47">
        <f>IF($E274=AS$3,$G274,0)-IF($H274=AS$3,$J274,0)</f>
        <v/>
      </c>
      <c r="AT274" s="47">
        <f>IF($E274=AT$3,$G274,0)-IF($H274=AT$3,$J274,0)</f>
        <v/>
      </c>
      <c r="AU274" s="47">
        <f>IF($E274=AU$3,$G274,0)-IF($H274=AU$3,$J274,0)</f>
        <v/>
      </c>
      <c r="AV274" s="47">
        <f>IF($E274=AV$3,$G274,0)-IF($H274=AV$3,$J274,0)</f>
        <v/>
      </c>
      <c r="AW274" s="47">
        <f>IF($E274=AW$3,$G274,0)-IF($H274=AW$3,$J274,0)</f>
        <v/>
      </c>
      <c r="AX274" s="47">
        <f>IF($E274=AX$3,$G274,0)-IF($H274=AX$3,$J274,0)</f>
        <v/>
      </c>
      <c r="AY274" s="47">
        <f>IF($E274=AY$3,$G274,0)-IF($H274=AY$3,$J274,0)</f>
        <v/>
      </c>
      <c r="AZ274" s="47">
        <f>IF($E274=AZ$3,$G274,0)-IF($H274=AZ$3,$J274,0)</f>
        <v/>
      </c>
      <c r="BA274" s="47">
        <f>IF($E274=BA$3,$G274,0)-IF($H274=BA$3,$J274,0)</f>
        <v/>
      </c>
      <c r="BB274" s="47">
        <f>IF($E274=BB$3,$G274,0)-IF($H274=BB$3,$J274,0)</f>
        <v/>
      </c>
      <c r="BC274" s="47">
        <f>IF($E274=BC$3,$G274,0)-IF($H274=BC$3,$J274,0)</f>
        <v/>
      </c>
      <c r="BD274" s="47">
        <f>IF($E274=BD$3,$G274,0)-IF($H274=BD$3,$J274,0)</f>
        <v/>
      </c>
      <c r="BE274" s="47">
        <f>IF($E274=BE$3,$G274,0)-IF($H274=BE$3,$J274,0)</f>
        <v/>
      </c>
      <c r="BF274" s="47">
        <f>IF($E274=BF$3,$G274,0)-IF($H274=BF$3,$J274,0)</f>
        <v/>
      </c>
      <c r="BG274" s="47">
        <f>IF($E274=BG$3,$G274,0)-IF($H274=BG$3,$J274,0)</f>
        <v/>
      </c>
      <c r="BH274" s="47">
        <f>IF($E274=BH$3,$G274,0)-IF($H274=BH$3,$J274,0)</f>
        <v/>
      </c>
      <c r="BI274" s="47">
        <f>IF($E274=BI$3,$G274,0)-IF($H274=BI$3,$J274,0)</f>
        <v/>
      </c>
      <c r="BJ274" s="47">
        <f>IF($E274=BJ$3,$G274,0)-IF($H274=BJ$3,$J274,0)</f>
        <v/>
      </c>
      <c r="BK274" s="47">
        <f>IF($E274=BK$3,$G274,0)-IF($H274=BK$3,$J274,0)</f>
        <v/>
      </c>
      <c r="BL274" s="46">
        <f>-IF($E274=BL$3,$G274,0)+IF($H274=BL$3,$J274,0)</f>
        <v/>
      </c>
      <c r="BM274" s="47">
        <f>-IF($E274=BM$3,$G274,0)+IF($H274=BM$3,$J274,0)</f>
        <v/>
      </c>
      <c r="BN274" s="47">
        <f>-IF($E274=BN$3,$G274,0)+IF($H274=BN$3,$J274,0)</f>
        <v/>
      </c>
      <c r="BO274" s="47">
        <f>-IF($E274=BO$3,$G274,0)+IF($H274=BO$3,$J274,0)</f>
        <v/>
      </c>
      <c r="BP274" s="47">
        <f>-IF($E274=BP$3,$G274,0)+IF($H274=BP$3,$J274,0)</f>
        <v/>
      </c>
      <c r="BQ274" s="47">
        <f>-IF($E274=BQ$3,$G274,0)+IF($H274=BQ$3,$J274,0)</f>
        <v/>
      </c>
      <c r="BR274" s="47">
        <f>-IF($E274=BR$3,$G274,0)+IF($H274=BR$3,$J274,0)</f>
        <v/>
      </c>
      <c r="BS274" s="47">
        <f>-IF($E274=BS$3,$G274,0)+IF($H274=BS$3,$J274,0)</f>
        <v/>
      </c>
      <c r="BT274" s="47">
        <f>-IF($E274=BT$3,$G274,0)+IF($H274=BT$3,$J274,0)</f>
        <v/>
      </c>
      <c r="BU274" s="46">
        <f>+G274-J274</f>
        <v/>
      </c>
      <c r="BV274" s="48">
        <f>-IF($E274=BV$3,$G274,0)+IF($H274=BV$3,$J274,0)</f>
        <v/>
      </c>
      <c r="BW274" s="3" t="n"/>
    </row>
    <row r="275" ht="15.75" customHeight="1" s="214">
      <c r="A275" s="7" t="n"/>
      <c r="B275" s="8" t="n"/>
      <c r="C275" s="9" t="n"/>
      <c r="D275" s="10" t="n"/>
      <c r="E275" s="247" t="n"/>
      <c r="F275" s="11">
        <f>IF(E275="","",IF(ISNA(VLOOKUP(E275,科目コード表!$C$4:$D$67,2,FALSE)),"該当科目なし",VLOOKUP(E275,科目コード表!$C$4:$D$67,2,FALSE)))</f>
        <v/>
      </c>
      <c r="G275" s="38" t="n"/>
      <c r="H275" s="248" t="n"/>
      <c r="I275" s="11">
        <f>IF(H275="","",IF(ISNA(VLOOKUP(H275,科目コード表!$C$4:$D$67,2,FALSE)),"該当科目なし",VLOOKUP(H275,科目コード表!$C$4:$D$67,2,FALSE)))</f>
        <v/>
      </c>
      <c r="J275" s="40" t="n"/>
      <c r="L275" s="46">
        <f>IF($E275=L$3,$G275,0)-IF($H275=L$3,$J275,0)</f>
        <v/>
      </c>
      <c r="M275" s="47">
        <f>IF($E275=M$3,$G275,0)-IF($H275=M$3,$J275,0)</f>
        <v/>
      </c>
      <c r="N275" s="47">
        <f>IF($E275=N$3,$G275,0)-IF($H275=N$3,$J275,0)</f>
        <v/>
      </c>
      <c r="O275" s="47">
        <f>IF($E275=O$3,$G275,0)-IF($H275=O$3,$J275,0)</f>
        <v/>
      </c>
      <c r="P275" s="47">
        <f>IF($E275=P$3,$G275,0)-IF($H275=P$3,$J275,0)</f>
        <v/>
      </c>
      <c r="Q275" s="47">
        <f>IF($E275=Q$3,$G275,0)-IF($H275=Q$3,$J275,0)</f>
        <v/>
      </c>
      <c r="R275" s="47">
        <f>IF($E275=R$3,$G275,0)-IF($H275=R$3,$J275,0)</f>
        <v/>
      </c>
      <c r="S275" s="47">
        <f>IF($E275=S$3,$G275,0)-IF($H275=S$3,$J275,0)</f>
        <v/>
      </c>
      <c r="T275" s="47">
        <f>IF($E275=T$3,$G275,0)-IF($H275=T$3,$J275,0)</f>
        <v/>
      </c>
      <c r="U275" s="47">
        <f>IF($E275=U$3,$G275,0)-IF($H275=U$3,$J275,0)</f>
        <v/>
      </c>
      <c r="V275" s="47">
        <f>IF($E275=V$3,$G275,0)-IF($H275=V$3,$J275,0)</f>
        <v/>
      </c>
      <c r="W275" s="47">
        <f>IF($E275=W$3,$G275,0)-IF($H275=W$3,$J275,0)</f>
        <v/>
      </c>
      <c r="X275" s="47">
        <f>IF($E275=X$3,$G275,0)-IF($H275=X$3,$J275,0)</f>
        <v/>
      </c>
      <c r="Y275" s="47">
        <f>IF($E275=Y$3,$G275,0)-IF($H275=Y$3,$J275,0)</f>
        <v/>
      </c>
      <c r="Z275" s="47">
        <f>IF($E275=Z$3,$G275,0)-IF($H275=Z$3,$J275,0)</f>
        <v/>
      </c>
      <c r="AA275" s="47">
        <f>IF($E275=AA$3,$G275,0)-IF($H275=AA$3,$J275,0)</f>
        <v/>
      </c>
      <c r="AB275" s="47">
        <f>IF($E275=AB$3,$G275,0)-IF($H275=AB$3,$J275,0)</f>
        <v/>
      </c>
      <c r="AC275" s="47">
        <f>IF($E275=AC$3,$G275,0)-IF($H275=AC$3,$J275,0)</f>
        <v/>
      </c>
      <c r="AD275" s="47">
        <f>IF($E275=AD$3,$G275,0)-IF($H275=AD$3,$J275,0)</f>
        <v/>
      </c>
      <c r="AE275" s="47">
        <f>IF($E275=AE$3,$G275,0)-IF($H275=AE$3,$J275,0)</f>
        <v/>
      </c>
      <c r="AF275" s="47">
        <f>IF($E275=AF$3,$G275,0)-IF($H275=AF$3,$J275,0)</f>
        <v/>
      </c>
      <c r="AG275" s="47">
        <f>IF($E275=AG$3,$G275,0)-IF($H275=AG$3,$J275,0)</f>
        <v/>
      </c>
      <c r="AH275" s="47">
        <f>IF($E275=AH$3,$G275,0)-IF($H275=AH$3,$J275,0)</f>
        <v/>
      </c>
      <c r="AI275" s="47">
        <f>IF($E275=AI$3,$G275,0)-IF($H275=AI$3,$J275,0)</f>
        <v/>
      </c>
      <c r="AJ275" s="47">
        <f>IF($E275=AJ$3,$G275,0)-IF($H275=AJ$3,$J275,0)</f>
        <v/>
      </c>
      <c r="AK275" s="47">
        <f>IF($E275=AK$3,$G275,0)-IF($H275=AK$3,$J275,0)</f>
        <v/>
      </c>
      <c r="AL275" s="48">
        <f>IF($E275=AL$3,$G275,0)-IF($H275=AL$3,$J275,0)</f>
        <v/>
      </c>
      <c r="AM275" s="46">
        <f>-IF($E275=AM$3,$G275,0)+IF($H275=AM$3,$J275,0)</f>
        <v/>
      </c>
      <c r="AN275" s="47">
        <f>-IF($E275=AN$3,$G275,0)+IF($H275=AN$3,$J275,0)</f>
        <v/>
      </c>
      <c r="AO275" s="48">
        <f>-IF($E275=AO$3,$G275,0)+IF($H275=AO$3,$J275,0)</f>
        <v/>
      </c>
      <c r="AP275" s="46">
        <f>IF($E275=AP$3,$G275,0)-IF($H275=AP$3,$J275,0)</f>
        <v/>
      </c>
      <c r="AQ275" s="47">
        <f>IF($E275=AQ$3,$G275,0)-IF($H275=AQ$3,$J275,0)</f>
        <v/>
      </c>
      <c r="AR275" s="47">
        <f>IF($E275=AR$3,$G275,0)-IF($H275=AR$3,$J275,0)</f>
        <v/>
      </c>
      <c r="AS275" s="47">
        <f>IF($E275=AS$3,$G275,0)-IF($H275=AS$3,$J275,0)</f>
        <v/>
      </c>
      <c r="AT275" s="47">
        <f>IF($E275=AT$3,$G275,0)-IF($H275=AT$3,$J275,0)</f>
        <v/>
      </c>
      <c r="AU275" s="47">
        <f>IF($E275=AU$3,$G275,0)-IF($H275=AU$3,$J275,0)</f>
        <v/>
      </c>
      <c r="AV275" s="47">
        <f>IF($E275=AV$3,$G275,0)-IF($H275=AV$3,$J275,0)</f>
        <v/>
      </c>
      <c r="AW275" s="47">
        <f>IF($E275=AW$3,$G275,0)-IF($H275=AW$3,$J275,0)</f>
        <v/>
      </c>
      <c r="AX275" s="47">
        <f>IF($E275=AX$3,$G275,0)-IF($H275=AX$3,$J275,0)</f>
        <v/>
      </c>
      <c r="AY275" s="47">
        <f>IF($E275=AY$3,$G275,0)-IF($H275=AY$3,$J275,0)</f>
        <v/>
      </c>
      <c r="AZ275" s="47">
        <f>IF($E275=AZ$3,$G275,0)-IF($H275=AZ$3,$J275,0)</f>
        <v/>
      </c>
      <c r="BA275" s="47">
        <f>IF($E275=BA$3,$G275,0)-IF($H275=BA$3,$J275,0)</f>
        <v/>
      </c>
      <c r="BB275" s="47">
        <f>IF($E275=BB$3,$G275,0)-IF($H275=BB$3,$J275,0)</f>
        <v/>
      </c>
      <c r="BC275" s="47">
        <f>IF($E275=BC$3,$G275,0)-IF($H275=BC$3,$J275,0)</f>
        <v/>
      </c>
      <c r="BD275" s="47">
        <f>IF($E275=BD$3,$G275,0)-IF($H275=BD$3,$J275,0)</f>
        <v/>
      </c>
      <c r="BE275" s="47">
        <f>IF($E275=BE$3,$G275,0)-IF($H275=BE$3,$J275,0)</f>
        <v/>
      </c>
      <c r="BF275" s="47">
        <f>IF($E275=BF$3,$G275,0)-IF($H275=BF$3,$J275,0)</f>
        <v/>
      </c>
      <c r="BG275" s="47">
        <f>IF($E275=BG$3,$G275,0)-IF($H275=BG$3,$J275,0)</f>
        <v/>
      </c>
      <c r="BH275" s="47">
        <f>IF($E275=BH$3,$G275,0)-IF($H275=BH$3,$J275,0)</f>
        <v/>
      </c>
      <c r="BI275" s="47">
        <f>IF($E275=BI$3,$G275,0)-IF($H275=BI$3,$J275,0)</f>
        <v/>
      </c>
      <c r="BJ275" s="47">
        <f>IF($E275=BJ$3,$G275,0)-IF($H275=BJ$3,$J275,0)</f>
        <v/>
      </c>
      <c r="BK275" s="47">
        <f>IF($E275=BK$3,$G275,0)-IF($H275=BK$3,$J275,0)</f>
        <v/>
      </c>
      <c r="BL275" s="46">
        <f>-IF($E275=BL$3,$G275,0)+IF($H275=BL$3,$J275,0)</f>
        <v/>
      </c>
      <c r="BM275" s="47">
        <f>-IF($E275=BM$3,$G275,0)+IF($H275=BM$3,$J275,0)</f>
        <v/>
      </c>
      <c r="BN275" s="47">
        <f>-IF($E275=BN$3,$G275,0)+IF($H275=BN$3,$J275,0)</f>
        <v/>
      </c>
      <c r="BO275" s="47">
        <f>-IF($E275=BO$3,$G275,0)+IF($H275=BO$3,$J275,0)</f>
        <v/>
      </c>
      <c r="BP275" s="47">
        <f>-IF($E275=BP$3,$G275,0)+IF($H275=BP$3,$J275,0)</f>
        <v/>
      </c>
      <c r="BQ275" s="47">
        <f>-IF($E275=BQ$3,$G275,0)+IF($H275=BQ$3,$J275,0)</f>
        <v/>
      </c>
      <c r="BR275" s="47">
        <f>-IF($E275=BR$3,$G275,0)+IF($H275=BR$3,$J275,0)</f>
        <v/>
      </c>
      <c r="BS275" s="47">
        <f>-IF($E275=BS$3,$G275,0)+IF($H275=BS$3,$J275,0)</f>
        <v/>
      </c>
      <c r="BT275" s="47">
        <f>-IF($E275=BT$3,$G275,0)+IF($H275=BT$3,$J275,0)</f>
        <v/>
      </c>
      <c r="BU275" s="46">
        <f>+G275-J275</f>
        <v/>
      </c>
      <c r="BV275" s="48">
        <f>-IF($E275=BV$3,$G275,0)+IF($H275=BV$3,$J275,0)</f>
        <v/>
      </c>
      <c r="BW275" s="3" t="n"/>
    </row>
    <row r="276" ht="15.75" customHeight="1" s="214">
      <c r="A276" s="7" t="n"/>
      <c r="B276" s="8" t="n"/>
      <c r="C276" s="9" t="n"/>
      <c r="D276" s="10" t="n"/>
      <c r="E276" s="247" t="n"/>
      <c r="F276" s="11">
        <f>IF(E276="","",IF(ISNA(VLOOKUP(E276,科目コード表!$C$4:$D$67,2,FALSE)),"該当科目なし",VLOOKUP(E276,科目コード表!$C$4:$D$67,2,FALSE)))</f>
        <v/>
      </c>
      <c r="G276" s="38" t="n"/>
      <c r="H276" s="248" t="n"/>
      <c r="I276" s="11">
        <f>IF(H276="","",IF(ISNA(VLOOKUP(H276,科目コード表!$C$4:$D$67,2,FALSE)),"該当科目なし",VLOOKUP(H276,科目コード表!$C$4:$D$67,2,FALSE)))</f>
        <v/>
      </c>
      <c r="J276" s="40" t="n"/>
      <c r="L276" s="46">
        <f>IF($E276=L$3,$G276,0)-IF($H276=L$3,$J276,0)</f>
        <v/>
      </c>
      <c r="M276" s="47">
        <f>IF($E276=M$3,$G276,0)-IF($H276=M$3,$J276,0)</f>
        <v/>
      </c>
      <c r="N276" s="47">
        <f>IF($E276=N$3,$G276,0)-IF($H276=N$3,$J276,0)</f>
        <v/>
      </c>
      <c r="O276" s="47">
        <f>IF($E276=O$3,$G276,0)-IF($H276=O$3,$J276,0)</f>
        <v/>
      </c>
      <c r="P276" s="47">
        <f>IF($E276=P$3,$G276,0)-IF($H276=P$3,$J276,0)</f>
        <v/>
      </c>
      <c r="Q276" s="47">
        <f>IF($E276=Q$3,$G276,0)-IF($H276=Q$3,$J276,0)</f>
        <v/>
      </c>
      <c r="R276" s="47">
        <f>IF($E276=R$3,$G276,0)-IF($H276=R$3,$J276,0)</f>
        <v/>
      </c>
      <c r="S276" s="47">
        <f>IF($E276=S$3,$G276,0)-IF($H276=S$3,$J276,0)</f>
        <v/>
      </c>
      <c r="T276" s="47">
        <f>IF($E276=T$3,$G276,0)-IF($H276=T$3,$J276,0)</f>
        <v/>
      </c>
      <c r="U276" s="47">
        <f>IF($E276=U$3,$G276,0)-IF($H276=U$3,$J276,0)</f>
        <v/>
      </c>
      <c r="V276" s="47">
        <f>IF($E276=V$3,$G276,0)-IF($H276=V$3,$J276,0)</f>
        <v/>
      </c>
      <c r="W276" s="47">
        <f>IF($E276=W$3,$G276,0)-IF($H276=W$3,$J276,0)</f>
        <v/>
      </c>
      <c r="X276" s="47">
        <f>IF($E276=X$3,$G276,0)-IF($H276=X$3,$J276,0)</f>
        <v/>
      </c>
      <c r="Y276" s="47">
        <f>IF($E276=Y$3,$G276,0)-IF($H276=Y$3,$J276,0)</f>
        <v/>
      </c>
      <c r="Z276" s="47">
        <f>IF($E276=Z$3,$G276,0)-IF($H276=Z$3,$J276,0)</f>
        <v/>
      </c>
      <c r="AA276" s="47">
        <f>IF($E276=AA$3,$G276,0)-IF($H276=AA$3,$J276,0)</f>
        <v/>
      </c>
      <c r="AB276" s="47">
        <f>IF($E276=AB$3,$G276,0)-IF($H276=AB$3,$J276,0)</f>
        <v/>
      </c>
      <c r="AC276" s="47">
        <f>IF($E276=AC$3,$G276,0)-IF($H276=AC$3,$J276,0)</f>
        <v/>
      </c>
      <c r="AD276" s="47">
        <f>IF($E276=AD$3,$G276,0)-IF($H276=AD$3,$J276,0)</f>
        <v/>
      </c>
      <c r="AE276" s="47">
        <f>IF($E276=AE$3,$G276,0)-IF($H276=AE$3,$J276,0)</f>
        <v/>
      </c>
      <c r="AF276" s="47">
        <f>IF($E276=AF$3,$G276,0)-IF($H276=AF$3,$J276,0)</f>
        <v/>
      </c>
      <c r="AG276" s="47">
        <f>IF($E276=AG$3,$G276,0)-IF($H276=AG$3,$J276,0)</f>
        <v/>
      </c>
      <c r="AH276" s="47">
        <f>IF($E276=AH$3,$G276,0)-IF($H276=AH$3,$J276,0)</f>
        <v/>
      </c>
      <c r="AI276" s="47">
        <f>IF($E276=AI$3,$G276,0)-IF($H276=AI$3,$J276,0)</f>
        <v/>
      </c>
      <c r="AJ276" s="47">
        <f>IF($E276=AJ$3,$G276,0)-IF($H276=AJ$3,$J276,0)</f>
        <v/>
      </c>
      <c r="AK276" s="47">
        <f>IF($E276=AK$3,$G276,0)-IF($H276=AK$3,$J276,0)</f>
        <v/>
      </c>
      <c r="AL276" s="48">
        <f>IF($E276=AL$3,$G276,0)-IF($H276=AL$3,$J276,0)</f>
        <v/>
      </c>
      <c r="AM276" s="46">
        <f>-IF($E276=AM$3,$G276,0)+IF($H276=AM$3,$J276,0)</f>
        <v/>
      </c>
      <c r="AN276" s="47">
        <f>-IF($E276=AN$3,$G276,0)+IF($H276=AN$3,$J276,0)</f>
        <v/>
      </c>
      <c r="AO276" s="48">
        <f>-IF($E276=AO$3,$G276,0)+IF($H276=AO$3,$J276,0)</f>
        <v/>
      </c>
      <c r="AP276" s="46">
        <f>IF($E276=AP$3,$G276,0)-IF($H276=AP$3,$J276,0)</f>
        <v/>
      </c>
      <c r="AQ276" s="47">
        <f>IF($E276=AQ$3,$G276,0)-IF($H276=AQ$3,$J276,0)</f>
        <v/>
      </c>
      <c r="AR276" s="47">
        <f>IF($E276=AR$3,$G276,0)-IF($H276=AR$3,$J276,0)</f>
        <v/>
      </c>
      <c r="AS276" s="47">
        <f>IF($E276=AS$3,$G276,0)-IF($H276=AS$3,$J276,0)</f>
        <v/>
      </c>
      <c r="AT276" s="47">
        <f>IF($E276=AT$3,$G276,0)-IF($H276=AT$3,$J276,0)</f>
        <v/>
      </c>
      <c r="AU276" s="47">
        <f>IF($E276=AU$3,$G276,0)-IF($H276=AU$3,$J276,0)</f>
        <v/>
      </c>
      <c r="AV276" s="47">
        <f>IF($E276=AV$3,$G276,0)-IF($H276=AV$3,$J276,0)</f>
        <v/>
      </c>
      <c r="AW276" s="47">
        <f>IF($E276=AW$3,$G276,0)-IF($H276=AW$3,$J276,0)</f>
        <v/>
      </c>
      <c r="AX276" s="47">
        <f>IF($E276=AX$3,$G276,0)-IF($H276=AX$3,$J276,0)</f>
        <v/>
      </c>
      <c r="AY276" s="47">
        <f>IF($E276=AY$3,$G276,0)-IF($H276=AY$3,$J276,0)</f>
        <v/>
      </c>
      <c r="AZ276" s="47">
        <f>IF($E276=AZ$3,$G276,0)-IF($H276=AZ$3,$J276,0)</f>
        <v/>
      </c>
      <c r="BA276" s="47">
        <f>IF($E276=BA$3,$G276,0)-IF($H276=BA$3,$J276,0)</f>
        <v/>
      </c>
      <c r="BB276" s="47">
        <f>IF($E276=BB$3,$G276,0)-IF($H276=BB$3,$J276,0)</f>
        <v/>
      </c>
      <c r="BC276" s="47">
        <f>IF($E276=BC$3,$G276,0)-IF($H276=BC$3,$J276,0)</f>
        <v/>
      </c>
      <c r="BD276" s="47">
        <f>IF($E276=BD$3,$G276,0)-IF($H276=BD$3,$J276,0)</f>
        <v/>
      </c>
      <c r="BE276" s="47">
        <f>IF($E276=BE$3,$G276,0)-IF($H276=BE$3,$J276,0)</f>
        <v/>
      </c>
      <c r="BF276" s="47">
        <f>IF($E276=BF$3,$G276,0)-IF($H276=BF$3,$J276,0)</f>
        <v/>
      </c>
      <c r="BG276" s="47">
        <f>IF($E276=BG$3,$G276,0)-IF($H276=BG$3,$J276,0)</f>
        <v/>
      </c>
      <c r="BH276" s="47">
        <f>IF($E276=BH$3,$G276,0)-IF($H276=BH$3,$J276,0)</f>
        <v/>
      </c>
      <c r="BI276" s="47">
        <f>IF($E276=BI$3,$G276,0)-IF($H276=BI$3,$J276,0)</f>
        <v/>
      </c>
      <c r="BJ276" s="47">
        <f>IF($E276=BJ$3,$G276,0)-IF($H276=BJ$3,$J276,0)</f>
        <v/>
      </c>
      <c r="BK276" s="47">
        <f>IF($E276=BK$3,$G276,0)-IF($H276=BK$3,$J276,0)</f>
        <v/>
      </c>
      <c r="BL276" s="46">
        <f>-IF($E276=BL$3,$G276,0)+IF($H276=BL$3,$J276,0)</f>
        <v/>
      </c>
      <c r="BM276" s="47">
        <f>-IF($E276=BM$3,$G276,0)+IF($H276=BM$3,$J276,0)</f>
        <v/>
      </c>
      <c r="BN276" s="47">
        <f>-IF($E276=BN$3,$G276,0)+IF($H276=BN$3,$J276,0)</f>
        <v/>
      </c>
      <c r="BO276" s="47">
        <f>-IF($E276=BO$3,$G276,0)+IF($H276=BO$3,$J276,0)</f>
        <v/>
      </c>
      <c r="BP276" s="47">
        <f>-IF($E276=BP$3,$G276,0)+IF($H276=BP$3,$J276,0)</f>
        <v/>
      </c>
      <c r="BQ276" s="47">
        <f>-IF($E276=BQ$3,$G276,0)+IF($H276=BQ$3,$J276,0)</f>
        <v/>
      </c>
      <c r="BR276" s="47">
        <f>-IF($E276=BR$3,$G276,0)+IF($H276=BR$3,$J276,0)</f>
        <v/>
      </c>
      <c r="BS276" s="47">
        <f>-IF($E276=BS$3,$G276,0)+IF($H276=BS$3,$J276,0)</f>
        <v/>
      </c>
      <c r="BT276" s="47">
        <f>-IF($E276=BT$3,$G276,0)+IF($H276=BT$3,$J276,0)</f>
        <v/>
      </c>
      <c r="BU276" s="46">
        <f>+G276-J276</f>
        <v/>
      </c>
      <c r="BV276" s="48">
        <f>-IF($E276=BV$3,$G276,0)+IF($H276=BV$3,$J276,0)</f>
        <v/>
      </c>
      <c r="BW276" s="3" t="n"/>
    </row>
    <row r="277" ht="15.75" customHeight="1" s="214">
      <c r="A277" s="7" t="n"/>
      <c r="B277" s="8" t="n"/>
      <c r="C277" s="9" t="n"/>
      <c r="D277" s="10" t="n"/>
      <c r="E277" s="247" t="n"/>
      <c r="F277" s="11">
        <f>IF(E277="","",IF(ISNA(VLOOKUP(E277,科目コード表!$C$4:$D$67,2,FALSE)),"該当科目なし",VLOOKUP(E277,科目コード表!$C$4:$D$67,2,FALSE)))</f>
        <v/>
      </c>
      <c r="G277" s="38" t="n"/>
      <c r="H277" s="248" t="n"/>
      <c r="I277" s="11">
        <f>IF(H277="","",IF(ISNA(VLOOKUP(H277,科目コード表!$C$4:$D$67,2,FALSE)),"該当科目なし",VLOOKUP(H277,科目コード表!$C$4:$D$67,2,FALSE)))</f>
        <v/>
      </c>
      <c r="J277" s="40" t="n"/>
      <c r="L277" s="46">
        <f>IF($E277=L$3,$G277,0)-IF($H277=L$3,$J277,0)</f>
        <v/>
      </c>
      <c r="M277" s="47">
        <f>IF($E277=M$3,$G277,0)-IF($H277=M$3,$J277,0)</f>
        <v/>
      </c>
      <c r="N277" s="47">
        <f>IF($E277=N$3,$G277,0)-IF($H277=N$3,$J277,0)</f>
        <v/>
      </c>
      <c r="O277" s="47">
        <f>IF($E277=O$3,$G277,0)-IF($H277=O$3,$J277,0)</f>
        <v/>
      </c>
      <c r="P277" s="47">
        <f>IF($E277=P$3,$G277,0)-IF($H277=P$3,$J277,0)</f>
        <v/>
      </c>
      <c r="Q277" s="47">
        <f>IF($E277=Q$3,$G277,0)-IF($H277=Q$3,$J277,0)</f>
        <v/>
      </c>
      <c r="R277" s="47">
        <f>IF($E277=R$3,$G277,0)-IF($H277=R$3,$J277,0)</f>
        <v/>
      </c>
      <c r="S277" s="47">
        <f>IF($E277=S$3,$G277,0)-IF($H277=S$3,$J277,0)</f>
        <v/>
      </c>
      <c r="T277" s="47">
        <f>IF($E277=T$3,$G277,0)-IF($H277=T$3,$J277,0)</f>
        <v/>
      </c>
      <c r="U277" s="47">
        <f>IF($E277=U$3,$G277,0)-IF($H277=U$3,$J277,0)</f>
        <v/>
      </c>
      <c r="V277" s="47">
        <f>IF($E277=V$3,$G277,0)-IF($H277=V$3,$J277,0)</f>
        <v/>
      </c>
      <c r="W277" s="47">
        <f>IF($E277=W$3,$G277,0)-IF($H277=W$3,$J277,0)</f>
        <v/>
      </c>
      <c r="X277" s="47">
        <f>IF($E277=X$3,$G277,0)-IF($H277=X$3,$J277,0)</f>
        <v/>
      </c>
      <c r="Y277" s="47">
        <f>IF($E277=Y$3,$G277,0)-IF($H277=Y$3,$J277,0)</f>
        <v/>
      </c>
      <c r="Z277" s="47">
        <f>IF($E277=Z$3,$G277,0)-IF($H277=Z$3,$J277,0)</f>
        <v/>
      </c>
      <c r="AA277" s="47">
        <f>IF($E277=AA$3,$G277,0)-IF($H277=AA$3,$J277,0)</f>
        <v/>
      </c>
      <c r="AB277" s="47">
        <f>IF($E277=AB$3,$G277,0)-IF($H277=AB$3,$J277,0)</f>
        <v/>
      </c>
      <c r="AC277" s="47">
        <f>IF($E277=AC$3,$G277,0)-IF($H277=AC$3,$J277,0)</f>
        <v/>
      </c>
      <c r="AD277" s="47">
        <f>IF($E277=AD$3,$G277,0)-IF($H277=AD$3,$J277,0)</f>
        <v/>
      </c>
      <c r="AE277" s="47">
        <f>IF($E277=AE$3,$G277,0)-IF($H277=AE$3,$J277,0)</f>
        <v/>
      </c>
      <c r="AF277" s="47">
        <f>IF($E277=AF$3,$G277,0)-IF($H277=AF$3,$J277,0)</f>
        <v/>
      </c>
      <c r="AG277" s="47">
        <f>IF($E277=AG$3,$G277,0)-IF($H277=AG$3,$J277,0)</f>
        <v/>
      </c>
      <c r="AH277" s="47">
        <f>IF($E277=AH$3,$G277,0)-IF($H277=AH$3,$J277,0)</f>
        <v/>
      </c>
      <c r="AI277" s="47">
        <f>IF($E277=AI$3,$G277,0)-IF($H277=AI$3,$J277,0)</f>
        <v/>
      </c>
      <c r="AJ277" s="47">
        <f>IF($E277=AJ$3,$G277,0)-IF($H277=AJ$3,$J277,0)</f>
        <v/>
      </c>
      <c r="AK277" s="47">
        <f>IF($E277=AK$3,$G277,0)-IF($H277=AK$3,$J277,0)</f>
        <v/>
      </c>
      <c r="AL277" s="48">
        <f>IF($E277=AL$3,$G277,0)-IF($H277=AL$3,$J277,0)</f>
        <v/>
      </c>
      <c r="AM277" s="46">
        <f>-IF($E277=AM$3,$G277,0)+IF($H277=AM$3,$J277,0)</f>
        <v/>
      </c>
      <c r="AN277" s="47">
        <f>-IF($E277=AN$3,$G277,0)+IF($H277=AN$3,$J277,0)</f>
        <v/>
      </c>
      <c r="AO277" s="48">
        <f>-IF($E277=AO$3,$G277,0)+IF($H277=AO$3,$J277,0)</f>
        <v/>
      </c>
      <c r="AP277" s="46">
        <f>IF($E277=AP$3,$G277,0)-IF($H277=AP$3,$J277,0)</f>
        <v/>
      </c>
      <c r="AQ277" s="47">
        <f>IF($E277=AQ$3,$G277,0)-IF($H277=AQ$3,$J277,0)</f>
        <v/>
      </c>
      <c r="AR277" s="47">
        <f>IF($E277=AR$3,$G277,0)-IF($H277=AR$3,$J277,0)</f>
        <v/>
      </c>
      <c r="AS277" s="47">
        <f>IF($E277=AS$3,$G277,0)-IF($H277=AS$3,$J277,0)</f>
        <v/>
      </c>
      <c r="AT277" s="47">
        <f>IF($E277=AT$3,$G277,0)-IF($H277=AT$3,$J277,0)</f>
        <v/>
      </c>
      <c r="AU277" s="47">
        <f>IF($E277=AU$3,$G277,0)-IF($H277=AU$3,$J277,0)</f>
        <v/>
      </c>
      <c r="AV277" s="47">
        <f>IF($E277=AV$3,$G277,0)-IF($H277=AV$3,$J277,0)</f>
        <v/>
      </c>
      <c r="AW277" s="47">
        <f>IF($E277=AW$3,$G277,0)-IF($H277=AW$3,$J277,0)</f>
        <v/>
      </c>
      <c r="AX277" s="47">
        <f>IF($E277=AX$3,$G277,0)-IF($H277=AX$3,$J277,0)</f>
        <v/>
      </c>
      <c r="AY277" s="47">
        <f>IF($E277=AY$3,$G277,0)-IF($H277=AY$3,$J277,0)</f>
        <v/>
      </c>
      <c r="AZ277" s="47">
        <f>IF($E277=AZ$3,$G277,0)-IF($H277=AZ$3,$J277,0)</f>
        <v/>
      </c>
      <c r="BA277" s="47">
        <f>IF($E277=BA$3,$G277,0)-IF($H277=BA$3,$J277,0)</f>
        <v/>
      </c>
      <c r="BB277" s="47">
        <f>IF($E277=BB$3,$G277,0)-IF($H277=BB$3,$J277,0)</f>
        <v/>
      </c>
      <c r="BC277" s="47">
        <f>IF($E277=BC$3,$G277,0)-IF($H277=BC$3,$J277,0)</f>
        <v/>
      </c>
      <c r="BD277" s="47">
        <f>IF($E277=BD$3,$G277,0)-IF($H277=BD$3,$J277,0)</f>
        <v/>
      </c>
      <c r="BE277" s="47">
        <f>IF($E277=BE$3,$G277,0)-IF($H277=BE$3,$J277,0)</f>
        <v/>
      </c>
      <c r="BF277" s="47">
        <f>IF($E277=BF$3,$G277,0)-IF($H277=BF$3,$J277,0)</f>
        <v/>
      </c>
      <c r="BG277" s="47">
        <f>IF($E277=BG$3,$G277,0)-IF($H277=BG$3,$J277,0)</f>
        <v/>
      </c>
      <c r="BH277" s="47">
        <f>IF($E277=BH$3,$G277,0)-IF($H277=BH$3,$J277,0)</f>
        <v/>
      </c>
      <c r="BI277" s="47">
        <f>IF($E277=BI$3,$G277,0)-IF($H277=BI$3,$J277,0)</f>
        <v/>
      </c>
      <c r="BJ277" s="47">
        <f>IF($E277=BJ$3,$G277,0)-IF($H277=BJ$3,$J277,0)</f>
        <v/>
      </c>
      <c r="BK277" s="47">
        <f>IF($E277=BK$3,$G277,0)-IF($H277=BK$3,$J277,0)</f>
        <v/>
      </c>
      <c r="BL277" s="46">
        <f>-IF($E277=BL$3,$G277,0)+IF($H277=BL$3,$J277,0)</f>
        <v/>
      </c>
      <c r="BM277" s="47">
        <f>-IF($E277=BM$3,$G277,0)+IF($H277=BM$3,$J277,0)</f>
        <v/>
      </c>
      <c r="BN277" s="47">
        <f>-IF($E277=BN$3,$G277,0)+IF($H277=BN$3,$J277,0)</f>
        <v/>
      </c>
      <c r="BO277" s="47">
        <f>-IF($E277=BO$3,$G277,0)+IF($H277=BO$3,$J277,0)</f>
        <v/>
      </c>
      <c r="BP277" s="47">
        <f>-IF($E277=BP$3,$G277,0)+IF($H277=BP$3,$J277,0)</f>
        <v/>
      </c>
      <c r="BQ277" s="47">
        <f>-IF($E277=BQ$3,$G277,0)+IF($H277=BQ$3,$J277,0)</f>
        <v/>
      </c>
      <c r="BR277" s="47">
        <f>-IF($E277=BR$3,$G277,0)+IF($H277=BR$3,$J277,0)</f>
        <v/>
      </c>
      <c r="BS277" s="47">
        <f>-IF($E277=BS$3,$G277,0)+IF($H277=BS$3,$J277,0)</f>
        <v/>
      </c>
      <c r="BT277" s="47">
        <f>-IF($E277=BT$3,$G277,0)+IF($H277=BT$3,$J277,0)</f>
        <v/>
      </c>
      <c r="BU277" s="46">
        <f>+G277-J277</f>
        <v/>
      </c>
      <c r="BV277" s="48">
        <f>-IF($E277=BV$3,$G277,0)+IF($H277=BV$3,$J277,0)</f>
        <v/>
      </c>
      <c r="BW277" s="3" t="n"/>
    </row>
    <row r="278" ht="15.75" customHeight="1" s="214">
      <c r="A278" s="7" t="n"/>
      <c r="B278" s="8" t="n"/>
      <c r="C278" s="9" t="n"/>
      <c r="D278" s="10" t="n"/>
      <c r="E278" s="247" t="n"/>
      <c r="F278" s="11">
        <f>IF(E278="","",IF(ISNA(VLOOKUP(E278,科目コード表!$C$4:$D$67,2,FALSE)),"該当科目なし",VLOOKUP(E278,科目コード表!$C$4:$D$67,2,FALSE)))</f>
        <v/>
      </c>
      <c r="G278" s="38" t="n"/>
      <c r="H278" s="248" t="n"/>
      <c r="I278" s="11">
        <f>IF(H278="","",IF(ISNA(VLOOKUP(H278,科目コード表!$C$4:$D$67,2,FALSE)),"該当科目なし",VLOOKUP(H278,科目コード表!$C$4:$D$67,2,FALSE)))</f>
        <v/>
      </c>
      <c r="J278" s="40" t="n"/>
      <c r="L278" s="46">
        <f>IF($E278=L$3,$G278,0)-IF($H278=L$3,$J278,0)</f>
        <v/>
      </c>
      <c r="M278" s="47">
        <f>IF($E278=M$3,$G278,0)-IF($H278=M$3,$J278,0)</f>
        <v/>
      </c>
      <c r="N278" s="47">
        <f>IF($E278=N$3,$G278,0)-IF($H278=N$3,$J278,0)</f>
        <v/>
      </c>
      <c r="O278" s="47">
        <f>IF($E278=O$3,$G278,0)-IF($H278=O$3,$J278,0)</f>
        <v/>
      </c>
      <c r="P278" s="47">
        <f>IF($E278=P$3,$G278,0)-IF($H278=P$3,$J278,0)</f>
        <v/>
      </c>
      <c r="Q278" s="47">
        <f>IF($E278=Q$3,$G278,0)-IF($H278=Q$3,$J278,0)</f>
        <v/>
      </c>
      <c r="R278" s="47">
        <f>IF($E278=R$3,$G278,0)-IF($H278=R$3,$J278,0)</f>
        <v/>
      </c>
      <c r="S278" s="47">
        <f>IF($E278=S$3,$G278,0)-IF($H278=S$3,$J278,0)</f>
        <v/>
      </c>
      <c r="T278" s="47">
        <f>IF($E278=T$3,$G278,0)-IF($H278=T$3,$J278,0)</f>
        <v/>
      </c>
      <c r="U278" s="47">
        <f>IF($E278=U$3,$G278,0)-IF($H278=U$3,$J278,0)</f>
        <v/>
      </c>
      <c r="V278" s="47">
        <f>IF($E278=V$3,$G278,0)-IF($H278=V$3,$J278,0)</f>
        <v/>
      </c>
      <c r="W278" s="47">
        <f>IF($E278=W$3,$G278,0)-IF($H278=W$3,$J278,0)</f>
        <v/>
      </c>
      <c r="X278" s="47">
        <f>IF($E278=X$3,$G278,0)-IF($H278=X$3,$J278,0)</f>
        <v/>
      </c>
      <c r="Y278" s="47">
        <f>IF($E278=Y$3,$G278,0)-IF($H278=Y$3,$J278,0)</f>
        <v/>
      </c>
      <c r="Z278" s="47">
        <f>IF($E278=Z$3,$G278,0)-IF($H278=Z$3,$J278,0)</f>
        <v/>
      </c>
      <c r="AA278" s="47">
        <f>IF($E278=AA$3,$G278,0)-IF($H278=AA$3,$J278,0)</f>
        <v/>
      </c>
      <c r="AB278" s="47">
        <f>IF($E278=AB$3,$G278,0)-IF($H278=AB$3,$J278,0)</f>
        <v/>
      </c>
      <c r="AC278" s="47">
        <f>IF($E278=AC$3,$G278,0)-IF($H278=AC$3,$J278,0)</f>
        <v/>
      </c>
      <c r="AD278" s="47">
        <f>IF($E278=AD$3,$G278,0)-IF($H278=AD$3,$J278,0)</f>
        <v/>
      </c>
      <c r="AE278" s="47">
        <f>IF($E278=AE$3,$G278,0)-IF($H278=AE$3,$J278,0)</f>
        <v/>
      </c>
      <c r="AF278" s="47">
        <f>IF($E278=AF$3,$G278,0)-IF($H278=AF$3,$J278,0)</f>
        <v/>
      </c>
      <c r="AG278" s="47">
        <f>IF($E278=AG$3,$G278,0)-IF($H278=AG$3,$J278,0)</f>
        <v/>
      </c>
      <c r="AH278" s="47">
        <f>IF($E278=AH$3,$G278,0)-IF($H278=AH$3,$J278,0)</f>
        <v/>
      </c>
      <c r="AI278" s="47">
        <f>IF($E278=AI$3,$G278,0)-IF($H278=AI$3,$J278,0)</f>
        <v/>
      </c>
      <c r="AJ278" s="47">
        <f>IF($E278=AJ$3,$G278,0)-IF($H278=AJ$3,$J278,0)</f>
        <v/>
      </c>
      <c r="AK278" s="47">
        <f>IF($E278=AK$3,$G278,0)-IF($H278=AK$3,$J278,0)</f>
        <v/>
      </c>
      <c r="AL278" s="48">
        <f>IF($E278=AL$3,$G278,0)-IF($H278=AL$3,$J278,0)</f>
        <v/>
      </c>
      <c r="AM278" s="46">
        <f>-IF($E278=AM$3,$G278,0)+IF($H278=AM$3,$J278,0)</f>
        <v/>
      </c>
      <c r="AN278" s="47">
        <f>-IF($E278=AN$3,$G278,0)+IF($H278=AN$3,$J278,0)</f>
        <v/>
      </c>
      <c r="AO278" s="48">
        <f>-IF($E278=AO$3,$G278,0)+IF($H278=AO$3,$J278,0)</f>
        <v/>
      </c>
      <c r="AP278" s="46">
        <f>IF($E278=AP$3,$G278,0)-IF($H278=AP$3,$J278,0)</f>
        <v/>
      </c>
      <c r="AQ278" s="47">
        <f>IF($E278=AQ$3,$G278,0)-IF($H278=AQ$3,$J278,0)</f>
        <v/>
      </c>
      <c r="AR278" s="47">
        <f>IF($E278=AR$3,$G278,0)-IF($H278=AR$3,$J278,0)</f>
        <v/>
      </c>
      <c r="AS278" s="47">
        <f>IF($E278=AS$3,$G278,0)-IF($H278=AS$3,$J278,0)</f>
        <v/>
      </c>
      <c r="AT278" s="47">
        <f>IF($E278=AT$3,$G278,0)-IF($H278=AT$3,$J278,0)</f>
        <v/>
      </c>
      <c r="AU278" s="47">
        <f>IF($E278=AU$3,$G278,0)-IF($H278=AU$3,$J278,0)</f>
        <v/>
      </c>
      <c r="AV278" s="47">
        <f>IF($E278=AV$3,$G278,0)-IF($H278=AV$3,$J278,0)</f>
        <v/>
      </c>
      <c r="AW278" s="47">
        <f>IF($E278=AW$3,$G278,0)-IF($H278=AW$3,$J278,0)</f>
        <v/>
      </c>
      <c r="AX278" s="47">
        <f>IF($E278=AX$3,$G278,0)-IF($H278=AX$3,$J278,0)</f>
        <v/>
      </c>
      <c r="AY278" s="47">
        <f>IF($E278=AY$3,$G278,0)-IF($H278=AY$3,$J278,0)</f>
        <v/>
      </c>
      <c r="AZ278" s="47">
        <f>IF($E278=AZ$3,$G278,0)-IF($H278=AZ$3,$J278,0)</f>
        <v/>
      </c>
      <c r="BA278" s="47">
        <f>IF($E278=BA$3,$G278,0)-IF($H278=BA$3,$J278,0)</f>
        <v/>
      </c>
      <c r="BB278" s="47">
        <f>IF($E278=BB$3,$G278,0)-IF($H278=BB$3,$J278,0)</f>
        <v/>
      </c>
      <c r="BC278" s="47">
        <f>IF($E278=BC$3,$G278,0)-IF($H278=BC$3,$J278,0)</f>
        <v/>
      </c>
      <c r="BD278" s="47">
        <f>IF($E278=BD$3,$G278,0)-IF($H278=BD$3,$J278,0)</f>
        <v/>
      </c>
      <c r="BE278" s="47">
        <f>IF($E278=BE$3,$G278,0)-IF($H278=BE$3,$J278,0)</f>
        <v/>
      </c>
      <c r="BF278" s="47">
        <f>IF($E278=BF$3,$G278,0)-IF($H278=BF$3,$J278,0)</f>
        <v/>
      </c>
      <c r="BG278" s="47">
        <f>IF($E278=BG$3,$G278,0)-IF($H278=BG$3,$J278,0)</f>
        <v/>
      </c>
      <c r="BH278" s="47">
        <f>IF($E278=BH$3,$G278,0)-IF($H278=BH$3,$J278,0)</f>
        <v/>
      </c>
      <c r="BI278" s="47">
        <f>IF($E278=BI$3,$G278,0)-IF($H278=BI$3,$J278,0)</f>
        <v/>
      </c>
      <c r="BJ278" s="47">
        <f>IF($E278=BJ$3,$G278,0)-IF($H278=BJ$3,$J278,0)</f>
        <v/>
      </c>
      <c r="BK278" s="47">
        <f>IF($E278=BK$3,$G278,0)-IF($H278=BK$3,$J278,0)</f>
        <v/>
      </c>
      <c r="BL278" s="46">
        <f>-IF($E278=BL$3,$G278,0)+IF($H278=BL$3,$J278,0)</f>
        <v/>
      </c>
      <c r="BM278" s="47">
        <f>-IF($E278=BM$3,$G278,0)+IF($H278=BM$3,$J278,0)</f>
        <v/>
      </c>
      <c r="BN278" s="47">
        <f>-IF($E278=BN$3,$G278,0)+IF($H278=BN$3,$J278,0)</f>
        <v/>
      </c>
      <c r="BO278" s="47">
        <f>-IF($E278=BO$3,$G278,0)+IF($H278=BO$3,$J278,0)</f>
        <v/>
      </c>
      <c r="BP278" s="47">
        <f>-IF($E278=BP$3,$G278,0)+IF($H278=BP$3,$J278,0)</f>
        <v/>
      </c>
      <c r="BQ278" s="47">
        <f>-IF($E278=BQ$3,$G278,0)+IF($H278=BQ$3,$J278,0)</f>
        <v/>
      </c>
      <c r="BR278" s="47">
        <f>-IF($E278=BR$3,$G278,0)+IF($H278=BR$3,$J278,0)</f>
        <v/>
      </c>
      <c r="BS278" s="47">
        <f>-IF($E278=BS$3,$G278,0)+IF($H278=BS$3,$J278,0)</f>
        <v/>
      </c>
      <c r="BT278" s="47">
        <f>-IF($E278=BT$3,$G278,0)+IF($H278=BT$3,$J278,0)</f>
        <v/>
      </c>
      <c r="BU278" s="46">
        <f>+G278-J278</f>
        <v/>
      </c>
      <c r="BV278" s="48">
        <f>-IF($E278=BV$3,$G278,0)+IF($H278=BV$3,$J278,0)</f>
        <v/>
      </c>
      <c r="BW278" s="3" t="n"/>
    </row>
    <row r="279" ht="15.75" customHeight="1" s="214">
      <c r="A279" s="7" t="n"/>
      <c r="B279" s="8" t="n"/>
      <c r="C279" s="9" t="n"/>
      <c r="D279" s="10" t="n"/>
      <c r="E279" s="247" t="n"/>
      <c r="F279" s="11">
        <f>IF(E279="","",IF(ISNA(VLOOKUP(E279,科目コード表!$C$4:$D$67,2,FALSE)),"該当科目なし",VLOOKUP(E279,科目コード表!$C$4:$D$67,2,FALSE)))</f>
        <v/>
      </c>
      <c r="G279" s="38" t="n"/>
      <c r="H279" s="248" t="n"/>
      <c r="I279" s="11">
        <f>IF(H279="","",IF(ISNA(VLOOKUP(H279,科目コード表!$C$4:$D$67,2,FALSE)),"該当科目なし",VLOOKUP(H279,科目コード表!$C$4:$D$67,2,FALSE)))</f>
        <v/>
      </c>
      <c r="J279" s="40" t="n"/>
      <c r="L279" s="46">
        <f>IF($E279=L$3,$G279,0)-IF($H279=L$3,$J279,0)</f>
        <v/>
      </c>
      <c r="M279" s="47">
        <f>IF($E279=M$3,$G279,0)-IF($H279=M$3,$J279,0)</f>
        <v/>
      </c>
      <c r="N279" s="47">
        <f>IF($E279=N$3,$G279,0)-IF($H279=N$3,$J279,0)</f>
        <v/>
      </c>
      <c r="O279" s="47">
        <f>IF($E279=O$3,$G279,0)-IF($H279=O$3,$J279,0)</f>
        <v/>
      </c>
      <c r="P279" s="47">
        <f>IF($E279=P$3,$G279,0)-IF($H279=P$3,$J279,0)</f>
        <v/>
      </c>
      <c r="Q279" s="47">
        <f>IF($E279=Q$3,$G279,0)-IF($H279=Q$3,$J279,0)</f>
        <v/>
      </c>
      <c r="R279" s="47">
        <f>IF($E279=R$3,$G279,0)-IF($H279=R$3,$J279,0)</f>
        <v/>
      </c>
      <c r="S279" s="47">
        <f>IF($E279=S$3,$G279,0)-IF($H279=S$3,$J279,0)</f>
        <v/>
      </c>
      <c r="T279" s="47">
        <f>IF($E279=T$3,$G279,0)-IF($H279=T$3,$J279,0)</f>
        <v/>
      </c>
      <c r="U279" s="47">
        <f>IF($E279=U$3,$G279,0)-IF($H279=U$3,$J279,0)</f>
        <v/>
      </c>
      <c r="V279" s="47">
        <f>IF($E279=V$3,$G279,0)-IF($H279=V$3,$J279,0)</f>
        <v/>
      </c>
      <c r="W279" s="47">
        <f>IF($E279=W$3,$G279,0)-IF($H279=W$3,$J279,0)</f>
        <v/>
      </c>
      <c r="X279" s="47">
        <f>IF($E279=X$3,$G279,0)-IF($H279=X$3,$J279,0)</f>
        <v/>
      </c>
      <c r="Y279" s="47">
        <f>IF($E279=Y$3,$G279,0)-IF($H279=Y$3,$J279,0)</f>
        <v/>
      </c>
      <c r="Z279" s="47">
        <f>IF($E279=Z$3,$G279,0)-IF($H279=Z$3,$J279,0)</f>
        <v/>
      </c>
      <c r="AA279" s="47">
        <f>IF($E279=AA$3,$G279,0)-IF($H279=AA$3,$J279,0)</f>
        <v/>
      </c>
      <c r="AB279" s="47">
        <f>IF($E279=AB$3,$G279,0)-IF($H279=AB$3,$J279,0)</f>
        <v/>
      </c>
      <c r="AC279" s="47">
        <f>IF($E279=AC$3,$G279,0)-IF($H279=AC$3,$J279,0)</f>
        <v/>
      </c>
      <c r="AD279" s="47">
        <f>IF($E279=AD$3,$G279,0)-IF($H279=AD$3,$J279,0)</f>
        <v/>
      </c>
      <c r="AE279" s="47">
        <f>IF($E279=AE$3,$G279,0)-IF($H279=AE$3,$J279,0)</f>
        <v/>
      </c>
      <c r="AF279" s="47">
        <f>IF($E279=AF$3,$G279,0)-IF($H279=AF$3,$J279,0)</f>
        <v/>
      </c>
      <c r="AG279" s="47">
        <f>IF($E279=AG$3,$G279,0)-IF($H279=AG$3,$J279,0)</f>
        <v/>
      </c>
      <c r="AH279" s="47">
        <f>IF($E279=AH$3,$G279,0)-IF($H279=AH$3,$J279,0)</f>
        <v/>
      </c>
      <c r="AI279" s="47">
        <f>IF($E279=AI$3,$G279,0)-IF($H279=AI$3,$J279,0)</f>
        <v/>
      </c>
      <c r="AJ279" s="47">
        <f>IF($E279=AJ$3,$G279,0)-IF($H279=AJ$3,$J279,0)</f>
        <v/>
      </c>
      <c r="AK279" s="47">
        <f>IF($E279=AK$3,$G279,0)-IF($H279=AK$3,$J279,0)</f>
        <v/>
      </c>
      <c r="AL279" s="48">
        <f>IF($E279=AL$3,$G279,0)-IF($H279=AL$3,$J279,0)</f>
        <v/>
      </c>
      <c r="AM279" s="46">
        <f>-IF($E279=AM$3,$G279,0)+IF($H279=AM$3,$J279,0)</f>
        <v/>
      </c>
      <c r="AN279" s="47">
        <f>-IF($E279=AN$3,$G279,0)+IF($H279=AN$3,$J279,0)</f>
        <v/>
      </c>
      <c r="AO279" s="48">
        <f>-IF($E279=AO$3,$G279,0)+IF($H279=AO$3,$J279,0)</f>
        <v/>
      </c>
      <c r="AP279" s="46">
        <f>IF($E279=AP$3,$G279,0)-IF($H279=AP$3,$J279,0)</f>
        <v/>
      </c>
      <c r="AQ279" s="47">
        <f>IF($E279=AQ$3,$G279,0)-IF($H279=AQ$3,$J279,0)</f>
        <v/>
      </c>
      <c r="AR279" s="47">
        <f>IF($E279=AR$3,$G279,0)-IF($H279=AR$3,$J279,0)</f>
        <v/>
      </c>
      <c r="AS279" s="47">
        <f>IF($E279=AS$3,$G279,0)-IF($H279=AS$3,$J279,0)</f>
        <v/>
      </c>
      <c r="AT279" s="47">
        <f>IF($E279=AT$3,$G279,0)-IF($H279=AT$3,$J279,0)</f>
        <v/>
      </c>
      <c r="AU279" s="47">
        <f>IF($E279=AU$3,$G279,0)-IF($H279=AU$3,$J279,0)</f>
        <v/>
      </c>
      <c r="AV279" s="47">
        <f>IF($E279=AV$3,$G279,0)-IF($H279=AV$3,$J279,0)</f>
        <v/>
      </c>
      <c r="AW279" s="47">
        <f>IF($E279=AW$3,$G279,0)-IF($H279=AW$3,$J279,0)</f>
        <v/>
      </c>
      <c r="AX279" s="47">
        <f>IF($E279=AX$3,$G279,0)-IF($H279=AX$3,$J279,0)</f>
        <v/>
      </c>
      <c r="AY279" s="47">
        <f>IF($E279=AY$3,$G279,0)-IF($H279=AY$3,$J279,0)</f>
        <v/>
      </c>
      <c r="AZ279" s="47">
        <f>IF($E279=AZ$3,$G279,0)-IF($H279=AZ$3,$J279,0)</f>
        <v/>
      </c>
      <c r="BA279" s="47">
        <f>IF($E279=BA$3,$G279,0)-IF($H279=BA$3,$J279,0)</f>
        <v/>
      </c>
      <c r="BB279" s="47">
        <f>IF($E279=BB$3,$G279,0)-IF($H279=BB$3,$J279,0)</f>
        <v/>
      </c>
      <c r="BC279" s="47">
        <f>IF($E279=BC$3,$G279,0)-IF($H279=BC$3,$J279,0)</f>
        <v/>
      </c>
      <c r="BD279" s="47">
        <f>IF($E279=BD$3,$G279,0)-IF($H279=BD$3,$J279,0)</f>
        <v/>
      </c>
      <c r="BE279" s="47">
        <f>IF($E279=BE$3,$G279,0)-IF($H279=BE$3,$J279,0)</f>
        <v/>
      </c>
      <c r="BF279" s="47">
        <f>IF($E279=BF$3,$G279,0)-IF($H279=BF$3,$J279,0)</f>
        <v/>
      </c>
      <c r="BG279" s="47">
        <f>IF($E279=BG$3,$G279,0)-IF($H279=BG$3,$J279,0)</f>
        <v/>
      </c>
      <c r="BH279" s="47">
        <f>IF($E279=BH$3,$G279,0)-IF($H279=BH$3,$J279,0)</f>
        <v/>
      </c>
      <c r="BI279" s="47">
        <f>IF($E279=BI$3,$G279,0)-IF($H279=BI$3,$J279,0)</f>
        <v/>
      </c>
      <c r="BJ279" s="47">
        <f>IF($E279=BJ$3,$G279,0)-IF($H279=BJ$3,$J279,0)</f>
        <v/>
      </c>
      <c r="BK279" s="47">
        <f>IF($E279=BK$3,$G279,0)-IF($H279=BK$3,$J279,0)</f>
        <v/>
      </c>
      <c r="BL279" s="46">
        <f>-IF($E279=BL$3,$G279,0)+IF($H279=BL$3,$J279,0)</f>
        <v/>
      </c>
      <c r="BM279" s="47">
        <f>-IF($E279=BM$3,$G279,0)+IF($H279=BM$3,$J279,0)</f>
        <v/>
      </c>
      <c r="BN279" s="47">
        <f>-IF($E279=BN$3,$G279,0)+IF($H279=BN$3,$J279,0)</f>
        <v/>
      </c>
      <c r="BO279" s="47">
        <f>-IF($E279=BO$3,$G279,0)+IF($H279=BO$3,$J279,0)</f>
        <v/>
      </c>
      <c r="BP279" s="47">
        <f>-IF($E279=BP$3,$G279,0)+IF($H279=BP$3,$J279,0)</f>
        <v/>
      </c>
      <c r="BQ279" s="47">
        <f>-IF($E279=BQ$3,$G279,0)+IF($H279=BQ$3,$J279,0)</f>
        <v/>
      </c>
      <c r="BR279" s="47">
        <f>-IF($E279=BR$3,$G279,0)+IF($H279=BR$3,$J279,0)</f>
        <v/>
      </c>
      <c r="BS279" s="47">
        <f>-IF($E279=BS$3,$G279,0)+IF($H279=BS$3,$J279,0)</f>
        <v/>
      </c>
      <c r="BT279" s="47">
        <f>-IF($E279=BT$3,$G279,0)+IF($H279=BT$3,$J279,0)</f>
        <v/>
      </c>
      <c r="BU279" s="46">
        <f>+G279-J279</f>
        <v/>
      </c>
      <c r="BV279" s="48">
        <f>-IF($E279=BV$3,$G279,0)+IF($H279=BV$3,$J279,0)</f>
        <v/>
      </c>
      <c r="BW279" s="3" t="n"/>
    </row>
    <row r="280" ht="15.75" customHeight="1" s="214">
      <c r="A280" s="7" t="n"/>
      <c r="B280" s="8" t="n"/>
      <c r="C280" s="9" t="n"/>
      <c r="D280" s="10" t="n"/>
      <c r="E280" s="247" t="n"/>
      <c r="F280" s="11">
        <f>IF(E280="","",IF(ISNA(VLOOKUP(E280,科目コード表!$C$4:$D$67,2,FALSE)),"該当科目なし",VLOOKUP(E280,科目コード表!$C$4:$D$67,2,FALSE)))</f>
        <v/>
      </c>
      <c r="G280" s="38" t="n"/>
      <c r="H280" s="248" t="n"/>
      <c r="I280" s="11">
        <f>IF(H280="","",IF(ISNA(VLOOKUP(H280,科目コード表!$C$4:$D$67,2,FALSE)),"該当科目なし",VLOOKUP(H280,科目コード表!$C$4:$D$67,2,FALSE)))</f>
        <v/>
      </c>
      <c r="J280" s="40" t="n"/>
      <c r="L280" s="46">
        <f>IF($E280=L$3,$G280,0)-IF($H280=L$3,$J280,0)</f>
        <v/>
      </c>
      <c r="M280" s="47">
        <f>IF($E280=M$3,$G280,0)-IF($H280=M$3,$J280,0)</f>
        <v/>
      </c>
      <c r="N280" s="47">
        <f>IF($E280=N$3,$G280,0)-IF($H280=N$3,$J280,0)</f>
        <v/>
      </c>
      <c r="O280" s="47">
        <f>IF($E280=O$3,$G280,0)-IF($H280=O$3,$J280,0)</f>
        <v/>
      </c>
      <c r="P280" s="47">
        <f>IF($E280=P$3,$G280,0)-IF($H280=P$3,$J280,0)</f>
        <v/>
      </c>
      <c r="Q280" s="47">
        <f>IF($E280=Q$3,$G280,0)-IF($H280=Q$3,$J280,0)</f>
        <v/>
      </c>
      <c r="R280" s="47">
        <f>IF($E280=R$3,$G280,0)-IF($H280=R$3,$J280,0)</f>
        <v/>
      </c>
      <c r="S280" s="47">
        <f>IF($E280=S$3,$G280,0)-IF($H280=S$3,$J280,0)</f>
        <v/>
      </c>
      <c r="T280" s="47">
        <f>IF($E280=T$3,$G280,0)-IF($H280=T$3,$J280,0)</f>
        <v/>
      </c>
      <c r="U280" s="47">
        <f>IF($E280=U$3,$G280,0)-IF($H280=U$3,$J280,0)</f>
        <v/>
      </c>
      <c r="V280" s="47">
        <f>IF($E280=V$3,$G280,0)-IF($H280=V$3,$J280,0)</f>
        <v/>
      </c>
      <c r="W280" s="47">
        <f>IF($E280=W$3,$G280,0)-IF($H280=W$3,$J280,0)</f>
        <v/>
      </c>
      <c r="X280" s="47">
        <f>IF($E280=X$3,$G280,0)-IF($H280=X$3,$J280,0)</f>
        <v/>
      </c>
      <c r="Y280" s="47">
        <f>IF($E280=Y$3,$G280,0)-IF($H280=Y$3,$J280,0)</f>
        <v/>
      </c>
      <c r="Z280" s="47">
        <f>IF($E280=Z$3,$G280,0)-IF($H280=Z$3,$J280,0)</f>
        <v/>
      </c>
      <c r="AA280" s="47">
        <f>IF($E280=AA$3,$G280,0)-IF($H280=AA$3,$J280,0)</f>
        <v/>
      </c>
      <c r="AB280" s="47">
        <f>IF($E280=AB$3,$G280,0)-IF($H280=AB$3,$J280,0)</f>
        <v/>
      </c>
      <c r="AC280" s="47">
        <f>IF($E280=AC$3,$G280,0)-IF($H280=AC$3,$J280,0)</f>
        <v/>
      </c>
      <c r="AD280" s="47">
        <f>IF($E280=AD$3,$G280,0)-IF($H280=AD$3,$J280,0)</f>
        <v/>
      </c>
      <c r="AE280" s="47">
        <f>IF($E280=AE$3,$G280,0)-IF($H280=AE$3,$J280,0)</f>
        <v/>
      </c>
      <c r="AF280" s="47">
        <f>IF($E280=AF$3,$G280,0)-IF($H280=AF$3,$J280,0)</f>
        <v/>
      </c>
      <c r="AG280" s="47">
        <f>IF($E280=AG$3,$G280,0)-IF($H280=AG$3,$J280,0)</f>
        <v/>
      </c>
      <c r="AH280" s="47">
        <f>IF($E280=AH$3,$G280,0)-IF($H280=AH$3,$J280,0)</f>
        <v/>
      </c>
      <c r="AI280" s="47">
        <f>IF($E280=AI$3,$G280,0)-IF($H280=AI$3,$J280,0)</f>
        <v/>
      </c>
      <c r="AJ280" s="47">
        <f>IF($E280=AJ$3,$G280,0)-IF($H280=AJ$3,$J280,0)</f>
        <v/>
      </c>
      <c r="AK280" s="47">
        <f>IF($E280=AK$3,$G280,0)-IF($H280=AK$3,$J280,0)</f>
        <v/>
      </c>
      <c r="AL280" s="48">
        <f>IF($E280=AL$3,$G280,0)-IF($H280=AL$3,$J280,0)</f>
        <v/>
      </c>
      <c r="AM280" s="46">
        <f>-IF($E280=AM$3,$G280,0)+IF($H280=AM$3,$J280,0)</f>
        <v/>
      </c>
      <c r="AN280" s="47">
        <f>-IF($E280=AN$3,$G280,0)+IF($H280=AN$3,$J280,0)</f>
        <v/>
      </c>
      <c r="AO280" s="48">
        <f>-IF($E280=AO$3,$G280,0)+IF($H280=AO$3,$J280,0)</f>
        <v/>
      </c>
      <c r="AP280" s="46">
        <f>IF($E280=AP$3,$G280,0)-IF($H280=AP$3,$J280,0)</f>
        <v/>
      </c>
      <c r="AQ280" s="47">
        <f>IF($E280=AQ$3,$G280,0)-IF($H280=AQ$3,$J280,0)</f>
        <v/>
      </c>
      <c r="AR280" s="47">
        <f>IF($E280=AR$3,$G280,0)-IF($H280=AR$3,$J280,0)</f>
        <v/>
      </c>
      <c r="AS280" s="47">
        <f>IF($E280=AS$3,$G280,0)-IF($H280=AS$3,$J280,0)</f>
        <v/>
      </c>
      <c r="AT280" s="47">
        <f>IF($E280=AT$3,$G280,0)-IF($H280=AT$3,$J280,0)</f>
        <v/>
      </c>
      <c r="AU280" s="47">
        <f>IF($E280=AU$3,$G280,0)-IF($H280=AU$3,$J280,0)</f>
        <v/>
      </c>
      <c r="AV280" s="47">
        <f>IF($E280=AV$3,$G280,0)-IF($H280=AV$3,$J280,0)</f>
        <v/>
      </c>
      <c r="AW280" s="47">
        <f>IF($E280=AW$3,$G280,0)-IF($H280=AW$3,$J280,0)</f>
        <v/>
      </c>
      <c r="AX280" s="47">
        <f>IF($E280=AX$3,$G280,0)-IF($H280=AX$3,$J280,0)</f>
        <v/>
      </c>
      <c r="AY280" s="47">
        <f>IF($E280=AY$3,$G280,0)-IF($H280=AY$3,$J280,0)</f>
        <v/>
      </c>
      <c r="AZ280" s="47">
        <f>IF($E280=AZ$3,$G280,0)-IF($H280=AZ$3,$J280,0)</f>
        <v/>
      </c>
      <c r="BA280" s="47">
        <f>IF($E280=BA$3,$G280,0)-IF($H280=BA$3,$J280,0)</f>
        <v/>
      </c>
      <c r="BB280" s="47">
        <f>IF($E280=BB$3,$G280,0)-IF($H280=BB$3,$J280,0)</f>
        <v/>
      </c>
      <c r="BC280" s="47">
        <f>IF($E280=BC$3,$G280,0)-IF($H280=BC$3,$J280,0)</f>
        <v/>
      </c>
      <c r="BD280" s="47">
        <f>IF($E280=BD$3,$G280,0)-IF($H280=BD$3,$J280,0)</f>
        <v/>
      </c>
      <c r="BE280" s="47">
        <f>IF($E280=BE$3,$G280,0)-IF($H280=BE$3,$J280,0)</f>
        <v/>
      </c>
      <c r="BF280" s="47">
        <f>IF($E280=BF$3,$G280,0)-IF($H280=BF$3,$J280,0)</f>
        <v/>
      </c>
      <c r="BG280" s="47">
        <f>IF($E280=BG$3,$G280,0)-IF($H280=BG$3,$J280,0)</f>
        <v/>
      </c>
      <c r="BH280" s="47">
        <f>IF($E280=BH$3,$G280,0)-IF($H280=BH$3,$J280,0)</f>
        <v/>
      </c>
      <c r="BI280" s="47">
        <f>IF($E280=BI$3,$G280,0)-IF($H280=BI$3,$J280,0)</f>
        <v/>
      </c>
      <c r="BJ280" s="47">
        <f>IF($E280=BJ$3,$G280,0)-IF($H280=BJ$3,$J280,0)</f>
        <v/>
      </c>
      <c r="BK280" s="47">
        <f>IF($E280=BK$3,$G280,0)-IF($H280=BK$3,$J280,0)</f>
        <v/>
      </c>
      <c r="BL280" s="46">
        <f>-IF($E280=BL$3,$G280,0)+IF($H280=BL$3,$J280,0)</f>
        <v/>
      </c>
      <c r="BM280" s="47">
        <f>-IF($E280=BM$3,$G280,0)+IF($H280=BM$3,$J280,0)</f>
        <v/>
      </c>
      <c r="BN280" s="47">
        <f>-IF($E280=BN$3,$G280,0)+IF($H280=BN$3,$J280,0)</f>
        <v/>
      </c>
      <c r="BO280" s="47">
        <f>-IF($E280=BO$3,$G280,0)+IF($H280=BO$3,$J280,0)</f>
        <v/>
      </c>
      <c r="BP280" s="47">
        <f>-IF($E280=BP$3,$G280,0)+IF($H280=BP$3,$J280,0)</f>
        <v/>
      </c>
      <c r="BQ280" s="47">
        <f>-IF($E280=BQ$3,$G280,0)+IF($H280=BQ$3,$J280,0)</f>
        <v/>
      </c>
      <c r="BR280" s="47">
        <f>-IF($E280=BR$3,$G280,0)+IF($H280=BR$3,$J280,0)</f>
        <v/>
      </c>
      <c r="BS280" s="47">
        <f>-IF($E280=BS$3,$G280,0)+IF($H280=BS$3,$J280,0)</f>
        <v/>
      </c>
      <c r="BT280" s="47">
        <f>-IF($E280=BT$3,$G280,0)+IF($H280=BT$3,$J280,0)</f>
        <v/>
      </c>
      <c r="BU280" s="46">
        <f>+G280-J280</f>
        <v/>
      </c>
      <c r="BV280" s="48">
        <f>-IF($E280=BV$3,$G280,0)+IF($H280=BV$3,$J280,0)</f>
        <v/>
      </c>
      <c r="BW280" s="3" t="n"/>
    </row>
    <row r="281" ht="15.75" customHeight="1" s="214">
      <c r="A281" s="7" t="n"/>
      <c r="B281" s="8" t="n"/>
      <c r="C281" s="9" t="n"/>
      <c r="D281" s="10" t="n"/>
      <c r="E281" s="247" t="n"/>
      <c r="F281" s="11">
        <f>IF(E281="","",IF(ISNA(VLOOKUP(E281,科目コード表!$C$4:$D$67,2,FALSE)),"該当科目なし",VLOOKUP(E281,科目コード表!$C$4:$D$67,2,FALSE)))</f>
        <v/>
      </c>
      <c r="G281" s="38" t="n"/>
      <c r="H281" s="248" t="n"/>
      <c r="I281" s="11">
        <f>IF(H281="","",IF(ISNA(VLOOKUP(H281,科目コード表!$C$4:$D$67,2,FALSE)),"該当科目なし",VLOOKUP(H281,科目コード表!$C$4:$D$67,2,FALSE)))</f>
        <v/>
      </c>
      <c r="J281" s="40" t="n"/>
      <c r="L281" s="46">
        <f>IF($E281=L$3,$G281,0)-IF($H281=L$3,$J281,0)</f>
        <v/>
      </c>
      <c r="M281" s="47">
        <f>IF($E281=M$3,$G281,0)-IF($H281=M$3,$J281,0)</f>
        <v/>
      </c>
      <c r="N281" s="47">
        <f>IF($E281=N$3,$G281,0)-IF($H281=N$3,$J281,0)</f>
        <v/>
      </c>
      <c r="O281" s="47">
        <f>IF($E281=O$3,$G281,0)-IF($H281=O$3,$J281,0)</f>
        <v/>
      </c>
      <c r="P281" s="47">
        <f>IF($E281=P$3,$G281,0)-IF($H281=P$3,$J281,0)</f>
        <v/>
      </c>
      <c r="Q281" s="47">
        <f>IF($E281=Q$3,$G281,0)-IF($H281=Q$3,$J281,0)</f>
        <v/>
      </c>
      <c r="R281" s="47">
        <f>IF($E281=R$3,$G281,0)-IF($H281=R$3,$J281,0)</f>
        <v/>
      </c>
      <c r="S281" s="47">
        <f>IF($E281=S$3,$G281,0)-IF($H281=S$3,$J281,0)</f>
        <v/>
      </c>
      <c r="T281" s="47">
        <f>IF($E281=T$3,$G281,0)-IF($H281=T$3,$J281,0)</f>
        <v/>
      </c>
      <c r="U281" s="47">
        <f>IF($E281=U$3,$G281,0)-IF($H281=U$3,$J281,0)</f>
        <v/>
      </c>
      <c r="V281" s="47">
        <f>IF($E281=V$3,$G281,0)-IF($H281=V$3,$J281,0)</f>
        <v/>
      </c>
      <c r="W281" s="47">
        <f>IF($E281=W$3,$G281,0)-IF($H281=W$3,$J281,0)</f>
        <v/>
      </c>
      <c r="X281" s="47">
        <f>IF($E281=X$3,$G281,0)-IF($H281=X$3,$J281,0)</f>
        <v/>
      </c>
      <c r="Y281" s="47">
        <f>IF($E281=Y$3,$G281,0)-IF($H281=Y$3,$J281,0)</f>
        <v/>
      </c>
      <c r="Z281" s="47">
        <f>IF($E281=Z$3,$G281,0)-IF($H281=Z$3,$J281,0)</f>
        <v/>
      </c>
      <c r="AA281" s="47">
        <f>IF($E281=AA$3,$G281,0)-IF($H281=AA$3,$J281,0)</f>
        <v/>
      </c>
      <c r="AB281" s="47">
        <f>IF($E281=AB$3,$G281,0)-IF($H281=AB$3,$J281,0)</f>
        <v/>
      </c>
      <c r="AC281" s="47">
        <f>IF($E281=AC$3,$G281,0)-IF($H281=AC$3,$J281,0)</f>
        <v/>
      </c>
      <c r="AD281" s="47">
        <f>IF($E281=AD$3,$G281,0)-IF($H281=AD$3,$J281,0)</f>
        <v/>
      </c>
      <c r="AE281" s="47">
        <f>IF($E281=AE$3,$G281,0)-IF($H281=AE$3,$J281,0)</f>
        <v/>
      </c>
      <c r="AF281" s="47">
        <f>IF($E281=AF$3,$G281,0)-IF($H281=AF$3,$J281,0)</f>
        <v/>
      </c>
      <c r="AG281" s="47">
        <f>IF($E281=AG$3,$G281,0)-IF($H281=AG$3,$J281,0)</f>
        <v/>
      </c>
      <c r="AH281" s="47">
        <f>IF($E281=AH$3,$G281,0)-IF($H281=AH$3,$J281,0)</f>
        <v/>
      </c>
      <c r="AI281" s="47">
        <f>IF($E281=AI$3,$G281,0)-IF($H281=AI$3,$J281,0)</f>
        <v/>
      </c>
      <c r="AJ281" s="47">
        <f>IF($E281=AJ$3,$G281,0)-IF($H281=AJ$3,$J281,0)</f>
        <v/>
      </c>
      <c r="AK281" s="47">
        <f>IF($E281=AK$3,$G281,0)-IF($H281=AK$3,$J281,0)</f>
        <v/>
      </c>
      <c r="AL281" s="48">
        <f>IF($E281=AL$3,$G281,0)-IF($H281=AL$3,$J281,0)</f>
        <v/>
      </c>
      <c r="AM281" s="46">
        <f>-IF($E281=AM$3,$G281,0)+IF($H281=AM$3,$J281,0)</f>
        <v/>
      </c>
      <c r="AN281" s="47">
        <f>-IF($E281=AN$3,$G281,0)+IF($H281=AN$3,$J281,0)</f>
        <v/>
      </c>
      <c r="AO281" s="48">
        <f>-IF($E281=AO$3,$G281,0)+IF($H281=AO$3,$J281,0)</f>
        <v/>
      </c>
      <c r="AP281" s="46">
        <f>IF($E281=AP$3,$G281,0)-IF($H281=AP$3,$J281,0)</f>
        <v/>
      </c>
      <c r="AQ281" s="47">
        <f>IF($E281=AQ$3,$G281,0)-IF($H281=AQ$3,$J281,0)</f>
        <v/>
      </c>
      <c r="AR281" s="47">
        <f>IF($E281=AR$3,$G281,0)-IF($H281=AR$3,$J281,0)</f>
        <v/>
      </c>
      <c r="AS281" s="47">
        <f>IF($E281=AS$3,$G281,0)-IF($H281=AS$3,$J281,0)</f>
        <v/>
      </c>
      <c r="AT281" s="47">
        <f>IF($E281=AT$3,$G281,0)-IF($H281=AT$3,$J281,0)</f>
        <v/>
      </c>
      <c r="AU281" s="47">
        <f>IF($E281=AU$3,$G281,0)-IF($H281=AU$3,$J281,0)</f>
        <v/>
      </c>
      <c r="AV281" s="47">
        <f>IF($E281=AV$3,$G281,0)-IF($H281=AV$3,$J281,0)</f>
        <v/>
      </c>
      <c r="AW281" s="47">
        <f>IF($E281=AW$3,$G281,0)-IF($H281=AW$3,$J281,0)</f>
        <v/>
      </c>
      <c r="AX281" s="47">
        <f>IF($E281=AX$3,$G281,0)-IF($H281=AX$3,$J281,0)</f>
        <v/>
      </c>
      <c r="AY281" s="47">
        <f>IF($E281=AY$3,$G281,0)-IF($H281=AY$3,$J281,0)</f>
        <v/>
      </c>
      <c r="AZ281" s="47">
        <f>IF($E281=AZ$3,$G281,0)-IF($H281=AZ$3,$J281,0)</f>
        <v/>
      </c>
      <c r="BA281" s="47">
        <f>IF($E281=BA$3,$G281,0)-IF($H281=BA$3,$J281,0)</f>
        <v/>
      </c>
      <c r="BB281" s="47">
        <f>IF($E281=BB$3,$G281,0)-IF($H281=BB$3,$J281,0)</f>
        <v/>
      </c>
      <c r="BC281" s="47">
        <f>IF($E281=BC$3,$G281,0)-IF($H281=BC$3,$J281,0)</f>
        <v/>
      </c>
      <c r="BD281" s="47">
        <f>IF($E281=BD$3,$G281,0)-IF($H281=BD$3,$J281,0)</f>
        <v/>
      </c>
      <c r="BE281" s="47">
        <f>IF($E281=BE$3,$G281,0)-IF($H281=BE$3,$J281,0)</f>
        <v/>
      </c>
      <c r="BF281" s="47">
        <f>IF($E281=BF$3,$G281,0)-IF($H281=BF$3,$J281,0)</f>
        <v/>
      </c>
      <c r="BG281" s="47">
        <f>IF($E281=BG$3,$G281,0)-IF($H281=BG$3,$J281,0)</f>
        <v/>
      </c>
      <c r="BH281" s="47">
        <f>IF($E281=BH$3,$G281,0)-IF($H281=BH$3,$J281,0)</f>
        <v/>
      </c>
      <c r="BI281" s="47">
        <f>IF($E281=BI$3,$G281,0)-IF($H281=BI$3,$J281,0)</f>
        <v/>
      </c>
      <c r="BJ281" s="47">
        <f>IF($E281=BJ$3,$G281,0)-IF($H281=BJ$3,$J281,0)</f>
        <v/>
      </c>
      <c r="BK281" s="47">
        <f>IF($E281=BK$3,$G281,0)-IF($H281=BK$3,$J281,0)</f>
        <v/>
      </c>
      <c r="BL281" s="46">
        <f>-IF($E281=BL$3,$G281,0)+IF($H281=BL$3,$J281,0)</f>
        <v/>
      </c>
      <c r="BM281" s="47">
        <f>-IF($E281=BM$3,$G281,0)+IF($H281=BM$3,$J281,0)</f>
        <v/>
      </c>
      <c r="BN281" s="47">
        <f>-IF($E281=BN$3,$G281,0)+IF($H281=BN$3,$J281,0)</f>
        <v/>
      </c>
      <c r="BO281" s="47">
        <f>-IF($E281=BO$3,$G281,0)+IF($H281=BO$3,$J281,0)</f>
        <v/>
      </c>
      <c r="BP281" s="47">
        <f>-IF($E281=BP$3,$G281,0)+IF($H281=BP$3,$J281,0)</f>
        <v/>
      </c>
      <c r="BQ281" s="47">
        <f>-IF($E281=BQ$3,$G281,0)+IF($H281=BQ$3,$J281,0)</f>
        <v/>
      </c>
      <c r="BR281" s="47">
        <f>-IF($E281=BR$3,$G281,0)+IF($H281=BR$3,$J281,0)</f>
        <v/>
      </c>
      <c r="BS281" s="47">
        <f>-IF($E281=BS$3,$G281,0)+IF($H281=BS$3,$J281,0)</f>
        <v/>
      </c>
      <c r="BT281" s="47">
        <f>-IF($E281=BT$3,$G281,0)+IF($H281=BT$3,$J281,0)</f>
        <v/>
      </c>
      <c r="BU281" s="46">
        <f>+G281-J281</f>
        <v/>
      </c>
      <c r="BV281" s="48">
        <f>-IF($E281=BV$3,$G281,0)+IF($H281=BV$3,$J281,0)</f>
        <v/>
      </c>
      <c r="BW281" s="3" t="n"/>
    </row>
    <row r="282" ht="15.75" customHeight="1" s="214">
      <c r="A282" s="7" t="n"/>
      <c r="B282" s="8" t="n"/>
      <c r="C282" s="9" t="n"/>
      <c r="D282" s="10" t="n"/>
      <c r="E282" s="247" t="n"/>
      <c r="F282" s="11">
        <f>IF(E282="","",IF(ISNA(VLOOKUP(E282,科目コード表!$C$4:$D$67,2,FALSE)),"該当科目なし",VLOOKUP(E282,科目コード表!$C$4:$D$67,2,FALSE)))</f>
        <v/>
      </c>
      <c r="G282" s="38" t="n"/>
      <c r="H282" s="248" t="n"/>
      <c r="I282" s="11">
        <f>IF(H282="","",IF(ISNA(VLOOKUP(H282,科目コード表!$C$4:$D$67,2,FALSE)),"該当科目なし",VLOOKUP(H282,科目コード表!$C$4:$D$67,2,FALSE)))</f>
        <v/>
      </c>
      <c r="J282" s="40" t="n"/>
      <c r="L282" s="46">
        <f>IF($E282=L$3,$G282,0)-IF($H282=L$3,$J282,0)</f>
        <v/>
      </c>
      <c r="M282" s="47">
        <f>IF($E282=M$3,$G282,0)-IF($H282=M$3,$J282,0)</f>
        <v/>
      </c>
      <c r="N282" s="47">
        <f>IF($E282=N$3,$G282,0)-IF($H282=N$3,$J282,0)</f>
        <v/>
      </c>
      <c r="O282" s="47">
        <f>IF($E282=O$3,$G282,0)-IF($H282=O$3,$J282,0)</f>
        <v/>
      </c>
      <c r="P282" s="47">
        <f>IF($E282=P$3,$G282,0)-IF($H282=P$3,$J282,0)</f>
        <v/>
      </c>
      <c r="Q282" s="47">
        <f>IF($E282=Q$3,$G282,0)-IF($H282=Q$3,$J282,0)</f>
        <v/>
      </c>
      <c r="R282" s="47">
        <f>IF($E282=R$3,$G282,0)-IF($H282=R$3,$J282,0)</f>
        <v/>
      </c>
      <c r="S282" s="47">
        <f>IF($E282=S$3,$G282,0)-IF($H282=S$3,$J282,0)</f>
        <v/>
      </c>
      <c r="T282" s="47">
        <f>IF($E282=T$3,$G282,0)-IF($H282=T$3,$J282,0)</f>
        <v/>
      </c>
      <c r="U282" s="47">
        <f>IF($E282=U$3,$G282,0)-IF($H282=U$3,$J282,0)</f>
        <v/>
      </c>
      <c r="V282" s="47">
        <f>IF($E282=V$3,$G282,0)-IF($H282=V$3,$J282,0)</f>
        <v/>
      </c>
      <c r="W282" s="47">
        <f>IF($E282=W$3,$G282,0)-IF($H282=W$3,$J282,0)</f>
        <v/>
      </c>
      <c r="X282" s="47">
        <f>IF($E282=X$3,$G282,0)-IF($H282=X$3,$J282,0)</f>
        <v/>
      </c>
      <c r="Y282" s="47">
        <f>IF($E282=Y$3,$G282,0)-IF($H282=Y$3,$J282,0)</f>
        <v/>
      </c>
      <c r="Z282" s="47">
        <f>IF($E282=Z$3,$G282,0)-IF($H282=Z$3,$J282,0)</f>
        <v/>
      </c>
      <c r="AA282" s="47">
        <f>IF($E282=AA$3,$G282,0)-IF($H282=AA$3,$J282,0)</f>
        <v/>
      </c>
      <c r="AB282" s="47">
        <f>IF($E282=AB$3,$G282,0)-IF($H282=AB$3,$J282,0)</f>
        <v/>
      </c>
      <c r="AC282" s="47">
        <f>IF($E282=AC$3,$G282,0)-IF($H282=AC$3,$J282,0)</f>
        <v/>
      </c>
      <c r="AD282" s="47">
        <f>IF($E282=AD$3,$G282,0)-IF($H282=AD$3,$J282,0)</f>
        <v/>
      </c>
      <c r="AE282" s="47">
        <f>IF($E282=AE$3,$G282,0)-IF($H282=AE$3,$J282,0)</f>
        <v/>
      </c>
      <c r="AF282" s="47">
        <f>IF($E282=AF$3,$G282,0)-IF($H282=AF$3,$J282,0)</f>
        <v/>
      </c>
      <c r="AG282" s="47">
        <f>IF($E282=AG$3,$G282,0)-IF($H282=AG$3,$J282,0)</f>
        <v/>
      </c>
      <c r="AH282" s="47">
        <f>IF($E282=AH$3,$G282,0)-IF($H282=AH$3,$J282,0)</f>
        <v/>
      </c>
      <c r="AI282" s="47">
        <f>IF($E282=AI$3,$G282,0)-IF($H282=AI$3,$J282,0)</f>
        <v/>
      </c>
      <c r="AJ282" s="47">
        <f>IF($E282=AJ$3,$G282,0)-IF($H282=AJ$3,$J282,0)</f>
        <v/>
      </c>
      <c r="AK282" s="47">
        <f>IF($E282=AK$3,$G282,0)-IF($H282=AK$3,$J282,0)</f>
        <v/>
      </c>
      <c r="AL282" s="48">
        <f>IF($E282=AL$3,$G282,0)-IF($H282=AL$3,$J282,0)</f>
        <v/>
      </c>
      <c r="AM282" s="46">
        <f>-IF($E282=AM$3,$G282,0)+IF($H282=AM$3,$J282,0)</f>
        <v/>
      </c>
      <c r="AN282" s="47">
        <f>-IF($E282=AN$3,$G282,0)+IF($H282=AN$3,$J282,0)</f>
        <v/>
      </c>
      <c r="AO282" s="48">
        <f>-IF($E282=AO$3,$G282,0)+IF($H282=AO$3,$J282,0)</f>
        <v/>
      </c>
      <c r="AP282" s="46">
        <f>IF($E282=AP$3,$G282,0)-IF($H282=AP$3,$J282,0)</f>
        <v/>
      </c>
      <c r="AQ282" s="47">
        <f>IF($E282=AQ$3,$G282,0)-IF($H282=AQ$3,$J282,0)</f>
        <v/>
      </c>
      <c r="AR282" s="47">
        <f>IF($E282=AR$3,$G282,0)-IF($H282=AR$3,$J282,0)</f>
        <v/>
      </c>
      <c r="AS282" s="47">
        <f>IF($E282=AS$3,$G282,0)-IF($H282=AS$3,$J282,0)</f>
        <v/>
      </c>
      <c r="AT282" s="47">
        <f>IF($E282=AT$3,$G282,0)-IF($H282=AT$3,$J282,0)</f>
        <v/>
      </c>
      <c r="AU282" s="47">
        <f>IF($E282=AU$3,$G282,0)-IF($H282=AU$3,$J282,0)</f>
        <v/>
      </c>
      <c r="AV282" s="47">
        <f>IF($E282=AV$3,$G282,0)-IF($H282=AV$3,$J282,0)</f>
        <v/>
      </c>
      <c r="AW282" s="47">
        <f>IF($E282=AW$3,$G282,0)-IF($H282=AW$3,$J282,0)</f>
        <v/>
      </c>
      <c r="AX282" s="47">
        <f>IF($E282=AX$3,$G282,0)-IF($H282=AX$3,$J282,0)</f>
        <v/>
      </c>
      <c r="AY282" s="47">
        <f>IF($E282=AY$3,$G282,0)-IF($H282=AY$3,$J282,0)</f>
        <v/>
      </c>
      <c r="AZ282" s="47">
        <f>IF($E282=AZ$3,$G282,0)-IF($H282=AZ$3,$J282,0)</f>
        <v/>
      </c>
      <c r="BA282" s="47">
        <f>IF($E282=BA$3,$G282,0)-IF($H282=BA$3,$J282,0)</f>
        <v/>
      </c>
      <c r="BB282" s="47">
        <f>IF($E282=BB$3,$G282,0)-IF($H282=BB$3,$J282,0)</f>
        <v/>
      </c>
      <c r="BC282" s="47">
        <f>IF($E282=BC$3,$G282,0)-IF($H282=BC$3,$J282,0)</f>
        <v/>
      </c>
      <c r="BD282" s="47">
        <f>IF($E282=BD$3,$G282,0)-IF($H282=BD$3,$J282,0)</f>
        <v/>
      </c>
      <c r="BE282" s="47">
        <f>IF($E282=BE$3,$G282,0)-IF($H282=BE$3,$J282,0)</f>
        <v/>
      </c>
      <c r="BF282" s="47">
        <f>IF($E282=BF$3,$G282,0)-IF($H282=BF$3,$J282,0)</f>
        <v/>
      </c>
      <c r="BG282" s="47">
        <f>IF($E282=BG$3,$G282,0)-IF($H282=BG$3,$J282,0)</f>
        <v/>
      </c>
      <c r="BH282" s="47">
        <f>IF($E282=BH$3,$G282,0)-IF($H282=BH$3,$J282,0)</f>
        <v/>
      </c>
      <c r="BI282" s="47">
        <f>IF($E282=BI$3,$G282,0)-IF($H282=BI$3,$J282,0)</f>
        <v/>
      </c>
      <c r="BJ282" s="47">
        <f>IF($E282=BJ$3,$G282,0)-IF($H282=BJ$3,$J282,0)</f>
        <v/>
      </c>
      <c r="BK282" s="47">
        <f>IF($E282=BK$3,$G282,0)-IF($H282=BK$3,$J282,0)</f>
        <v/>
      </c>
      <c r="BL282" s="46">
        <f>-IF($E282=BL$3,$G282,0)+IF($H282=BL$3,$J282,0)</f>
        <v/>
      </c>
      <c r="BM282" s="47">
        <f>-IF($E282=BM$3,$G282,0)+IF($H282=BM$3,$J282,0)</f>
        <v/>
      </c>
      <c r="BN282" s="47">
        <f>-IF($E282=BN$3,$G282,0)+IF($H282=BN$3,$J282,0)</f>
        <v/>
      </c>
      <c r="BO282" s="47">
        <f>-IF($E282=BO$3,$G282,0)+IF($H282=BO$3,$J282,0)</f>
        <v/>
      </c>
      <c r="BP282" s="47">
        <f>-IF($E282=BP$3,$G282,0)+IF($H282=BP$3,$J282,0)</f>
        <v/>
      </c>
      <c r="BQ282" s="47">
        <f>-IF($E282=BQ$3,$G282,0)+IF($H282=BQ$3,$J282,0)</f>
        <v/>
      </c>
      <c r="BR282" s="47">
        <f>-IF($E282=BR$3,$G282,0)+IF($H282=BR$3,$J282,0)</f>
        <v/>
      </c>
      <c r="BS282" s="47">
        <f>-IF($E282=BS$3,$G282,0)+IF($H282=BS$3,$J282,0)</f>
        <v/>
      </c>
      <c r="BT282" s="47">
        <f>-IF($E282=BT$3,$G282,0)+IF($H282=BT$3,$J282,0)</f>
        <v/>
      </c>
      <c r="BU282" s="46">
        <f>+G282-J282</f>
        <v/>
      </c>
      <c r="BV282" s="48">
        <f>-IF($E282=BV$3,$G282,0)+IF($H282=BV$3,$J282,0)</f>
        <v/>
      </c>
      <c r="BW282" s="3" t="n"/>
    </row>
    <row r="283" ht="15.75" customHeight="1" s="214">
      <c r="A283" s="7" t="n"/>
      <c r="B283" s="8" t="n"/>
      <c r="C283" s="9" t="n"/>
      <c r="D283" s="10" t="n"/>
      <c r="E283" s="247" t="n"/>
      <c r="F283" s="11">
        <f>IF(E283="","",IF(ISNA(VLOOKUP(E283,科目コード表!$C$4:$D$67,2,FALSE)),"該当科目なし",VLOOKUP(E283,科目コード表!$C$4:$D$67,2,FALSE)))</f>
        <v/>
      </c>
      <c r="G283" s="38" t="n"/>
      <c r="H283" s="248" t="n"/>
      <c r="I283" s="11">
        <f>IF(H283="","",IF(ISNA(VLOOKUP(H283,科目コード表!$C$4:$D$67,2,FALSE)),"該当科目なし",VLOOKUP(H283,科目コード表!$C$4:$D$67,2,FALSE)))</f>
        <v/>
      </c>
      <c r="J283" s="40" t="n"/>
      <c r="L283" s="46">
        <f>IF($E283=L$3,$G283,0)-IF($H283=L$3,$J283,0)</f>
        <v/>
      </c>
      <c r="M283" s="47">
        <f>IF($E283=M$3,$G283,0)-IF($H283=M$3,$J283,0)</f>
        <v/>
      </c>
      <c r="N283" s="47">
        <f>IF($E283=N$3,$G283,0)-IF($H283=N$3,$J283,0)</f>
        <v/>
      </c>
      <c r="O283" s="47">
        <f>IF($E283=O$3,$G283,0)-IF($H283=O$3,$J283,0)</f>
        <v/>
      </c>
      <c r="P283" s="47">
        <f>IF($E283=P$3,$G283,0)-IF($H283=P$3,$J283,0)</f>
        <v/>
      </c>
      <c r="Q283" s="47">
        <f>IF($E283=Q$3,$G283,0)-IF($H283=Q$3,$J283,0)</f>
        <v/>
      </c>
      <c r="R283" s="47">
        <f>IF($E283=R$3,$G283,0)-IF($H283=R$3,$J283,0)</f>
        <v/>
      </c>
      <c r="S283" s="47">
        <f>IF($E283=S$3,$G283,0)-IF($H283=S$3,$J283,0)</f>
        <v/>
      </c>
      <c r="T283" s="47">
        <f>IF($E283=T$3,$G283,0)-IF($H283=T$3,$J283,0)</f>
        <v/>
      </c>
      <c r="U283" s="47">
        <f>IF($E283=U$3,$G283,0)-IF($H283=U$3,$J283,0)</f>
        <v/>
      </c>
      <c r="V283" s="47">
        <f>IF($E283=V$3,$G283,0)-IF($H283=V$3,$J283,0)</f>
        <v/>
      </c>
      <c r="W283" s="47">
        <f>IF($E283=W$3,$G283,0)-IF($H283=W$3,$J283,0)</f>
        <v/>
      </c>
      <c r="X283" s="47">
        <f>IF($E283=X$3,$G283,0)-IF($H283=X$3,$J283,0)</f>
        <v/>
      </c>
      <c r="Y283" s="47">
        <f>IF($E283=Y$3,$G283,0)-IF($H283=Y$3,$J283,0)</f>
        <v/>
      </c>
      <c r="Z283" s="47">
        <f>IF($E283=Z$3,$G283,0)-IF($H283=Z$3,$J283,0)</f>
        <v/>
      </c>
      <c r="AA283" s="47">
        <f>IF($E283=AA$3,$G283,0)-IF($H283=AA$3,$J283,0)</f>
        <v/>
      </c>
      <c r="AB283" s="47">
        <f>IF($E283=AB$3,$G283,0)-IF($H283=AB$3,$J283,0)</f>
        <v/>
      </c>
      <c r="AC283" s="47">
        <f>IF($E283=AC$3,$G283,0)-IF($H283=AC$3,$J283,0)</f>
        <v/>
      </c>
      <c r="AD283" s="47">
        <f>IF($E283=AD$3,$G283,0)-IF($H283=AD$3,$J283,0)</f>
        <v/>
      </c>
      <c r="AE283" s="47">
        <f>IF($E283=AE$3,$G283,0)-IF($H283=AE$3,$J283,0)</f>
        <v/>
      </c>
      <c r="AF283" s="47">
        <f>IF($E283=AF$3,$G283,0)-IF($H283=AF$3,$J283,0)</f>
        <v/>
      </c>
      <c r="AG283" s="47">
        <f>IF($E283=AG$3,$G283,0)-IF($H283=AG$3,$J283,0)</f>
        <v/>
      </c>
      <c r="AH283" s="47">
        <f>IF($E283=AH$3,$G283,0)-IF($H283=AH$3,$J283,0)</f>
        <v/>
      </c>
      <c r="AI283" s="47">
        <f>IF($E283=AI$3,$G283,0)-IF($H283=AI$3,$J283,0)</f>
        <v/>
      </c>
      <c r="AJ283" s="47">
        <f>IF($E283=AJ$3,$G283,0)-IF($H283=AJ$3,$J283,0)</f>
        <v/>
      </c>
      <c r="AK283" s="47">
        <f>IF($E283=AK$3,$G283,0)-IF($H283=AK$3,$J283,0)</f>
        <v/>
      </c>
      <c r="AL283" s="48">
        <f>IF($E283=AL$3,$G283,0)-IF($H283=AL$3,$J283,0)</f>
        <v/>
      </c>
      <c r="AM283" s="46">
        <f>-IF($E283=AM$3,$G283,0)+IF($H283=AM$3,$J283,0)</f>
        <v/>
      </c>
      <c r="AN283" s="47">
        <f>-IF($E283=AN$3,$G283,0)+IF($H283=AN$3,$J283,0)</f>
        <v/>
      </c>
      <c r="AO283" s="48">
        <f>-IF($E283=AO$3,$G283,0)+IF($H283=AO$3,$J283,0)</f>
        <v/>
      </c>
      <c r="AP283" s="46">
        <f>IF($E283=AP$3,$G283,0)-IF($H283=AP$3,$J283,0)</f>
        <v/>
      </c>
      <c r="AQ283" s="47">
        <f>IF($E283=AQ$3,$G283,0)-IF($H283=AQ$3,$J283,0)</f>
        <v/>
      </c>
      <c r="AR283" s="47">
        <f>IF($E283=AR$3,$G283,0)-IF($H283=AR$3,$J283,0)</f>
        <v/>
      </c>
      <c r="AS283" s="47">
        <f>IF($E283=AS$3,$G283,0)-IF($H283=AS$3,$J283,0)</f>
        <v/>
      </c>
      <c r="AT283" s="47">
        <f>IF($E283=AT$3,$G283,0)-IF($H283=AT$3,$J283,0)</f>
        <v/>
      </c>
      <c r="AU283" s="47">
        <f>IF($E283=AU$3,$G283,0)-IF($H283=AU$3,$J283,0)</f>
        <v/>
      </c>
      <c r="AV283" s="47">
        <f>IF($E283=AV$3,$G283,0)-IF($H283=AV$3,$J283,0)</f>
        <v/>
      </c>
      <c r="AW283" s="47">
        <f>IF($E283=AW$3,$G283,0)-IF($H283=AW$3,$J283,0)</f>
        <v/>
      </c>
      <c r="AX283" s="47">
        <f>IF($E283=AX$3,$G283,0)-IF($H283=AX$3,$J283,0)</f>
        <v/>
      </c>
      <c r="AY283" s="47">
        <f>IF($E283=AY$3,$G283,0)-IF($H283=AY$3,$J283,0)</f>
        <v/>
      </c>
      <c r="AZ283" s="47">
        <f>IF($E283=AZ$3,$G283,0)-IF($H283=AZ$3,$J283,0)</f>
        <v/>
      </c>
      <c r="BA283" s="47">
        <f>IF($E283=BA$3,$G283,0)-IF($H283=BA$3,$J283,0)</f>
        <v/>
      </c>
      <c r="BB283" s="47">
        <f>IF($E283=BB$3,$G283,0)-IF($H283=BB$3,$J283,0)</f>
        <v/>
      </c>
      <c r="BC283" s="47">
        <f>IF($E283=BC$3,$G283,0)-IF($H283=BC$3,$J283,0)</f>
        <v/>
      </c>
      <c r="BD283" s="47">
        <f>IF($E283=BD$3,$G283,0)-IF($H283=BD$3,$J283,0)</f>
        <v/>
      </c>
      <c r="BE283" s="47">
        <f>IF($E283=BE$3,$G283,0)-IF($H283=BE$3,$J283,0)</f>
        <v/>
      </c>
      <c r="BF283" s="47">
        <f>IF($E283=BF$3,$G283,0)-IF($H283=BF$3,$J283,0)</f>
        <v/>
      </c>
      <c r="BG283" s="47">
        <f>IF($E283=BG$3,$G283,0)-IF($H283=BG$3,$J283,0)</f>
        <v/>
      </c>
      <c r="BH283" s="47">
        <f>IF($E283=BH$3,$G283,0)-IF($H283=BH$3,$J283,0)</f>
        <v/>
      </c>
      <c r="BI283" s="47">
        <f>IF($E283=BI$3,$G283,0)-IF($H283=BI$3,$J283,0)</f>
        <v/>
      </c>
      <c r="BJ283" s="47">
        <f>IF($E283=BJ$3,$G283,0)-IF($H283=BJ$3,$J283,0)</f>
        <v/>
      </c>
      <c r="BK283" s="47">
        <f>IF($E283=BK$3,$G283,0)-IF($H283=BK$3,$J283,0)</f>
        <v/>
      </c>
      <c r="BL283" s="46">
        <f>-IF($E283=BL$3,$G283,0)+IF($H283=BL$3,$J283,0)</f>
        <v/>
      </c>
      <c r="BM283" s="47">
        <f>-IF($E283=BM$3,$G283,0)+IF($H283=BM$3,$J283,0)</f>
        <v/>
      </c>
      <c r="BN283" s="47">
        <f>-IF($E283=BN$3,$G283,0)+IF($H283=BN$3,$J283,0)</f>
        <v/>
      </c>
      <c r="BO283" s="47">
        <f>-IF($E283=BO$3,$G283,0)+IF($H283=BO$3,$J283,0)</f>
        <v/>
      </c>
      <c r="BP283" s="47">
        <f>-IF($E283=BP$3,$G283,0)+IF($H283=BP$3,$J283,0)</f>
        <v/>
      </c>
      <c r="BQ283" s="47">
        <f>-IF($E283=BQ$3,$G283,0)+IF($H283=BQ$3,$J283,0)</f>
        <v/>
      </c>
      <c r="BR283" s="47">
        <f>-IF($E283=BR$3,$G283,0)+IF($H283=BR$3,$J283,0)</f>
        <v/>
      </c>
      <c r="BS283" s="47">
        <f>-IF($E283=BS$3,$G283,0)+IF($H283=BS$3,$J283,0)</f>
        <v/>
      </c>
      <c r="BT283" s="47">
        <f>-IF($E283=BT$3,$G283,0)+IF($H283=BT$3,$J283,0)</f>
        <v/>
      </c>
      <c r="BU283" s="46">
        <f>+G283-J283</f>
        <v/>
      </c>
      <c r="BV283" s="48">
        <f>-IF($E283=BV$3,$G283,0)+IF($H283=BV$3,$J283,0)</f>
        <v/>
      </c>
      <c r="BW283" s="3" t="n"/>
    </row>
    <row r="284" ht="15.75" customHeight="1" s="214">
      <c r="A284" s="7" t="n"/>
      <c r="B284" s="8" t="n"/>
      <c r="C284" s="9" t="n"/>
      <c r="D284" s="10" t="n"/>
      <c r="E284" s="247" t="n"/>
      <c r="F284" s="11">
        <f>IF(E284="","",IF(ISNA(VLOOKUP(E284,科目コード表!$C$4:$D$67,2,FALSE)),"該当科目なし",VLOOKUP(E284,科目コード表!$C$4:$D$67,2,FALSE)))</f>
        <v/>
      </c>
      <c r="G284" s="38" t="n"/>
      <c r="H284" s="248" t="n"/>
      <c r="I284" s="11">
        <f>IF(H284="","",IF(ISNA(VLOOKUP(H284,科目コード表!$C$4:$D$67,2,FALSE)),"該当科目なし",VLOOKUP(H284,科目コード表!$C$4:$D$67,2,FALSE)))</f>
        <v/>
      </c>
      <c r="J284" s="40" t="n"/>
      <c r="L284" s="46">
        <f>IF($E284=L$3,$G284,0)-IF($H284=L$3,$J284,0)</f>
        <v/>
      </c>
      <c r="M284" s="47">
        <f>IF($E284=M$3,$G284,0)-IF($H284=M$3,$J284,0)</f>
        <v/>
      </c>
      <c r="N284" s="47">
        <f>IF($E284=N$3,$G284,0)-IF($H284=N$3,$J284,0)</f>
        <v/>
      </c>
      <c r="O284" s="47">
        <f>IF($E284=O$3,$G284,0)-IF($H284=O$3,$J284,0)</f>
        <v/>
      </c>
      <c r="P284" s="47">
        <f>IF($E284=P$3,$G284,0)-IF($H284=P$3,$J284,0)</f>
        <v/>
      </c>
      <c r="Q284" s="47">
        <f>IF($E284=Q$3,$G284,0)-IF($H284=Q$3,$J284,0)</f>
        <v/>
      </c>
      <c r="R284" s="47">
        <f>IF($E284=R$3,$G284,0)-IF($H284=R$3,$J284,0)</f>
        <v/>
      </c>
      <c r="S284" s="47">
        <f>IF($E284=S$3,$G284,0)-IF($H284=S$3,$J284,0)</f>
        <v/>
      </c>
      <c r="T284" s="47">
        <f>IF($E284=T$3,$G284,0)-IF($H284=T$3,$J284,0)</f>
        <v/>
      </c>
      <c r="U284" s="47">
        <f>IF($E284=U$3,$G284,0)-IF($H284=U$3,$J284,0)</f>
        <v/>
      </c>
      <c r="V284" s="47">
        <f>IF($E284=V$3,$G284,0)-IF($H284=V$3,$J284,0)</f>
        <v/>
      </c>
      <c r="W284" s="47">
        <f>IF($E284=W$3,$G284,0)-IF($H284=W$3,$J284,0)</f>
        <v/>
      </c>
      <c r="X284" s="47">
        <f>IF($E284=X$3,$G284,0)-IF($H284=X$3,$J284,0)</f>
        <v/>
      </c>
      <c r="Y284" s="47">
        <f>IF($E284=Y$3,$G284,0)-IF($H284=Y$3,$J284,0)</f>
        <v/>
      </c>
      <c r="Z284" s="47">
        <f>IF($E284=Z$3,$G284,0)-IF($H284=Z$3,$J284,0)</f>
        <v/>
      </c>
      <c r="AA284" s="47">
        <f>IF($E284=AA$3,$G284,0)-IF($H284=AA$3,$J284,0)</f>
        <v/>
      </c>
      <c r="AB284" s="47">
        <f>IF($E284=AB$3,$G284,0)-IF($H284=AB$3,$J284,0)</f>
        <v/>
      </c>
      <c r="AC284" s="47">
        <f>IF($E284=AC$3,$G284,0)-IF($H284=AC$3,$J284,0)</f>
        <v/>
      </c>
      <c r="AD284" s="47">
        <f>IF($E284=AD$3,$G284,0)-IF($H284=AD$3,$J284,0)</f>
        <v/>
      </c>
      <c r="AE284" s="47">
        <f>IF($E284=AE$3,$G284,0)-IF($H284=AE$3,$J284,0)</f>
        <v/>
      </c>
      <c r="AF284" s="47">
        <f>IF($E284=AF$3,$G284,0)-IF($H284=AF$3,$J284,0)</f>
        <v/>
      </c>
      <c r="AG284" s="47">
        <f>IF($E284=AG$3,$G284,0)-IF($H284=AG$3,$J284,0)</f>
        <v/>
      </c>
      <c r="AH284" s="47">
        <f>IF($E284=AH$3,$G284,0)-IF($H284=AH$3,$J284,0)</f>
        <v/>
      </c>
      <c r="AI284" s="47">
        <f>IF($E284=AI$3,$G284,0)-IF($H284=AI$3,$J284,0)</f>
        <v/>
      </c>
      <c r="AJ284" s="47">
        <f>IF($E284=AJ$3,$G284,0)-IF($H284=AJ$3,$J284,0)</f>
        <v/>
      </c>
      <c r="AK284" s="47">
        <f>IF($E284=AK$3,$G284,0)-IF($H284=AK$3,$J284,0)</f>
        <v/>
      </c>
      <c r="AL284" s="48">
        <f>IF($E284=AL$3,$G284,0)-IF($H284=AL$3,$J284,0)</f>
        <v/>
      </c>
      <c r="AM284" s="46">
        <f>-IF($E284=AM$3,$G284,0)+IF($H284=AM$3,$J284,0)</f>
        <v/>
      </c>
      <c r="AN284" s="47">
        <f>-IF($E284=AN$3,$G284,0)+IF($H284=AN$3,$J284,0)</f>
        <v/>
      </c>
      <c r="AO284" s="48">
        <f>-IF($E284=AO$3,$G284,0)+IF($H284=AO$3,$J284,0)</f>
        <v/>
      </c>
      <c r="AP284" s="46">
        <f>IF($E284=AP$3,$G284,0)-IF($H284=AP$3,$J284,0)</f>
        <v/>
      </c>
      <c r="AQ284" s="47">
        <f>IF($E284=AQ$3,$G284,0)-IF($H284=AQ$3,$J284,0)</f>
        <v/>
      </c>
      <c r="AR284" s="47">
        <f>IF($E284=AR$3,$G284,0)-IF($H284=AR$3,$J284,0)</f>
        <v/>
      </c>
      <c r="AS284" s="47">
        <f>IF($E284=AS$3,$G284,0)-IF($H284=AS$3,$J284,0)</f>
        <v/>
      </c>
      <c r="AT284" s="47">
        <f>IF($E284=AT$3,$G284,0)-IF($H284=AT$3,$J284,0)</f>
        <v/>
      </c>
      <c r="AU284" s="47">
        <f>IF($E284=AU$3,$G284,0)-IF($H284=AU$3,$J284,0)</f>
        <v/>
      </c>
      <c r="AV284" s="47">
        <f>IF($E284=AV$3,$G284,0)-IF($H284=AV$3,$J284,0)</f>
        <v/>
      </c>
      <c r="AW284" s="47">
        <f>IF($E284=AW$3,$G284,0)-IF($H284=AW$3,$J284,0)</f>
        <v/>
      </c>
      <c r="AX284" s="47">
        <f>IF($E284=AX$3,$G284,0)-IF($H284=AX$3,$J284,0)</f>
        <v/>
      </c>
      <c r="AY284" s="47">
        <f>IF($E284=AY$3,$G284,0)-IF($H284=AY$3,$J284,0)</f>
        <v/>
      </c>
      <c r="AZ284" s="47">
        <f>IF($E284=AZ$3,$G284,0)-IF($H284=AZ$3,$J284,0)</f>
        <v/>
      </c>
      <c r="BA284" s="47">
        <f>IF($E284=BA$3,$G284,0)-IF($H284=BA$3,$J284,0)</f>
        <v/>
      </c>
      <c r="BB284" s="47">
        <f>IF($E284=BB$3,$G284,0)-IF($H284=BB$3,$J284,0)</f>
        <v/>
      </c>
      <c r="BC284" s="47">
        <f>IF($E284=BC$3,$G284,0)-IF($H284=BC$3,$J284,0)</f>
        <v/>
      </c>
      <c r="BD284" s="47">
        <f>IF($E284=BD$3,$G284,0)-IF($H284=BD$3,$J284,0)</f>
        <v/>
      </c>
      <c r="BE284" s="47">
        <f>IF($E284=BE$3,$G284,0)-IF($H284=BE$3,$J284,0)</f>
        <v/>
      </c>
      <c r="BF284" s="47">
        <f>IF($E284=BF$3,$G284,0)-IF($H284=BF$3,$J284,0)</f>
        <v/>
      </c>
      <c r="BG284" s="47">
        <f>IF($E284=BG$3,$G284,0)-IF($H284=BG$3,$J284,0)</f>
        <v/>
      </c>
      <c r="BH284" s="47">
        <f>IF($E284=BH$3,$G284,0)-IF($H284=BH$3,$J284,0)</f>
        <v/>
      </c>
      <c r="BI284" s="47">
        <f>IF($E284=BI$3,$G284,0)-IF($H284=BI$3,$J284,0)</f>
        <v/>
      </c>
      <c r="BJ284" s="47">
        <f>IF($E284=BJ$3,$G284,0)-IF($H284=BJ$3,$J284,0)</f>
        <v/>
      </c>
      <c r="BK284" s="47">
        <f>IF($E284=BK$3,$G284,0)-IF($H284=BK$3,$J284,0)</f>
        <v/>
      </c>
      <c r="BL284" s="46">
        <f>-IF($E284=BL$3,$G284,0)+IF($H284=BL$3,$J284,0)</f>
        <v/>
      </c>
      <c r="BM284" s="47">
        <f>-IF($E284=BM$3,$G284,0)+IF($H284=BM$3,$J284,0)</f>
        <v/>
      </c>
      <c r="BN284" s="47">
        <f>-IF($E284=BN$3,$G284,0)+IF($H284=BN$3,$J284,0)</f>
        <v/>
      </c>
      <c r="BO284" s="47">
        <f>-IF($E284=BO$3,$G284,0)+IF($H284=BO$3,$J284,0)</f>
        <v/>
      </c>
      <c r="BP284" s="47">
        <f>-IF($E284=BP$3,$G284,0)+IF($H284=BP$3,$J284,0)</f>
        <v/>
      </c>
      <c r="BQ284" s="47">
        <f>-IF($E284=BQ$3,$G284,0)+IF($H284=BQ$3,$J284,0)</f>
        <v/>
      </c>
      <c r="BR284" s="47">
        <f>-IF($E284=BR$3,$G284,0)+IF($H284=BR$3,$J284,0)</f>
        <v/>
      </c>
      <c r="BS284" s="47">
        <f>-IF($E284=BS$3,$G284,0)+IF($H284=BS$3,$J284,0)</f>
        <v/>
      </c>
      <c r="BT284" s="47">
        <f>-IF($E284=BT$3,$G284,0)+IF($H284=BT$3,$J284,0)</f>
        <v/>
      </c>
      <c r="BU284" s="46">
        <f>+G284-J284</f>
        <v/>
      </c>
      <c r="BV284" s="48">
        <f>-IF($E284=BV$3,$G284,0)+IF($H284=BV$3,$J284,0)</f>
        <v/>
      </c>
      <c r="BW284" s="3" t="n"/>
    </row>
    <row r="285" ht="15.75" customHeight="1" s="214">
      <c r="A285" s="7" t="n"/>
      <c r="B285" s="8" t="n"/>
      <c r="C285" s="9" t="n"/>
      <c r="D285" s="10" t="n"/>
      <c r="E285" s="247" t="n"/>
      <c r="F285" s="11">
        <f>IF(E285="","",IF(ISNA(VLOOKUP(E285,科目コード表!$C$4:$D$67,2,FALSE)),"該当科目なし",VLOOKUP(E285,科目コード表!$C$4:$D$67,2,FALSE)))</f>
        <v/>
      </c>
      <c r="G285" s="38" t="n"/>
      <c r="H285" s="248" t="n"/>
      <c r="I285" s="11">
        <f>IF(H285="","",IF(ISNA(VLOOKUP(H285,科目コード表!$C$4:$D$67,2,FALSE)),"該当科目なし",VLOOKUP(H285,科目コード表!$C$4:$D$67,2,FALSE)))</f>
        <v/>
      </c>
      <c r="J285" s="40" t="n"/>
      <c r="L285" s="46">
        <f>IF($E285=L$3,$G285,0)-IF($H285=L$3,$J285,0)</f>
        <v/>
      </c>
      <c r="M285" s="47">
        <f>IF($E285=M$3,$G285,0)-IF($H285=M$3,$J285,0)</f>
        <v/>
      </c>
      <c r="N285" s="47">
        <f>IF($E285=N$3,$G285,0)-IF($H285=N$3,$J285,0)</f>
        <v/>
      </c>
      <c r="O285" s="47">
        <f>IF($E285=O$3,$G285,0)-IF($H285=O$3,$J285,0)</f>
        <v/>
      </c>
      <c r="P285" s="47">
        <f>IF($E285=P$3,$G285,0)-IF($H285=P$3,$J285,0)</f>
        <v/>
      </c>
      <c r="Q285" s="47">
        <f>IF($E285=Q$3,$G285,0)-IF($H285=Q$3,$J285,0)</f>
        <v/>
      </c>
      <c r="R285" s="47">
        <f>IF($E285=R$3,$G285,0)-IF($H285=R$3,$J285,0)</f>
        <v/>
      </c>
      <c r="S285" s="47">
        <f>IF($E285=S$3,$G285,0)-IF($H285=S$3,$J285,0)</f>
        <v/>
      </c>
      <c r="T285" s="47">
        <f>IF($E285=T$3,$G285,0)-IF($H285=T$3,$J285,0)</f>
        <v/>
      </c>
      <c r="U285" s="47">
        <f>IF($E285=U$3,$G285,0)-IF($H285=U$3,$J285,0)</f>
        <v/>
      </c>
      <c r="V285" s="47">
        <f>IF($E285=V$3,$G285,0)-IF($H285=V$3,$J285,0)</f>
        <v/>
      </c>
      <c r="W285" s="47">
        <f>IF($E285=W$3,$G285,0)-IF($H285=W$3,$J285,0)</f>
        <v/>
      </c>
      <c r="X285" s="47">
        <f>IF($E285=X$3,$G285,0)-IF($H285=X$3,$J285,0)</f>
        <v/>
      </c>
      <c r="Y285" s="47">
        <f>IF($E285=Y$3,$G285,0)-IF($H285=Y$3,$J285,0)</f>
        <v/>
      </c>
      <c r="Z285" s="47">
        <f>IF($E285=Z$3,$G285,0)-IF($H285=Z$3,$J285,0)</f>
        <v/>
      </c>
      <c r="AA285" s="47">
        <f>IF($E285=AA$3,$G285,0)-IF($H285=AA$3,$J285,0)</f>
        <v/>
      </c>
      <c r="AB285" s="47">
        <f>IF($E285=AB$3,$G285,0)-IF($H285=AB$3,$J285,0)</f>
        <v/>
      </c>
      <c r="AC285" s="47">
        <f>IF($E285=AC$3,$G285,0)-IF($H285=AC$3,$J285,0)</f>
        <v/>
      </c>
      <c r="AD285" s="47">
        <f>IF($E285=AD$3,$G285,0)-IF($H285=AD$3,$J285,0)</f>
        <v/>
      </c>
      <c r="AE285" s="47">
        <f>IF($E285=AE$3,$G285,0)-IF($H285=AE$3,$J285,0)</f>
        <v/>
      </c>
      <c r="AF285" s="47">
        <f>IF($E285=AF$3,$G285,0)-IF($H285=AF$3,$J285,0)</f>
        <v/>
      </c>
      <c r="AG285" s="47">
        <f>IF($E285=AG$3,$G285,0)-IF($H285=AG$3,$J285,0)</f>
        <v/>
      </c>
      <c r="AH285" s="47">
        <f>IF($E285=AH$3,$G285,0)-IF($H285=AH$3,$J285,0)</f>
        <v/>
      </c>
      <c r="AI285" s="47">
        <f>IF($E285=AI$3,$G285,0)-IF($H285=AI$3,$J285,0)</f>
        <v/>
      </c>
      <c r="AJ285" s="47">
        <f>IF($E285=AJ$3,$G285,0)-IF($H285=AJ$3,$J285,0)</f>
        <v/>
      </c>
      <c r="AK285" s="47">
        <f>IF($E285=AK$3,$G285,0)-IF($H285=AK$3,$J285,0)</f>
        <v/>
      </c>
      <c r="AL285" s="48">
        <f>IF($E285=AL$3,$G285,0)-IF($H285=AL$3,$J285,0)</f>
        <v/>
      </c>
      <c r="AM285" s="46">
        <f>-IF($E285=AM$3,$G285,0)+IF($H285=AM$3,$J285,0)</f>
        <v/>
      </c>
      <c r="AN285" s="47">
        <f>-IF($E285=AN$3,$G285,0)+IF($H285=AN$3,$J285,0)</f>
        <v/>
      </c>
      <c r="AO285" s="48">
        <f>-IF($E285=AO$3,$G285,0)+IF($H285=AO$3,$J285,0)</f>
        <v/>
      </c>
      <c r="AP285" s="46">
        <f>IF($E285=AP$3,$G285,0)-IF($H285=AP$3,$J285,0)</f>
        <v/>
      </c>
      <c r="AQ285" s="47">
        <f>IF($E285=AQ$3,$G285,0)-IF($H285=AQ$3,$J285,0)</f>
        <v/>
      </c>
      <c r="AR285" s="47">
        <f>IF($E285=AR$3,$G285,0)-IF($H285=AR$3,$J285,0)</f>
        <v/>
      </c>
      <c r="AS285" s="47">
        <f>IF($E285=AS$3,$G285,0)-IF($H285=AS$3,$J285,0)</f>
        <v/>
      </c>
      <c r="AT285" s="47">
        <f>IF($E285=AT$3,$G285,0)-IF($H285=AT$3,$J285,0)</f>
        <v/>
      </c>
      <c r="AU285" s="47">
        <f>IF($E285=AU$3,$G285,0)-IF($H285=AU$3,$J285,0)</f>
        <v/>
      </c>
      <c r="AV285" s="47">
        <f>IF($E285=AV$3,$G285,0)-IF($H285=AV$3,$J285,0)</f>
        <v/>
      </c>
      <c r="AW285" s="47">
        <f>IF($E285=AW$3,$G285,0)-IF($H285=AW$3,$J285,0)</f>
        <v/>
      </c>
      <c r="AX285" s="47">
        <f>IF($E285=AX$3,$G285,0)-IF($H285=AX$3,$J285,0)</f>
        <v/>
      </c>
      <c r="AY285" s="47">
        <f>IF($E285=AY$3,$G285,0)-IF($H285=AY$3,$J285,0)</f>
        <v/>
      </c>
      <c r="AZ285" s="47">
        <f>IF($E285=AZ$3,$G285,0)-IF($H285=AZ$3,$J285,0)</f>
        <v/>
      </c>
      <c r="BA285" s="47">
        <f>IF($E285=BA$3,$G285,0)-IF($H285=BA$3,$J285,0)</f>
        <v/>
      </c>
      <c r="BB285" s="47">
        <f>IF($E285=BB$3,$G285,0)-IF($H285=BB$3,$J285,0)</f>
        <v/>
      </c>
      <c r="BC285" s="47">
        <f>IF($E285=BC$3,$G285,0)-IF($H285=BC$3,$J285,0)</f>
        <v/>
      </c>
      <c r="BD285" s="47">
        <f>IF($E285=BD$3,$G285,0)-IF($H285=BD$3,$J285,0)</f>
        <v/>
      </c>
      <c r="BE285" s="47">
        <f>IF($E285=BE$3,$G285,0)-IF($H285=BE$3,$J285,0)</f>
        <v/>
      </c>
      <c r="BF285" s="47">
        <f>IF($E285=BF$3,$G285,0)-IF($H285=BF$3,$J285,0)</f>
        <v/>
      </c>
      <c r="BG285" s="47">
        <f>IF($E285=BG$3,$G285,0)-IF($H285=BG$3,$J285,0)</f>
        <v/>
      </c>
      <c r="BH285" s="47">
        <f>IF($E285=BH$3,$G285,0)-IF($H285=BH$3,$J285,0)</f>
        <v/>
      </c>
      <c r="BI285" s="47">
        <f>IF($E285=BI$3,$G285,0)-IF($H285=BI$3,$J285,0)</f>
        <v/>
      </c>
      <c r="BJ285" s="47">
        <f>IF($E285=BJ$3,$G285,0)-IF($H285=BJ$3,$J285,0)</f>
        <v/>
      </c>
      <c r="BK285" s="47">
        <f>IF($E285=BK$3,$G285,0)-IF($H285=BK$3,$J285,0)</f>
        <v/>
      </c>
      <c r="BL285" s="46">
        <f>-IF($E285=BL$3,$G285,0)+IF($H285=BL$3,$J285,0)</f>
        <v/>
      </c>
      <c r="BM285" s="47">
        <f>-IF($E285=BM$3,$G285,0)+IF($H285=BM$3,$J285,0)</f>
        <v/>
      </c>
      <c r="BN285" s="47">
        <f>-IF($E285=BN$3,$G285,0)+IF($H285=BN$3,$J285,0)</f>
        <v/>
      </c>
      <c r="BO285" s="47">
        <f>-IF($E285=BO$3,$G285,0)+IF($H285=BO$3,$J285,0)</f>
        <v/>
      </c>
      <c r="BP285" s="47">
        <f>-IF($E285=BP$3,$G285,0)+IF($H285=BP$3,$J285,0)</f>
        <v/>
      </c>
      <c r="BQ285" s="47">
        <f>-IF($E285=BQ$3,$G285,0)+IF($H285=BQ$3,$J285,0)</f>
        <v/>
      </c>
      <c r="BR285" s="47">
        <f>-IF($E285=BR$3,$G285,0)+IF($H285=BR$3,$J285,0)</f>
        <v/>
      </c>
      <c r="BS285" s="47">
        <f>-IF($E285=BS$3,$G285,0)+IF($H285=BS$3,$J285,0)</f>
        <v/>
      </c>
      <c r="BT285" s="47">
        <f>-IF($E285=BT$3,$G285,0)+IF($H285=BT$3,$J285,0)</f>
        <v/>
      </c>
      <c r="BU285" s="46">
        <f>+G285-J285</f>
        <v/>
      </c>
      <c r="BV285" s="48">
        <f>-IF($E285=BV$3,$G285,0)+IF($H285=BV$3,$J285,0)</f>
        <v/>
      </c>
      <c r="BW285" s="3" t="n"/>
    </row>
    <row r="286" ht="15.75" customHeight="1" s="214">
      <c r="A286" s="7" t="n"/>
      <c r="B286" s="8" t="n"/>
      <c r="C286" s="9" t="n"/>
      <c r="D286" s="10" t="n"/>
      <c r="E286" s="247" t="n"/>
      <c r="F286" s="11">
        <f>IF(E286="","",IF(ISNA(VLOOKUP(E286,科目コード表!$C$4:$D$67,2,FALSE)),"該当科目なし",VLOOKUP(E286,科目コード表!$C$4:$D$67,2,FALSE)))</f>
        <v/>
      </c>
      <c r="G286" s="38" t="n"/>
      <c r="H286" s="248" t="n"/>
      <c r="I286" s="11">
        <f>IF(H286="","",IF(ISNA(VLOOKUP(H286,科目コード表!$C$4:$D$67,2,FALSE)),"該当科目なし",VLOOKUP(H286,科目コード表!$C$4:$D$67,2,FALSE)))</f>
        <v/>
      </c>
      <c r="J286" s="40" t="n"/>
      <c r="L286" s="46">
        <f>IF($E286=L$3,$G286,0)-IF($H286=L$3,$J286,0)</f>
        <v/>
      </c>
      <c r="M286" s="47">
        <f>IF($E286=M$3,$G286,0)-IF($H286=M$3,$J286,0)</f>
        <v/>
      </c>
      <c r="N286" s="47">
        <f>IF($E286=N$3,$G286,0)-IF($H286=N$3,$J286,0)</f>
        <v/>
      </c>
      <c r="O286" s="47">
        <f>IF($E286=O$3,$G286,0)-IF($H286=O$3,$J286,0)</f>
        <v/>
      </c>
      <c r="P286" s="47">
        <f>IF($E286=P$3,$G286,0)-IF($H286=P$3,$J286,0)</f>
        <v/>
      </c>
      <c r="Q286" s="47">
        <f>IF($E286=Q$3,$G286,0)-IF($H286=Q$3,$J286,0)</f>
        <v/>
      </c>
      <c r="R286" s="47">
        <f>IF($E286=R$3,$G286,0)-IF($H286=R$3,$J286,0)</f>
        <v/>
      </c>
      <c r="S286" s="47">
        <f>IF($E286=S$3,$G286,0)-IF($H286=S$3,$J286,0)</f>
        <v/>
      </c>
      <c r="T286" s="47">
        <f>IF($E286=T$3,$G286,0)-IF($H286=T$3,$J286,0)</f>
        <v/>
      </c>
      <c r="U286" s="47">
        <f>IF($E286=U$3,$G286,0)-IF($H286=U$3,$J286,0)</f>
        <v/>
      </c>
      <c r="V286" s="47">
        <f>IF($E286=V$3,$G286,0)-IF($H286=V$3,$J286,0)</f>
        <v/>
      </c>
      <c r="W286" s="47">
        <f>IF($E286=W$3,$G286,0)-IF($H286=W$3,$J286,0)</f>
        <v/>
      </c>
      <c r="X286" s="47">
        <f>IF($E286=X$3,$G286,0)-IF($H286=X$3,$J286,0)</f>
        <v/>
      </c>
      <c r="Y286" s="47">
        <f>IF($E286=Y$3,$G286,0)-IF($H286=Y$3,$J286,0)</f>
        <v/>
      </c>
      <c r="Z286" s="47">
        <f>IF($E286=Z$3,$G286,0)-IF($H286=Z$3,$J286,0)</f>
        <v/>
      </c>
      <c r="AA286" s="47">
        <f>IF($E286=AA$3,$G286,0)-IF($H286=AA$3,$J286,0)</f>
        <v/>
      </c>
      <c r="AB286" s="47">
        <f>IF($E286=AB$3,$G286,0)-IF($H286=AB$3,$J286,0)</f>
        <v/>
      </c>
      <c r="AC286" s="47">
        <f>IF($E286=AC$3,$G286,0)-IF($H286=AC$3,$J286,0)</f>
        <v/>
      </c>
      <c r="AD286" s="47">
        <f>IF($E286=AD$3,$G286,0)-IF($H286=AD$3,$J286,0)</f>
        <v/>
      </c>
      <c r="AE286" s="47">
        <f>IF($E286=AE$3,$G286,0)-IF($H286=AE$3,$J286,0)</f>
        <v/>
      </c>
      <c r="AF286" s="47">
        <f>IF($E286=AF$3,$G286,0)-IF($H286=AF$3,$J286,0)</f>
        <v/>
      </c>
      <c r="AG286" s="47">
        <f>IF($E286=AG$3,$G286,0)-IF($H286=AG$3,$J286,0)</f>
        <v/>
      </c>
      <c r="AH286" s="47">
        <f>IF($E286=AH$3,$G286,0)-IF($H286=AH$3,$J286,0)</f>
        <v/>
      </c>
      <c r="AI286" s="47">
        <f>IF($E286=AI$3,$G286,0)-IF($H286=AI$3,$J286,0)</f>
        <v/>
      </c>
      <c r="AJ286" s="47">
        <f>IF($E286=AJ$3,$G286,0)-IF($H286=AJ$3,$J286,0)</f>
        <v/>
      </c>
      <c r="AK286" s="47">
        <f>IF($E286=AK$3,$G286,0)-IF($H286=AK$3,$J286,0)</f>
        <v/>
      </c>
      <c r="AL286" s="48">
        <f>IF($E286=AL$3,$G286,0)-IF($H286=AL$3,$J286,0)</f>
        <v/>
      </c>
      <c r="AM286" s="46">
        <f>-IF($E286=AM$3,$G286,0)+IF($H286=AM$3,$J286,0)</f>
        <v/>
      </c>
      <c r="AN286" s="47">
        <f>-IF($E286=AN$3,$G286,0)+IF($H286=AN$3,$J286,0)</f>
        <v/>
      </c>
      <c r="AO286" s="48">
        <f>-IF($E286=AO$3,$G286,0)+IF($H286=AO$3,$J286,0)</f>
        <v/>
      </c>
      <c r="AP286" s="46">
        <f>IF($E286=AP$3,$G286,0)-IF($H286=AP$3,$J286,0)</f>
        <v/>
      </c>
      <c r="AQ286" s="47">
        <f>IF($E286=AQ$3,$G286,0)-IF($H286=AQ$3,$J286,0)</f>
        <v/>
      </c>
      <c r="AR286" s="47">
        <f>IF($E286=AR$3,$G286,0)-IF($H286=AR$3,$J286,0)</f>
        <v/>
      </c>
      <c r="AS286" s="47">
        <f>IF($E286=AS$3,$G286,0)-IF($H286=AS$3,$J286,0)</f>
        <v/>
      </c>
      <c r="AT286" s="47">
        <f>IF($E286=AT$3,$G286,0)-IF($H286=AT$3,$J286,0)</f>
        <v/>
      </c>
      <c r="AU286" s="47">
        <f>IF($E286=AU$3,$G286,0)-IF($H286=AU$3,$J286,0)</f>
        <v/>
      </c>
      <c r="AV286" s="47">
        <f>IF($E286=AV$3,$G286,0)-IF($H286=AV$3,$J286,0)</f>
        <v/>
      </c>
      <c r="AW286" s="47">
        <f>IF($E286=AW$3,$G286,0)-IF($H286=AW$3,$J286,0)</f>
        <v/>
      </c>
      <c r="AX286" s="47">
        <f>IF($E286=AX$3,$G286,0)-IF($H286=AX$3,$J286,0)</f>
        <v/>
      </c>
      <c r="AY286" s="47">
        <f>IF($E286=AY$3,$G286,0)-IF($H286=AY$3,$J286,0)</f>
        <v/>
      </c>
      <c r="AZ286" s="47">
        <f>IF($E286=AZ$3,$G286,0)-IF($H286=AZ$3,$J286,0)</f>
        <v/>
      </c>
      <c r="BA286" s="47">
        <f>IF($E286=BA$3,$G286,0)-IF($H286=BA$3,$J286,0)</f>
        <v/>
      </c>
      <c r="BB286" s="47">
        <f>IF($E286=BB$3,$G286,0)-IF($H286=BB$3,$J286,0)</f>
        <v/>
      </c>
      <c r="BC286" s="47">
        <f>IF($E286=BC$3,$G286,0)-IF($H286=BC$3,$J286,0)</f>
        <v/>
      </c>
      <c r="BD286" s="47">
        <f>IF($E286=BD$3,$G286,0)-IF($H286=BD$3,$J286,0)</f>
        <v/>
      </c>
      <c r="BE286" s="47">
        <f>IF($E286=BE$3,$G286,0)-IF($H286=BE$3,$J286,0)</f>
        <v/>
      </c>
      <c r="BF286" s="47">
        <f>IF($E286=BF$3,$G286,0)-IF($H286=BF$3,$J286,0)</f>
        <v/>
      </c>
      <c r="BG286" s="47">
        <f>IF($E286=BG$3,$G286,0)-IF($H286=BG$3,$J286,0)</f>
        <v/>
      </c>
      <c r="BH286" s="47">
        <f>IF($E286=BH$3,$G286,0)-IF($H286=BH$3,$J286,0)</f>
        <v/>
      </c>
      <c r="BI286" s="47">
        <f>IF($E286=BI$3,$G286,0)-IF($H286=BI$3,$J286,0)</f>
        <v/>
      </c>
      <c r="BJ286" s="47">
        <f>IF($E286=BJ$3,$G286,0)-IF($H286=BJ$3,$J286,0)</f>
        <v/>
      </c>
      <c r="BK286" s="47">
        <f>IF($E286=BK$3,$G286,0)-IF($H286=BK$3,$J286,0)</f>
        <v/>
      </c>
      <c r="BL286" s="46">
        <f>-IF($E286=BL$3,$G286,0)+IF($H286=BL$3,$J286,0)</f>
        <v/>
      </c>
      <c r="BM286" s="47">
        <f>-IF($E286=BM$3,$G286,0)+IF($H286=BM$3,$J286,0)</f>
        <v/>
      </c>
      <c r="BN286" s="47">
        <f>-IF($E286=BN$3,$G286,0)+IF($H286=BN$3,$J286,0)</f>
        <v/>
      </c>
      <c r="BO286" s="47">
        <f>-IF($E286=BO$3,$G286,0)+IF($H286=BO$3,$J286,0)</f>
        <v/>
      </c>
      <c r="BP286" s="47">
        <f>-IF($E286=BP$3,$G286,0)+IF($H286=BP$3,$J286,0)</f>
        <v/>
      </c>
      <c r="BQ286" s="47">
        <f>-IF($E286=BQ$3,$G286,0)+IF($H286=BQ$3,$J286,0)</f>
        <v/>
      </c>
      <c r="BR286" s="47">
        <f>-IF($E286=BR$3,$G286,0)+IF($H286=BR$3,$J286,0)</f>
        <v/>
      </c>
      <c r="BS286" s="47">
        <f>-IF($E286=BS$3,$G286,0)+IF($H286=BS$3,$J286,0)</f>
        <v/>
      </c>
      <c r="BT286" s="47">
        <f>-IF($E286=BT$3,$G286,0)+IF($H286=BT$3,$J286,0)</f>
        <v/>
      </c>
      <c r="BU286" s="46">
        <f>+G286-J286</f>
        <v/>
      </c>
      <c r="BV286" s="48">
        <f>-IF($E286=BV$3,$G286,0)+IF($H286=BV$3,$J286,0)</f>
        <v/>
      </c>
      <c r="BW286" s="3" t="n"/>
    </row>
    <row r="287" ht="15.75" customHeight="1" s="214">
      <c r="A287" s="7" t="n"/>
      <c r="B287" s="8" t="n"/>
      <c r="C287" s="9" t="n"/>
      <c r="D287" s="10" t="n"/>
      <c r="E287" s="247" t="n"/>
      <c r="F287" s="11">
        <f>IF(E287="","",IF(ISNA(VLOOKUP(E287,科目コード表!$C$4:$D$67,2,FALSE)),"該当科目なし",VLOOKUP(E287,科目コード表!$C$4:$D$67,2,FALSE)))</f>
        <v/>
      </c>
      <c r="G287" s="38" t="n"/>
      <c r="H287" s="248" t="n"/>
      <c r="I287" s="11">
        <f>IF(H287="","",IF(ISNA(VLOOKUP(H287,科目コード表!$C$4:$D$67,2,FALSE)),"該当科目なし",VLOOKUP(H287,科目コード表!$C$4:$D$67,2,FALSE)))</f>
        <v/>
      </c>
      <c r="J287" s="40" t="n"/>
      <c r="L287" s="46">
        <f>IF($E287=L$3,$G287,0)-IF($H287=L$3,$J287,0)</f>
        <v/>
      </c>
      <c r="M287" s="47">
        <f>IF($E287=M$3,$G287,0)-IF($H287=M$3,$J287,0)</f>
        <v/>
      </c>
      <c r="N287" s="47">
        <f>IF($E287=N$3,$G287,0)-IF($H287=N$3,$J287,0)</f>
        <v/>
      </c>
      <c r="O287" s="47">
        <f>IF($E287=O$3,$G287,0)-IF($H287=O$3,$J287,0)</f>
        <v/>
      </c>
      <c r="P287" s="47">
        <f>IF($E287=P$3,$G287,0)-IF($H287=P$3,$J287,0)</f>
        <v/>
      </c>
      <c r="Q287" s="47">
        <f>IF($E287=Q$3,$G287,0)-IF($H287=Q$3,$J287,0)</f>
        <v/>
      </c>
      <c r="R287" s="47">
        <f>IF($E287=R$3,$G287,0)-IF($H287=R$3,$J287,0)</f>
        <v/>
      </c>
      <c r="S287" s="47">
        <f>IF($E287=S$3,$G287,0)-IF($H287=S$3,$J287,0)</f>
        <v/>
      </c>
      <c r="T287" s="47">
        <f>IF($E287=T$3,$G287,0)-IF($H287=T$3,$J287,0)</f>
        <v/>
      </c>
      <c r="U287" s="47">
        <f>IF($E287=U$3,$G287,0)-IF($H287=U$3,$J287,0)</f>
        <v/>
      </c>
      <c r="V287" s="47">
        <f>IF($E287=V$3,$G287,0)-IF($H287=V$3,$J287,0)</f>
        <v/>
      </c>
      <c r="W287" s="47">
        <f>IF($E287=W$3,$G287,0)-IF($H287=W$3,$J287,0)</f>
        <v/>
      </c>
      <c r="X287" s="47">
        <f>IF($E287=X$3,$G287,0)-IF($H287=X$3,$J287,0)</f>
        <v/>
      </c>
      <c r="Y287" s="47">
        <f>IF($E287=Y$3,$G287,0)-IF($H287=Y$3,$J287,0)</f>
        <v/>
      </c>
      <c r="Z287" s="47">
        <f>IF($E287=Z$3,$G287,0)-IF($H287=Z$3,$J287,0)</f>
        <v/>
      </c>
      <c r="AA287" s="47">
        <f>IF($E287=AA$3,$G287,0)-IF($H287=AA$3,$J287,0)</f>
        <v/>
      </c>
      <c r="AB287" s="47">
        <f>IF($E287=AB$3,$G287,0)-IF($H287=AB$3,$J287,0)</f>
        <v/>
      </c>
      <c r="AC287" s="47">
        <f>IF($E287=AC$3,$G287,0)-IF($H287=AC$3,$J287,0)</f>
        <v/>
      </c>
      <c r="AD287" s="47">
        <f>IF($E287=AD$3,$G287,0)-IF($H287=AD$3,$J287,0)</f>
        <v/>
      </c>
      <c r="AE287" s="47">
        <f>IF($E287=AE$3,$G287,0)-IF($H287=AE$3,$J287,0)</f>
        <v/>
      </c>
      <c r="AF287" s="47">
        <f>IF($E287=AF$3,$G287,0)-IF($H287=AF$3,$J287,0)</f>
        <v/>
      </c>
      <c r="AG287" s="47">
        <f>IF($E287=AG$3,$G287,0)-IF($H287=AG$3,$J287,0)</f>
        <v/>
      </c>
      <c r="AH287" s="47">
        <f>IF($E287=AH$3,$G287,0)-IF($H287=AH$3,$J287,0)</f>
        <v/>
      </c>
      <c r="AI287" s="47">
        <f>IF($E287=AI$3,$G287,0)-IF($H287=AI$3,$J287,0)</f>
        <v/>
      </c>
      <c r="AJ287" s="47">
        <f>IF($E287=AJ$3,$G287,0)-IF($H287=AJ$3,$J287,0)</f>
        <v/>
      </c>
      <c r="AK287" s="47">
        <f>IF($E287=AK$3,$G287,0)-IF($H287=AK$3,$J287,0)</f>
        <v/>
      </c>
      <c r="AL287" s="48">
        <f>IF($E287=AL$3,$G287,0)-IF($H287=AL$3,$J287,0)</f>
        <v/>
      </c>
      <c r="AM287" s="46">
        <f>-IF($E287=AM$3,$G287,0)+IF($H287=AM$3,$J287,0)</f>
        <v/>
      </c>
      <c r="AN287" s="47">
        <f>-IF($E287=AN$3,$G287,0)+IF($H287=AN$3,$J287,0)</f>
        <v/>
      </c>
      <c r="AO287" s="48">
        <f>-IF($E287=AO$3,$G287,0)+IF($H287=AO$3,$J287,0)</f>
        <v/>
      </c>
      <c r="AP287" s="46">
        <f>IF($E287=AP$3,$G287,0)-IF($H287=AP$3,$J287,0)</f>
        <v/>
      </c>
      <c r="AQ287" s="47">
        <f>IF($E287=AQ$3,$G287,0)-IF($H287=AQ$3,$J287,0)</f>
        <v/>
      </c>
      <c r="AR287" s="47">
        <f>IF($E287=AR$3,$G287,0)-IF($H287=AR$3,$J287,0)</f>
        <v/>
      </c>
      <c r="AS287" s="47">
        <f>IF($E287=AS$3,$G287,0)-IF($H287=AS$3,$J287,0)</f>
        <v/>
      </c>
      <c r="AT287" s="47">
        <f>IF($E287=AT$3,$G287,0)-IF($H287=AT$3,$J287,0)</f>
        <v/>
      </c>
      <c r="AU287" s="47">
        <f>IF($E287=AU$3,$G287,0)-IF($H287=AU$3,$J287,0)</f>
        <v/>
      </c>
      <c r="AV287" s="47">
        <f>IF($E287=AV$3,$G287,0)-IF($H287=AV$3,$J287,0)</f>
        <v/>
      </c>
      <c r="AW287" s="47">
        <f>IF($E287=AW$3,$G287,0)-IF($H287=AW$3,$J287,0)</f>
        <v/>
      </c>
      <c r="AX287" s="47">
        <f>IF($E287=AX$3,$G287,0)-IF($H287=AX$3,$J287,0)</f>
        <v/>
      </c>
      <c r="AY287" s="47">
        <f>IF($E287=AY$3,$G287,0)-IF($H287=AY$3,$J287,0)</f>
        <v/>
      </c>
      <c r="AZ287" s="47">
        <f>IF($E287=AZ$3,$G287,0)-IF($H287=AZ$3,$J287,0)</f>
        <v/>
      </c>
      <c r="BA287" s="47">
        <f>IF($E287=BA$3,$G287,0)-IF($H287=BA$3,$J287,0)</f>
        <v/>
      </c>
      <c r="BB287" s="47">
        <f>IF($E287=BB$3,$G287,0)-IF($H287=BB$3,$J287,0)</f>
        <v/>
      </c>
      <c r="BC287" s="47">
        <f>IF($E287=BC$3,$G287,0)-IF($H287=BC$3,$J287,0)</f>
        <v/>
      </c>
      <c r="BD287" s="47">
        <f>IF($E287=BD$3,$G287,0)-IF($H287=BD$3,$J287,0)</f>
        <v/>
      </c>
      <c r="BE287" s="47">
        <f>IF($E287=BE$3,$G287,0)-IF($H287=BE$3,$J287,0)</f>
        <v/>
      </c>
      <c r="BF287" s="47">
        <f>IF($E287=BF$3,$G287,0)-IF($H287=BF$3,$J287,0)</f>
        <v/>
      </c>
      <c r="BG287" s="47">
        <f>IF($E287=BG$3,$G287,0)-IF($H287=BG$3,$J287,0)</f>
        <v/>
      </c>
      <c r="BH287" s="47">
        <f>IF($E287=BH$3,$G287,0)-IF($H287=BH$3,$J287,0)</f>
        <v/>
      </c>
      <c r="BI287" s="47">
        <f>IF($E287=BI$3,$G287,0)-IF($H287=BI$3,$J287,0)</f>
        <v/>
      </c>
      <c r="BJ287" s="47">
        <f>IF($E287=BJ$3,$G287,0)-IF($H287=BJ$3,$J287,0)</f>
        <v/>
      </c>
      <c r="BK287" s="47">
        <f>IF($E287=BK$3,$G287,0)-IF($H287=BK$3,$J287,0)</f>
        <v/>
      </c>
      <c r="BL287" s="46">
        <f>-IF($E287=BL$3,$G287,0)+IF($H287=BL$3,$J287,0)</f>
        <v/>
      </c>
      <c r="BM287" s="47">
        <f>-IF($E287=BM$3,$G287,0)+IF($H287=BM$3,$J287,0)</f>
        <v/>
      </c>
      <c r="BN287" s="47">
        <f>-IF($E287=BN$3,$G287,0)+IF($H287=BN$3,$J287,0)</f>
        <v/>
      </c>
      <c r="BO287" s="47">
        <f>-IF($E287=BO$3,$G287,0)+IF($H287=BO$3,$J287,0)</f>
        <v/>
      </c>
      <c r="BP287" s="47">
        <f>-IF($E287=BP$3,$G287,0)+IF($H287=BP$3,$J287,0)</f>
        <v/>
      </c>
      <c r="BQ287" s="47">
        <f>-IF($E287=BQ$3,$G287,0)+IF($H287=BQ$3,$J287,0)</f>
        <v/>
      </c>
      <c r="BR287" s="47">
        <f>-IF($E287=BR$3,$G287,0)+IF($H287=BR$3,$J287,0)</f>
        <v/>
      </c>
      <c r="BS287" s="47">
        <f>-IF($E287=BS$3,$G287,0)+IF($H287=BS$3,$J287,0)</f>
        <v/>
      </c>
      <c r="BT287" s="47">
        <f>-IF($E287=BT$3,$G287,0)+IF($H287=BT$3,$J287,0)</f>
        <v/>
      </c>
      <c r="BU287" s="46">
        <f>+G287-J287</f>
        <v/>
      </c>
      <c r="BV287" s="48">
        <f>-IF($E287=BV$3,$G287,0)+IF($H287=BV$3,$J287,0)</f>
        <v/>
      </c>
      <c r="BW287" s="3" t="n"/>
    </row>
    <row r="288" ht="15.75" customHeight="1" s="214">
      <c r="A288" s="7" t="n"/>
      <c r="B288" s="8" t="n"/>
      <c r="C288" s="9" t="n"/>
      <c r="D288" s="10" t="n"/>
      <c r="E288" s="247" t="n"/>
      <c r="F288" s="11">
        <f>IF(E288="","",IF(ISNA(VLOOKUP(E288,科目コード表!$C$4:$D$67,2,FALSE)),"該当科目なし",VLOOKUP(E288,科目コード表!$C$4:$D$67,2,FALSE)))</f>
        <v/>
      </c>
      <c r="G288" s="38" t="n"/>
      <c r="H288" s="248" t="n"/>
      <c r="I288" s="11">
        <f>IF(H288="","",IF(ISNA(VLOOKUP(H288,科目コード表!$C$4:$D$67,2,FALSE)),"該当科目なし",VLOOKUP(H288,科目コード表!$C$4:$D$67,2,FALSE)))</f>
        <v/>
      </c>
      <c r="J288" s="40" t="n"/>
      <c r="L288" s="46">
        <f>IF($E288=L$3,$G288,0)-IF($H288=L$3,$J288,0)</f>
        <v/>
      </c>
      <c r="M288" s="47">
        <f>IF($E288=M$3,$G288,0)-IF($H288=M$3,$J288,0)</f>
        <v/>
      </c>
      <c r="N288" s="47">
        <f>IF($E288=N$3,$G288,0)-IF($H288=N$3,$J288,0)</f>
        <v/>
      </c>
      <c r="O288" s="47">
        <f>IF($E288=O$3,$G288,0)-IF($H288=O$3,$J288,0)</f>
        <v/>
      </c>
      <c r="P288" s="47">
        <f>IF($E288=P$3,$G288,0)-IF($H288=P$3,$J288,0)</f>
        <v/>
      </c>
      <c r="Q288" s="47">
        <f>IF($E288=Q$3,$G288,0)-IF($H288=Q$3,$J288,0)</f>
        <v/>
      </c>
      <c r="R288" s="47">
        <f>IF($E288=R$3,$G288,0)-IF($H288=R$3,$J288,0)</f>
        <v/>
      </c>
      <c r="S288" s="47">
        <f>IF($E288=S$3,$G288,0)-IF($H288=S$3,$J288,0)</f>
        <v/>
      </c>
      <c r="T288" s="47">
        <f>IF($E288=T$3,$G288,0)-IF($H288=T$3,$J288,0)</f>
        <v/>
      </c>
      <c r="U288" s="47">
        <f>IF($E288=U$3,$G288,0)-IF($H288=U$3,$J288,0)</f>
        <v/>
      </c>
      <c r="V288" s="47">
        <f>IF($E288=V$3,$G288,0)-IF($H288=V$3,$J288,0)</f>
        <v/>
      </c>
      <c r="W288" s="47">
        <f>IF($E288=W$3,$G288,0)-IF($H288=W$3,$J288,0)</f>
        <v/>
      </c>
      <c r="X288" s="47">
        <f>IF($E288=X$3,$G288,0)-IF($H288=X$3,$J288,0)</f>
        <v/>
      </c>
      <c r="Y288" s="47">
        <f>IF($E288=Y$3,$G288,0)-IF($H288=Y$3,$J288,0)</f>
        <v/>
      </c>
      <c r="Z288" s="47">
        <f>IF($E288=Z$3,$G288,0)-IF($H288=Z$3,$J288,0)</f>
        <v/>
      </c>
      <c r="AA288" s="47">
        <f>IF($E288=AA$3,$G288,0)-IF($H288=AA$3,$J288,0)</f>
        <v/>
      </c>
      <c r="AB288" s="47">
        <f>IF($E288=AB$3,$G288,0)-IF($H288=AB$3,$J288,0)</f>
        <v/>
      </c>
      <c r="AC288" s="47">
        <f>IF($E288=AC$3,$G288,0)-IF($H288=AC$3,$J288,0)</f>
        <v/>
      </c>
      <c r="AD288" s="47">
        <f>IF($E288=AD$3,$G288,0)-IF($H288=AD$3,$J288,0)</f>
        <v/>
      </c>
      <c r="AE288" s="47">
        <f>IF($E288=AE$3,$G288,0)-IF($H288=AE$3,$J288,0)</f>
        <v/>
      </c>
      <c r="AF288" s="47">
        <f>IF($E288=AF$3,$G288,0)-IF($H288=AF$3,$J288,0)</f>
        <v/>
      </c>
      <c r="AG288" s="47">
        <f>IF($E288=AG$3,$G288,0)-IF($H288=AG$3,$J288,0)</f>
        <v/>
      </c>
      <c r="AH288" s="47">
        <f>IF($E288=AH$3,$G288,0)-IF($H288=AH$3,$J288,0)</f>
        <v/>
      </c>
      <c r="AI288" s="47">
        <f>IF($E288=AI$3,$G288,0)-IF($H288=AI$3,$J288,0)</f>
        <v/>
      </c>
      <c r="AJ288" s="47">
        <f>IF($E288=AJ$3,$G288,0)-IF($H288=AJ$3,$J288,0)</f>
        <v/>
      </c>
      <c r="AK288" s="47">
        <f>IF($E288=AK$3,$G288,0)-IF($H288=AK$3,$J288,0)</f>
        <v/>
      </c>
      <c r="AL288" s="48">
        <f>IF($E288=AL$3,$G288,0)-IF($H288=AL$3,$J288,0)</f>
        <v/>
      </c>
      <c r="AM288" s="46">
        <f>-IF($E288=AM$3,$G288,0)+IF($H288=AM$3,$J288,0)</f>
        <v/>
      </c>
      <c r="AN288" s="47">
        <f>-IF($E288=AN$3,$G288,0)+IF($H288=AN$3,$J288,0)</f>
        <v/>
      </c>
      <c r="AO288" s="48">
        <f>-IF($E288=AO$3,$G288,0)+IF($H288=AO$3,$J288,0)</f>
        <v/>
      </c>
      <c r="AP288" s="46">
        <f>IF($E288=AP$3,$G288,0)-IF($H288=AP$3,$J288,0)</f>
        <v/>
      </c>
      <c r="AQ288" s="47">
        <f>IF($E288=AQ$3,$G288,0)-IF($H288=AQ$3,$J288,0)</f>
        <v/>
      </c>
      <c r="AR288" s="47">
        <f>IF($E288=AR$3,$G288,0)-IF($H288=AR$3,$J288,0)</f>
        <v/>
      </c>
      <c r="AS288" s="47">
        <f>IF($E288=AS$3,$G288,0)-IF($H288=AS$3,$J288,0)</f>
        <v/>
      </c>
      <c r="AT288" s="47">
        <f>IF($E288=AT$3,$G288,0)-IF($H288=AT$3,$J288,0)</f>
        <v/>
      </c>
      <c r="AU288" s="47">
        <f>IF($E288=AU$3,$G288,0)-IF($H288=AU$3,$J288,0)</f>
        <v/>
      </c>
      <c r="AV288" s="47">
        <f>IF($E288=AV$3,$G288,0)-IF($H288=AV$3,$J288,0)</f>
        <v/>
      </c>
      <c r="AW288" s="47">
        <f>IF($E288=AW$3,$G288,0)-IF($H288=AW$3,$J288,0)</f>
        <v/>
      </c>
      <c r="AX288" s="47">
        <f>IF($E288=AX$3,$G288,0)-IF($H288=AX$3,$J288,0)</f>
        <v/>
      </c>
      <c r="AY288" s="47">
        <f>IF($E288=AY$3,$G288,0)-IF($H288=AY$3,$J288,0)</f>
        <v/>
      </c>
      <c r="AZ288" s="47">
        <f>IF($E288=AZ$3,$G288,0)-IF($H288=AZ$3,$J288,0)</f>
        <v/>
      </c>
      <c r="BA288" s="47">
        <f>IF($E288=BA$3,$G288,0)-IF($H288=BA$3,$J288,0)</f>
        <v/>
      </c>
      <c r="BB288" s="47">
        <f>IF($E288=BB$3,$G288,0)-IF($H288=BB$3,$J288,0)</f>
        <v/>
      </c>
      <c r="BC288" s="47">
        <f>IF($E288=BC$3,$G288,0)-IF($H288=BC$3,$J288,0)</f>
        <v/>
      </c>
      <c r="BD288" s="47">
        <f>IF($E288=BD$3,$G288,0)-IF($H288=BD$3,$J288,0)</f>
        <v/>
      </c>
      <c r="BE288" s="47">
        <f>IF($E288=BE$3,$G288,0)-IF($H288=BE$3,$J288,0)</f>
        <v/>
      </c>
      <c r="BF288" s="47">
        <f>IF($E288=BF$3,$G288,0)-IF($H288=BF$3,$J288,0)</f>
        <v/>
      </c>
      <c r="BG288" s="47">
        <f>IF($E288=BG$3,$G288,0)-IF($H288=BG$3,$J288,0)</f>
        <v/>
      </c>
      <c r="BH288" s="47">
        <f>IF($E288=BH$3,$G288,0)-IF($H288=BH$3,$J288,0)</f>
        <v/>
      </c>
      <c r="BI288" s="47">
        <f>IF($E288=BI$3,$G288,0)-IF($H288=BI$3,$J288,0)</f>
        <v/>
      </c>
      <c r="BJ288" s="47">
        <f>IF($E288=BJ$3,$G288,0)-IF($H288=BJ$3,$J288,0)</f>
        <v/>
      </c>
      <c r="BK288" s="47">
        <f>IF($E288=BK$3,$G288,0)-IF($H288=BK$3,$J288,0)</f>
        <v/>
      </c>
      <c r="BL288" s="46">
        <f>-IF($E288=BL$3,$G288,0)+IF($H288=BL$3,$J288,0)</f>
        <v/>
      </c>
      <c r="BM288" s="47">
        <f>-IF($E288=BM$3,$G288,0)+IF($H288=BM$3,$J288,0)</f>
        <v/>
      </c>
      <c r="BN288" s="47">
        <f>-IF($E288=BN$3,$G288,0)+IF($H288=BN$3,$J288,0)</f>
        <v/>
      </c>
      <c r="BO288" s="47">
        <f>-IF($E288=BO$3,$G288,0)+IF($H288=BO$3,$J288,0)</f>
        <v/>
      </c>
      <c r="BP288" s="47">
        <f>-IF($E288=BP$3,$G288,0)+IF($H288=BP$3,$J288,0)</f>
        <v/>
      </c>
      <c r="BQ288" s="47">
        <f>-IF($E288=BQ$3,$G288,0)+IF($H288=BQ$3,$J288,0)</f>
        <v/>
      </c>
      <c r="BR288" s="47">
        <f>-IF($E288=BR$3,$G288,0)+IF($H288=BR$3,$J288,0)</f>
        <v/>
      </c>
      <c r="BS288" s="47">
        <f>-IF($E288=BS$3,$G288,0)+IF($H288=BS$3,$J288,0)</f>
        <v/>
      </c>
      <c r="BT288" s="47">
        <f>-IF($E288=BT$3,$G288,0)+IF($H288=BT$3,$J288,0)</f>
        <v/>
      </c>
      <c r="BU288" s="46">
        <f>+G288-J288</f>
        <v/>
      </c>
      <c r="BV288" s="48">
        <f>-IF($E288=BV$3,$G288,0)+IF($H288=BV$3,$J288,0)</f>
        <v/>
      </c>
      <c r="BW288" s="3" t="n"/>
    </row>
    <row r="289" ht="15.75" customHeight="1" s="214">
      <c r="A289" s="7" t="n"/>
      <c r="B289" s="8" t="n"/>
      <c r="C289" s="9" t="n"/>
      <c r="D289" s="10" t="n"/>
      <c r="E289" s="247" t="n"/>
      <c r="F289" s="11">
        <f>IF(E289="","",IF(ISNA(VLOOKUP(E289,科目コード表!$C$4:$D$67,2,FALSE)),"該当科目なし",VLOOKUP(E289,科目コード表!$C$4:$D$67,2,FALSE)))</f>
        <v/>
      </c>
      <c r="G289" s="38" t="n"/>
      <c r="H289" s="248" t="n"/>
      <c r="I289" s="11">
        <f>IF(H289="","",IF(ISNA(VLOOKUP(H289,科目コード表!$C$4:$D$67,2,FALSE)),"該当科目なし",VLOOKUP(H289,科目コード表!$C$4:$D$67,2,FALSE)))</f>
        <v/>
      </c>
      <c r="J289" s="40" t="n"/>
      <c r="L289" s="46">
        <f>IF($E289=L$3,$G289,0)-IF($H289=L$3,$J289,0)</f>
        <v/>
      </c>
      <c r="M289" s="47">
        <f>IF($E289=M$3,$G289,0)-IF($H289=M$3,$J289,0)</f>
        <v/>
      </c>
      <c r="N289" s="47">
        <f>IF($E289=N$3,$G289,0)-IF($H289=N$3,$J289,0)</f>
        <v/>
      </c>
      <c r="O289" s="47">
        <f>IF($E289=O$3,$G289,0)-IF($H289=O$3,$J289,0)</f>
        <v/>
      </c>
      <c r="P289" s="47">
        <f>IF($E289=P$3,$G289,0)-IF($H289=P$3,$J289,0)</f>
        <v/>
      </c>
      <c r="Q289" s="47">
        <f>IF($E289=Q$3,$G289,0)-IF($H289=Q$3,$J289,0)</f>
        <v/>
      </c>
      <c r="R289" s="47">
        <f>IF($E289=R$3,$G289,0)-IF($H289=R$3,$J289,0)</f>
        <v/>
      </c>
      <c r="S289" s="47">
        <f>IF($E289=S$3,$G289,0)-IF($H289=S$3,$J289,0)</f>
        <v/>
      </c>
      <c r="T289" s="47">
        <f>IF($E289=T$3,$G289,0)-IF($H289=T$3,$J289,0)</f>
        <v/>
      </c>
      <c r="U289" s="47">
        <f>IF($E289=U$3,$G289,0)-IF($H289=U$3,$J289,0)</f>
        <v/>
      </c>
      <c r="V289" s="47">
        <f>IF($E289=V$3,$G289,0)-IF($H289=V$3,$J289,0)</f>
        <v/>
      </c>
      <c r="W289" s="47">
        <f>IF($E289=W$3,$G289,0)-IF($H289=W$3,$J289,0)</f>
        <v/>
      </c>
      <c r="X289" s="47">
        <f>IF($E289=X$3,$G289,0)-IF($H289=X$3,$J289,0)</f>
        <v/>
      </c>
      <c r="Y289" s="47">
        <f>IF($E289=Y$3,$G289,0)-IF($H289=Y$3,$J289,0)</f>
        <v/>
      </c>
      <c r="Z289" s="47">
        <f>IF($E289=Z$3,$G289,0)-IF($H289=Z$3,$J289,0)</f>
        <v/>
      </c>
      <c r="AA289" s="47">
        <f>IF($E289=AA$3,$G289,0)-IF($H289=AA$3,$J289,0)</f>
        <v/>
      </c>
      <c r="AB289" s="47">
        <f>IF($E289=AB$3,$G289,0)-IF($H289=AB$3,$J289,0)</f>
        <v/>
      </c>
      <c r="AC289" s="47">
        <f>IF($E289=AC$3,$G289,0)-IF($H289=AC$3,$J289,0)</f>
        <v/>
      </c>
      <c r="AD289" s="47">
        <f>IF($E289=AD$3,$G289,0)-IF($H289=AD$3,$J289,0)</f>
        <v/>
      </c>
      <c r="AE289" s="47">
        <f>IF($E289=AE$3,$G289,0)-IF($H289=AE$3,$J289,0)</f>
        <v/>
      </c>
      <c r="AF289" s="47">
        <f>IF($E289=AF$3,$G289,0)-IF($H289=AF$3,$J289,0)</f>
        <v/>
      </c>
      <c r="AG289" s="47">
        <f>IF($E289=AG$3,$G289,0)-IF($H289=AG$3,$J289,0)</f>
        <v/>
      </c>
      <c r="AH289" s="47">
        <f>IF($E289=AH$3,$G289,0)-IF($H289=AH$3,$J289,0)</f>
        <v/>
      </c>
      <c r="AI289" s="47">
        <f>IF($E289=AI$3,$G289,0)-IF($H289=AI$3,$J289,0)</f>
        <v/>
      </c>
      <c r="AJ289" s="47">
        <f>IF($E289=AJ$3,$G289,0)-IF($H289=AJ$3,$J289,0)</f>
        <v/>
      </c>
      <c r="AK289" s="47">
        <f>IF($E289=AK$3,$G289,0)-IF($H289=AK$3,$J289,0)</f>
        <v/>
      </c>
      <c r="AL289" s="48">
        <f>IF($E289=AL$3,$G289,0)-IF($H289=AL$3,$J289,0)</f>
        <v/>
      </c>
      <c r="AM289" s="46">
        <f>-IF($E289=AM$3,$G289,0)+IF($H289=AM$3,$J289,0)</f>
        <v/>
      </c>
      <c r="AN289" s="47">
        <f>-IF($E289=AN$3,$G289,0)+IF($H289=AN$3,$J289,0)</f>
        <v/>
      </c>
      <c r="AO289" s="48">
        <f>-IF($E289=AO$3,$G289,0)+IF($H289=AO$3,$J289,0)</f>
        <v/>
      </c>
      <c r="AP289" s="46">
        <f>IF($E289=AP$3,$G289,0)-IF($H289=AP$3,$J289,0)</f>
        <v/>
      </c>
      <c r="AQ289" s="47">
        <f>IF($E289=AQ$3,$G289,0)-IF($H289=AQ$3,$J289,0)</f>
        <v/>
      </c>
      <c r="AR289" s="47">
        <f>IF($E289=AR$3,$G289,0)-IF($H289=AR$3,$J289,0)</f>
        <v/>
      </c>
      <c r="AS289" s="47">
        <f>IF($E289=AS$3,$G289,0)-IF($H289=AS$3,$J289,0)</f>
        <v/>
      </c>
      <c r="AT289" s="47">
        <f>IF($E289=AT$3,$G289,0)-IF($H289=AT$3,$J289,0)</f>
        <v/>
      </c>
      <c r="AU289" s="47">
        <f>IF($E289=AU$3,$G289,0)-IF($H289=AU$3,$J289,0)</f>
        <v/>
      </c>
      <c r="AV289" s="47">
        <f>IF($E289=AV$3,$G289,0)-IF($H289=AV$3,$J289,0)</f>
        <v/>
      </c>
      <c r="AW289" s="47">
        <f>IF($E289=AW$3,$G289,0)-IF($H289=AW$3,$J289,0)</f>
        <v/>
      </c>
      <c r="AX289" s="47">
        <f>IF($E289=AX$3,$G289,0)-IF($H289=AX$3,$J289,0)</f>
        <v/>
      </c>
      <c r="AY289" s="47">
        <f>IF($E289=AY$3,$G289,0)-IF($H289=AY$3,$J289,0)</f>
        <v/>
      </c>
      <c r="AZ289" s="47">
        <f>IF($E289=AZ$3,$G289,0)-IF($H289=AZ$3,$J289,0)</f>
        <v/>
      </c>
      <c r="BA289" s="47">
        <f>IF($E289=BA$3,$G289,0)-IF($H289=BA$3,$J289,0)</f>
        <v/>
      </c>
      <c r="BB289" s="47">
        <f>IF($E289=BB$3,$G289,0)-IF($H289=BB$3,$J289,0)</f>
        <v/>
      </c>
      <c r="BC289" s="47">
        <f>IF($E289=BC$3,$G289,0)-IF($H289=BC$3,$J289,0)</f>
        <v/>
      </c>
      <c r="BD289" s="47">
        <f>IF($E289=BD$3,$G289,0)-IF($H289=BD$3,$J289,0)</f>
        <v/>
      </c>
      <c r="BE289" s="47">
        <f>IF($E289=BE$3,$G289,0)-IF($H289=BE$3,$J289,0)</f>
        <v/>
      </c>
      <c r="BF289" s="47">
        <f>IF($E289=BF$3,$G289,0)-IF($H289=BF$3,$J289,0)</f>
        <v/>
      </c>
      <c r="BG289" s="47">
        <f>IF($E289=BG$3,$G289,0)-IF($H289=BG$3,$J289,0)</f>
        <v/>
      </c>
      <c r="BH289" s="47">
        <f>IF($E289=BH$3,$G289,0)-IF($H289=BH$3,$J289,0)</f>
        <v/>
      </c>
      <c r="BI289" s="47">
        <f>IF($E289=BI$3,$G289,0)-IF($H289=BI$3,$J289,0)</f>
        <v/>
      </c>
      <c r="BJ289" s="47">
        <f>IF($E289=BJ$3,$G289,0)-IF($H289=BJ$3,$J289,0)</f>
        <v/>
      </c>
      <c r="BK289" s="47">
        <f>IF($E289=BK$3,$G289,0)-IF($H289=BK$3,$J289,0)</f>
        <v/>
      </c>
      <c r="BL289" s="46">
        <f>-IF($E289=BL$3,$G289,0)+IF($H289=BL$3,$J289,0)</f>
        <v/>
      </c>
      <c r="BM289" s="47">
        <f>-IF($E289=BM$3,$G289,0)+IF($H289=BM$3,$J289,0)</f>
        <v/>
      </c>
      <c r="BN289" s="47">
        <f>-IF($E289=BN$3,$G289,0)+IF($H289=BN$3,$J289,0)</f>
        <v/>
      </c>
      <c r="BO289" s="47">
        <f>-IF($E289=BO$3,$G289,0)+IF($H289=BO$3,$J289,0)</f>
        <v/>
      </c>
      <c r="BP289" s="47">
        <f>-IF($E289=BP$3,$G289,0)+IF($H289=BP$3,$J289,0)</f>
        <v/>
      </c>
      <c r="BQ289" s="47">
        <f>-IF($E289=BQ$3,$G289,0)+IF($H289=BQ$3,$J289,0)</f>
        <v/>
      </c>
      <c r="BR289" s="47">
        <f>-IF($E289=BR$3,$G289,0)+IF($H289=BR$3,$J289,0)</f>
        <v/>
      </c>
      <c r="BS289" s="47">
        <f>-IF($E289=BS$3,$G289,0)+IF($H289=BS$3,$J289,0)</f>
        <v/>
      </c>
      <c r="BT289" s="47">
        <f>-IF($E289=BT$3,$G289,0)+IF($H289=BT$3,$J289,0)</f>
        <v/>
      </c>
      <c r="BU289" s="46">
        <f>+G289-J289</f>
        <v/>
      </c>
      <c r="BV289" s="48">
        <f>-IF($E289=BV$3,$G289,0)+IF($H289=BV$3,$J289,0)</f>
        <v/>
      </c>
      <c r="BW289" s="3" t="n"/>
    </row>
    <row r="290" ht="15.75" customHeight="1" s="214">
      <c r="A290" s="7" t="n"/>
      <c r="B290" s="8" t="n"/>
      <c r="C290" s="9" t="n"/>
      <c r="D290" s="10" t="n"/>
      <c r="E290" s="247" t="n"/>
      <c r="F290" s="11">
        <f>IF(E290="","",IF(ISNA(VLOOKUP(E290,科目コード表!$C$4:$D$67,2,FALSE)),"該当科目なし",VLOOKUP(E290,科目コード表!$C$4:$D$67,2,FALSE)))</f>
        <v/>
      </c>
      <c r="G290" s="38" t="n"/>
      <c r="H290" s="248" t="n"/>
      <c r="I290" s="11">
        <f>IF(H290="","",IF(ISNA(VLOOKUP(H290,科目コード表!$C$4:$D$67,2,FALSE)),"該当科目なし",VLOOKUP(H290,科目コード表!$C$4:$D$67,2,FALSE)))</f>
        <v/>
      </c>
      <c r="J290" s="40" t="n"/>
      <c r="L290" s="46">
        <f>IF($E290=L$3,$G290,0)-IF($H290=L$3,$J290,0)</f>
        <v/>
      </c>
      <c r="M290" s="47">
        <f>IF($E290=M$3,$G290,0)-IF($H290=M$3,$J290,0)</f>
        <v/>
      </c>
      <c r="N290" s="47">
        <f>IF($E290=N$3,$G290,0)-IF($H290=N$3,$J290,0)</f>
        <v/>
      </c>
      <c r="O290" s="47">
        <f>IF($E290=O$3,$G290,0)-IF($H290=O$3,$J290,0)</f>
        <v/>
      </c>
      <c r="P290" s="47">
        <f>IF($E290=P$3,$G290,0)-IF($H290=P$3,$J290,0)</f>
        <v/>
      </c>
      <c r="Q290" s="47">
        <f>IF($E290=Q$3,$G290,0)-IF($H290=Q$3,$J290,0)</f>
        <v/>
      </c>
      <c r="R290" s="47">
        <f>IF($E290=R$3,$G290,0)-IF($H290=R$3,$J290,0)</f>
        <v/>
      </c>
      <c r="S290" s="47">
        <f>IF($E290=S$3,$G290,0)-IF($H290=S$3,$J290,0)</f>
        <v/>
      </c>
      <c r="T290" s="47">
        <f>IF($E290=T$3,$G290,0)-IF($H290=T$3,$J290,0)</f>
        <v/>
      </c>
      <c r="U290" s="47">
        <f>IF($E290=U$3,$G290,0)-IF($H290=U$3,$J290,0)</f>
        <v/>
      </c>
      <c r="V290" s="47">
        <f>IF($E290=V$3,$G290,0)-IF($H290=V$3,$J290,0)</f>
        <v/>
      </c>
      <c r="W290" s="47">
        <f>IF($E290=W$3,$G290,0)-IF($H290=W$3,$J290,0)</f>
        <v/>
      </c>
      <c r="X290" s="47">
        <f>IF($E290=X$3,$G290,0)-IF($H290=X$3,$J290,0)</f>
        <v/>
      </c>
      <c r="Y290" s="47">
        <f>IF($E290=Y$3,$G290,0)-IF($H290=Y$3,$J290,0)</f>
        <v/>
      </c>
      <c r="Z290" s="47">
        <f>IF($E290=Z$3,$G290,0)-IF($H290=Z$3,$J290,0)</f>
        <v/>
      </c>
      <c r="AA290" s="47">
        <f>IF($E290=AA$3,$G290,0)-IF($H290=AA$3,$J290,0)</f>
        <v/>
      </c>
      <c r="AB290" s="47">
        <f>IF($E290=AB$3,$G290,0)-IF($H290=AB$3,$J290,0)</f>
        <v/>
      </c>
      <c r="AC290" s="47">
        <f>IF($E290=AC$3,$G290,0)-IF($H290=AC$3,$J290,0)</f>
        <v/>
      </c>
      <c r="AD290" s="47">
        <f>IF($E290=AD$3,$G290,0)-IF($H290=AD$3,$J290,0)</f>
        <v/>
      </c>
      <c r="AE290" s="47">
        <f>IF($E290=AE$3,$G290,0)-IF($H290=AE$3,$J290,0)</f>
        <v/>
      </c>
      <c r="AF290" s="47">
        <f>IF($E290=AF$3,$G290,0)-IF($H290=AF$3,$J290,0)</f>
        <v/>
      </c>
      <c r="AG290" s="47">
        <f>IF($E290=AG$3,$G290,0)-IF($H290=AG$3,$J290,0)</f>
        <v/>
      </c>
      <c r="AH290" s="47">
        <f>IF($E290=AH$3,$G290,0)-IF($H290=AH$3,$J290,0)</f>
        <v/>
      </c>
      <c r="AI290" s="47">
        <f>IF($E290=AI$3,$G290,0)-IF($H290=AI$3,$J290,0)</f>
        <v/>
      </c>
      <c r="AJ290" s="47">
        <f>IF($E290=AJ$3,$G290,0)-IF($H290=AJ$3,$J290,0)</f>
        <v/>
      </c>
      <c r="AK290" s="47">
        <f>IF($E290=AK$3,$G290,0)-IF($H290=AK$3,$J290,0)</f>
        <v/>
      </c>
      <c r="AL290" s="48">
        <f>IF($E290=AL$3,$G290,0)-IF($H290=AL$3,$J290,0)</f>
        <v/>
      </c>
      <c r="AM290" s="46">
        <f>-IF($E290=AM$3,$G290,0)+IF($H290=AM$3,$J290,0)</f>
        <v/>
      </c>
      <c r="AN290" s="47">
        <f>-IF($E290=AN$3,$G290,0)+IF($H290=AN$3,$J290,0)</f>
        <v/>
      </c>
      <c r="AO290" s="48">
        <f>-IF($E290=AO$3,$G290,0)+IF($H290=AO$3,$J290,0)</f>
        <v/>
      </c>
      <c r="AP290" s="46">
        <f>IF($E290=AP$3,$G290,0)-IF($H290=AP$3,$J290,0)</f>
        <v/>
      </c>
      <c r="AQ290" s="47">
        <f>IF($E290=AQ$3,$G290,0)-IF($H290=AQ$3,$J290,0)</f>
        <v/>
      </c>
      <c r="AR290" s="47">
        <f>IF($E290=AR$3,$G290,0)-IF($H290=AR$3,$J290,0)</f>
        <v/>
      </c>
      <c r="AS290" s="47">
        <f>IF($E290=AS$3,$G290,0)-IF($H290=AS$3,$J290,0)</f>
        <v/>
      </c>
      <c r="AT290" s="47">
        <f>IF($E290=AT$3,$G290,0)-IF($H290=AT$3,$J290,0)</f>
        <v/>
      </c>
      <c r="AU290" s="47">
        <f>IF($E290=AU$3,$G290,0)-IF($H290=AU$3,$J290,0)</f>
        <v/>
      </c>
      <c r="AV290" s="47">
        <f>IF($E290=AV$3,$G290,0)-IF($H290=AV$3,$J290,0)</f>
        <v/>
      </c>
      <c r="AW290" s="47">
        <f>IF($E290=AW$3,$G290,0)-IF($H290=AW$3,$J290,0)</f>
        <v/>
      </c>
      <c r="AX290" s="47">
        <f>IF($E290=AX$3,$G290,0)-IF($H290=AX$3,$J290,0)</f>
        <v/>
      </c>
      <c r="AY290" s="47">
        <f>IF($E290=AY$3,$G290,0)-IF($H290=AY$3,$J290,0)</f>
        <v/>
      </c>
      <c r="AZ290" s="47">
        <f>IF($E290=AZ$3,$G290,0)-IF($H290=AZ$3,$J290,0)</f>
        <v/>
      </c>
      <c r="BA290" s="47">
        <f>IF($E290=BA$3,$G290,0)-IF($H290=BA$3,$J290,0)</f>
        <v/>
      </c>
      <c r="BB290" s="47">
        <f>IF($E290=BB$3,$G290,0)-IF($H290=BB$3,$J290,0)</f>
        <v/>
      </c>
      <c r="BC290" s="47">
        <f>IF($E290=BC$3,$G290,0)-IF($H290=BC$3,$J290,0)</f>
        <v/>
      </c>
      <c r="BD290" s="47">
        <f>IF($E290=BD$3,$G290,0)-IF($H290=BD$3,$J290,0)</f>
        <v/>
      </c>
      <c r="BE290" s="47">
        <f>IF($E290=BE$3,$G290,0)-IF($H290=BE$3,$J290,0)</f>
        <v/>
      </c>
      <c r="BF290" s="47">
        <f>IF($E290=BF$3,$G290,0)-IF($H290=BF$3,$J290,0)</f>
        <v/>
      </c>
      <c r="BG290" s="47">
        <f>IF($E290=BG$3,$G290,0)-IF($H290=BG$3,$J290,0)</f>
        <v/>
      </c>
      <c r="BH290" s="47">
        <f>IF($E290=BH$3,$G290,0)-IF($H290=BH$3,$J290,0)</f>
        <v/>
      </c>
      <c r="BI290" s="47">
        <f>IF($E290=BI$3,$G290,0)-IF($H290=BI$3,$J290,0)</f>
        <v/>
      </c>
      <c r="BJ290" s="47">
        <f>IF($E290=BJ$3,$G290,0)-IF($H290=BJ$3,$J290,0)</f>
        <v/>
      </c>
      <c r="BK290" s="47">
        <f>IF($E290=BK$3,$G290,0)-IF($H290=BK$3,$J290,0)</f>
        <v/>
      </c>
      <c r="BL290" s="46">
        <f>-IF($E290=BL$3,$G290,0)+IF($H290=BL$3,$J290,0)</f>
        <v/>
      </c>
      <c r="BM290" s="47">
        <f>-IF($E290=BM$3,$G290,0)+IF($H290=BM$3,$J290,0)</f>
        <v/>
      </c>
      <c r="BN290" s="47">
        <f>-IF($E290=BN$3,$G290,0)+IF($H290=BN$3,$J290,0)</f>
        <v/>
      </c>
      <c r="BO290" s="47">
        <f>-IF($E290=BO$3,$G290,0)+IF($H290=BO$3,$J290,0)</f>
        <v/>
      </c>
      <c r="BP290" s="47">
        <f>-IF($E290=BP$3,$G290,0)+IF($H290=BP$3,$J290,0)</f>
        <v/>
      </c>
      <c r="BQ290" s="47">
        <f>-IF($E290=BQ$3,$G290,0)+IF($H290=BQ$3,$J290,0)</f>
        <v/>
      </c>
      <c r="BR290" s="47">
        <f>-IF($E290=BR$3,$G290,0)+IF($H290=BR$3,$J290,0)</f>
        <v/>
      </c>
      <c r="BS290" s="47">
        <f>-IF($E290=BS$3,$G290,0)+IF($H290=BS$3,$J290,0)</f>
        <v/>
      </c>
      <c r="BT290" s="47">
        <f>-IF($E290=BT$3,$G290,0)+IF($H290=BT$3,$J290,0)</f>
        <v/>
      </c>
      <c r="BU290" s="46">
        <f>+G290-J290</f>
        <v/>
      </c>
      <c r="BV290" s="48">
        <f>-IF($E290=BV$3,$G290,0)+IF($H290=BV$3,$J290,0)</f>
        <v/>
      </c>
      <c r="BW290" s="3" t="n"/>
    </row>
    <row r="291" ht="15.75" customHeight="1" s="214">
      <c r="A291" s="7" t="n"/>
      <c r="B291" s="8" t="n"/>
      <c r="C291" s="9" t="n"/>
      <c r="D291" s="10" t="n"/>
      <c r="E291" s="247" t="n"/>
      <c r="F291" s="11">
        <f>IF(E291="","",IF(ISNA(VLOOKUP(E291,科目コード表!$C$4:$D$67,2,FALSE)),"該当科目なし",VLOOKUP(E291,科目コード表!$C$4:$D$67,2,FALSE)))</f>
        <v/>
      </c>
      <c r="G291" s="38" t="n"/>
      <c r="H291" s="248" t="n"/>
      <c r="I291" s="11">
        <f>IF(H291="","",IF(ISNA(VLOOKUP(H291,科目コード表!$C$4:$D$67,2,FALSE)),"該当科目なし",VLOOKUP(H291,科目コード表!$C$4:$D$67,2,FALSE)))</f>
        <v/>
      </c>
      <c r="J291" s="40" t="n"/>
      <c r="L291" s="46">
        <f>IF($E291=L$3,$G291,0)-IF($H291=L$3,$J291,0)</f>
        <v/>
      </c>
      <c r="M291" s="47">
        <f>IF($E291=M$3,$G291,0)-IF($H291=M$3,$J291,0)</f>
        <v/>
      </c>
      <c r="N291" s="47">
        <f>IF($E291=N$3,$G291,0)-IF($H291=N$3,$J291,0)</f>
        <v/>
      </c>
      <c r="O291" s="47">
        <f>IF($E291=O$3,$G291,0)-IF($H291=O$3,$J291,0)</f>
        <v/>
      </c>
      <c r="P291" s="47">
        <f>IF($E291=P$3,$G291,0)-IF($H291=P$3,$J291,0)</f>
        <v/>
      </c>
      <c r="Q291" s="47">
        <f>IF($E291=Q$3,$G291,0)-IF($H291=Q$3,$J291,0)</f>
        <v/>
      </c>
      <c r="R291" s="47">
        <f>IF($E291=R$3,$G291,0)-IF($H291=R$3,$J291,0)</f>
        <v/>
      </c>
      <c r="S291" s="47">
        <f>IF($E291=S$3,$G291,0)-IF($H291=S$3,$J291,0)</f>
        <v/>
      </c>
      <c r="T291" s="47">
        <f>IF($E291=T$3,$G291,0)-IF($H291=T$3,$J291,0)</f>
        <v/>
      </c>
      <c r="U291" s="47">
        <f>IF($E291=U$3,$G291,0)-IF($H291=U$3,$J291,0)</f>
        <v/>
      </c>
      <c r="V291" s="47">
        <f>IF($E291=V$3,$G291,0)-IF($H291=V$3,$J291,0)</f>
        <v/>
      </c>
      <c r="W291" s="47">
        <f>IF($E291=W$3,$G291,0)-IF($H291=W$3,$J291,0)</f>
        <v/>
      </c>
      <c r="X291" s="47">
        <f>IF($E291=X$3,$G291,0)-IF($H291=X$3,$J291,0)</f>
        <v/>
      </c>
      <c r="Y291" s="47">
        <f>IF($E291=Y$3,$G291,0)-IF($H291=Y$3,$J291,0)</f>
        <v/>
      </c>
      <c r="Z291" s="47">
        <f>IF($E291=Z$3,$G291,0)-IF($H291=Z$3,$J291,0)</f>
        <v/>
      </c>
      <c r="AA291" s="47">
        <f>IF($E291=AA$3,$G291,0)-IF($H291=AA$3,$J291,0)</f>
        <v/>
      </c>
      <c r="AB291" s="47">
        <f>IF($E291=AB$3,$G291,0)-IF($H291=AB$3,$J291,0)</f>
        <v/>
      </c>
      <c r="AC291" s="47">
        <f>IF($E291=AC$3,$G291,0)-IF($H291=AC$3,$J291,0)</f>
        <v/>
      </c>
      <c r="AD291" s="47">
        <f>IF($E291=AD$3,$G291,0)-IF($H291=AD$3,$J291,0)</f>
        <v/>
      </c>
      <c r="AE291" s="47">
        <f>IF($E291=AE$3,$G291,0)-IF($H291=AE$3,$J291,0)</f>
        <v/>
      </c>
      <c r="AF291" s="47">
        <f>IF($E291=AF$3,$G291,0)-IF($H291=AF$3,$J291,0)</f>
        <v/>
      </c>
      <c r="AG291" s="47">
        <f>IF($E291=AG$3,$G291,0)-IF($H291=AG$3,$J291,0)</f>
        <v/>
      </c>
      <c r="AH291" s="47">
        <f>IF($E291=AH$3,$G291,0)-IF($H291=AH$3,$J291,0)</f>
        <v/>
      </c>
      <c r="AI291" s="47">
        <f>IF($E291=AI$3,$G291,0)-IF($H291=AI$3,$J291,0)</f>
        <v/>
      </c>
      <c r="AJ291" s="47">
        <f>IF($E291=AJ$3,$G291,0)-IF($H291=AJ$3,$J291,0)</f>
        <v/>
      </c>
      <c r="AK291" s="47">
        <f>IF($E291=AK$3,$G291,0)-IF($H291=AK$3,$J291,0)</f>
        <v/>
      </c>
      <c r="AL291" s="48">
        <f>IF($E291=AL$3,$G291,0)-IF($H291=AL$3,$J291,0)</f>
        <v/>
      </c>
      <c r="AM291" s="46">
        <f>-IF($E291=AM$3,$G291,0)+IF($H291=AM$3,$J291,0)</f>
        <v/>
      </c>
      <c r="AN291" s="47">
        <f>-IF($E291=AN$3,$G291,0)+IF($H291=AN$3,$J291,0)</f>
        <v/>
      </c>
      <c r="AO291" s="48">
        <f>-IF($E291=AO$3,$G291,0)+IF($H291=AO$3,$J291,0)</f>
        <v/>
      </c>
      <c r="AP291" s="46">
        <f>IF($E291=AP$3,$G291,0)-IF($H291=AP$3,$J291,0)</f>
        <v/>
      </c>
      <c r="AQ291" s="47">
        <f>IF($E291=AQ$3,$G291,0)-IF($H291=AQ$3,$J291,0)</f>
        <v/>
      </c>
      <c r="AR291" s="47">
        <f>IF($E291=AR$3,$G291,0)-IF($H291=AR$3,$J291,0)</f>
        <v/>
      </c>
      <c r="AS291" s="47">
        <f>IF($E291=AS$3,$G291,0)-IF($H291=AS$3,$J291,0)</f>
        <v/>
      </c>
      <c r="AT291" s="47">
        <f>IF($E291=AT$3,$G291,0)-IF($H291=AT$3,$J291,0)</f>
        <v/>
      </c>
      <c r="AU291" s="47">
        <f>IF($E291=AU$3,$G291,0)-IF($H291=AU$3,$J291,0)</f>
        <v/>
      </c>
      <c r="AV291" s="47">
        <f>IF($E291=AV$3,$G291,0)-IF($H291=AV$3,$J291,0)</f>
        <v/>
      </c>
      <c r="AW291" s="47">
        <f>IF($E291=AW$3,$G291,0)-IF($H291=AW$3,$J291,0)</f>
        <v/>
      </c>
      <c r="AX291" s="47">
        <f>IF($E291=AX$3,$G291,0)-IF($H291=AX$3,$J291,0)</f>
        <v/>
      </c>
      <c r="AY291" s="47">
        <f>IF($E291=AY$3,$G291,0)-IF($H291=AY$3,$J291,0)</f>
        <v/>
      </c>
      <c r="AZ291" s="47">
        <f>IF($E291=AZ$3,$G291,0)-IF($H291=AZ$3,$J291,0)</f>
        <v/>
      </c>
      <c r="BA291" s="47">
        <f>IF($E291=BA$3,$G291,0)-IF($H291=BA$3,$J291,0)</f>
        <v/>
      </c>
      <c r="BB291" s="47">
        <f>IF($E291=BB$3,$G291,0)-IF($H291=BB$3,$J291,0)</f>
        <v/>
      </c>
      <c r="BC291" s="47">
        <f>IF($E291=BC$3,$G291,0)-IF($H291=BC$3,$J291,0)</f>
        <v/>
      </c>
      <c r="BD291" s="47">
        <f>IF($E291=BD$3,$G291,0)-IF($H291=BD$3,$J291,0)</f>
        <v/>
      </c>
      <c r="BE291" s="47">
        <f>IF($E291=BE$3,$G291,0)-IF($H291=BE$3,$J291,0)</f>
        <v/>
      </c>
      <c r="BF291" s="47">
        <f>IF($E291=BF$3,$G291,0)-IF($H291=BF$3,$J291,0)</f>
        <v/>
      </c>
      <c r="BG291" s="47">
        <f>IF($E291=BG$3,$G291,0)-IF($H291=BG$3,$J291,0)</f>
        <v/>
      </c>
      <c r="BH291" s="47">
        <f>IF($E291=BH$3,$G291,0)-IF($H291=BH$3,$J291,0)</f>
        <v/>
      </c>
      <c r="BI291" s="47">
        <f>IF($E291=BI$3,$G291,0)-IF($H291=BI$3,$J291,0)</f>
        <v/>
      </c>
      <c r="BJ291" s="47">
        <f>IF($E291=BJ$3,$G291,0)-IF($H291=BJ$3,$J291,0)</f>
        <v/>
      </c>
      <c r="BK291" s="47">
        <f>IF($E291=BK$3,$G291,0)-IF($H291=BK$3,$J291,0)</f>
        <v/>
      </c>
      <c r="BL291" s="46">
        <f>-IF($E291=BL$3,$G291,0)+IF($H291=BL$3,$J291,0)</f>
        <v/>
      </c>
      <c r="BM291" s="47">
        <f>-IF($E291=BM$3,$G291,0)+IF($H291=BM$3,$J291,0)</f>
        <v/>
      </c>
      <c r="BN291" s="47">
        <f>-IF($E291=BN$3,$G291,0)+IF($H291=BN$3,$J291,0)</f>
        <v/>
      </c>
      <c r="BO291" s="47">
        <f>-IF($E291=BO$3,$G291,0)+IF($H291=BO$3,$J291,0)</f>
        <v/>
      </c>
      <c r="BP291" s="47">
        <f>-IF($E291=BP$3,$G291,0)+IF($H291=BP$3,$J291,0)</f>
        <v/>
      </c>
      <c r="BQ291" s="47">
        <f>-IF($E291=BQ$3,$G291,0)+IF($H291=BQ$3,$J291,0)</f>
        <v/>
      </c>
      <c r="BR291" s="47">
        <f>-IF($E291=BR$3,$G291,0)+IF($H291=BR$3,$J291,0)</f>
        <v/>
      </c>
      <c r="BS291" s="47">
        <f>-IF($E291=BS$3,$G291,0)+IF($H291=BS$3,$J291,0)</f>
        <v/>
      </c>
      <c r="BT291" s="47">
        <f>-IF($E291=BT$3,$G291,0)+IF($H291=BT$3,$J291,0)</f>
        <v/>
      </c>
      <c r="BU291" s="46">
        <f>+G291-J291</f>
        <v/>
      </c>
      <c r="BV291" s="48">
        <f>-IF($E291=BV$3,$G291,0)+IF($H291=BV$3,$J291,0)</f>
        <v/>
      </c>
      <c r="BW291" s="3" t="n"/>
    </row>
    <row r="292" ht="15.75" customHeight="1" s="214">
      <c r="A292" s="7" t="n"/>
      <c r="B292" s="8" t="n"/>
      <c r="C292" s="9" t="n"/>
      <c r="D292" s="10" t="n"/>
      <c r="E292" s="247" t="n"/>
      <c r="F292" s="11">
        <f>IF(E292="","",IF(ISNA(VLOOKUP(E292,科目コード表!$C$4:$D$67,2,FALSE)),"該当科目なし",VLOOKUP(E292,科目コード表!$C$4:$D$67,2,FALSE)))</f>
        <v/>
      </c>
      <c r="G292" s="38" t="n"/>
      <c r="H292" s="248" t="n"/>
      <c r="I292" s="11">
        <f>IF(H292="","",IF(ISNA(VLOOKUP(H292,科目コード表!$C$4:$D$67,2,FALSE)),"該当科目なし",VLOOKUP(H292,科目コード表!$C$4:$D$67,2,FALSE)))</f>
        <v/>
      </c>
      <c r="J292" s="40" t="n"/>
      <c r="L292" s="46">
        <f>IF($E292=L$3,$G292,0)-IF($H292=L$3,$J292,0)</f>
        <v/>
      </c>
      <c r="M292" s="47">
        <f>IF($E292=M$3,$G292,0)-IF($H292=M$3,$J292,0)</f>
        <v/>
      </c>
      <c r="N292" s="47">
        <f>IF($E292=N$3,$G292,0)-IF($H292=N$3,$J292,0)</f>
        <v/>
      </c>
      <c r="O292" s="47">
        <f>IF($E292=O$3,$G292,0)-IF($H292=O$3,$J292,0)</f>
        <v/>
      </c>
      <c r="P292" s="47">
        <f>IF($E292=P$3,$G292,0)-IF($H292=P$3,$J292,0)</f>
        <v/>
      </c>
      <c r="Q292" s="47">
        <f>IF($E292=Q$3,$G292,0)-IF($H292=Q$3,$J292,0)</f>
        <v/>
      </c>
      <c r="R292" s="47">
        <f>IF($E292=R$3,$G292,0)-IF($H292=R$3,$J292,0)</f>
        <v/>
      </c>
      <c r="S292" s="47">
        <f>IF($E292=S$3,$G292,0)-IF($H292=S$3,$J292,0)</f>
        <v/>
      </c>
      <c r="T292" s="47">
        <f>IF($E292=T$3,$G292,0)-IF($H292=T$3,$J292,0)</f>
        <v/>
      </c>
      <c r="U292" s="47">
        <f>IF($E292=U$3,$G292,0)-IF($H292=U$3,$J292,0)</f>
        <v/>
      </c>
      <c r="V292" s="47">
        <f>IF($E292=V$3,$G292,0)-IF($H292=V$3,$J292,0)</f>
        <v/>
      </c>
      <c r="W292" s="47">
        <f>IF($E292=W$3,$G292,0)-IF($H292=W$3,$J292,0)</f>
        <v/>
      </c>
      <c r="X292" s="47">
        <f>IF($E292=X$3,$G292,0)-IF($H292=X$3,$J292,0)</f>
        <v/>
      </c>
      <c r="Y292" s="47">
        <f>IF($E292=Y$3,$G292,0)-IF($H292=Y$3,$J292,0)</f>
        <v/>
      </c>
      <c r="Z292" s="47">
        <f>IF($E292=Z$3,$G292,0)-IF($H292=Z$3,$J292,0)</f>
        <v/>
      </c>
      <c r="AA292" s="47">
        <f>IF($E292=AA$3,$G292,0)-IF($H292=AA$3,$J292,0)</f>
        <v/>
      </c>
      <c r="AB292" s="47">
        <f>IF($E292=AB$3,$G292,0)-IF($H292=AB$3,$J292,0)</f>
        <v/>
      </c>
      <c r="AC292" s="47">
        <f>IF($E292=AC$3,$G292,0)-IF($H292=AC$3,$J292,0)</f>
        <v/>
      </c>
      <c r="AD292" s="47">
        <f>IF($E292=AD$3,$G292,0)-IF($H292=AD$3,$J292,0)</f>
        <v/>
      </c>
      <c r="AE292" s="47">
        <f>IF($E292=AE$3,$G292,0)-IF($H292=AE$3,$J292,0)</f>
        <v/>
      </c>
      <c r="AF292" s="47">
        <f>IF($E292=AF$3,$G292,0)-IF($H292=AF$3,$J292,0)</f>
        <v/>
      </c>
      <c r="AG292" s="47">
        <f>IF($E292=AG$3,$G292,0)-IF($H292=AG$3,$J292,0)</f>
        <v/>
      </c>
      <c r="AH292" s="47">
        <f>IF($E292=AH$3,$G292,0)-IF($H292=AH$3,$J292,0)</f>
        <v/>
      </c>
      <c r="AI292" s="47">
        <f>IF($E292=AI$3,$G292,0)-IF($H292=AI$3,$J292,0)</f>
        <v/>
      </c>
      <c r="AJ292" s="47">
        <f>IF($E292=AJ$3,$G292,0)-IF($H292=AJ$3,$J292,0)</f>
        <v/>
      </c>
      <c r="AK292" s="47">
        <f>IF($E292=AK$3,$G292,0)-IF($H292=AK$3,$J292,0)</f>
        <v/>
      </c>
      <c r="AL292" s="48">
        <f>IF($E292=AL$3,$G292,0)-IF($H292=AL$3,$J292,0)</f>
        <v/>
      </c>
      <c r="AM292" s="46">
        <f>-IF($E292=AM$3,$G292,0)+IF($H292=AM$3,$J292,0)</f>
        <v/>
      </c>
      <c r="AN292" s="47">
        <f>-IF($E292=AN$3,$G292,0)+IF($H292=AN$3,$J292,0)</f>
        <v/>
      </c>
      <c r="AO292" s="48">
        <f>-IF($E292=AO$3,$G292,0)+IF($H292=AO$3,$J292,0)</f>
        <v/>
      </c>
      <c r="AP292" s="46">
        <f>IF($E292=AP$3,$G292,0)-IF($H292=AP$3,$J292,0)</f>
        <v/>
      </c>
      <c r="AQ292" s="47">
        <f>IF($E292=AQ$3,$G292,0)-IF($H292=AQ$3,$J292,0)</f>
        <v/>
      </c>
      <c r="AR292" s="47">
        <f>IF($E292=AR$3,$G292,0)-IF($H292=AR$3,$J292,0)</f>
        <v/>
      </c>
      <c r="AS292" s="47">
        <f>IF($E292=AS$3,$G292,0)-IF($H292=AS$3,$J292,0)</f>
        <v/>
      </c>
      <c r="AT292" s="47">
        <f>IF($E292=AT$3,$G292,0)-IF($H292=AT$3,$J292,0)</f>
        <v/>
      </c>
      <c r="AU292" s="47">
        <f>IF($E292=AU$3,$G292,0)-IF($H292=AU$3,$J292,0)</f>
        <v/>
      </c>
      <c r="AV292" s="47">
        <f>IF($E292=AV$3,$G292,0)-IF($H292=AV$3,$J292,0)</f>
        <v/>
      </c>
      <c r="AW292" s="47">
        <f>IF($E292=AW$3,$G292,0)-IF($H292=AW$3,$J292,0)</f>
        <v/>
      </c>
      <c r="AX292" s="47">
        <f>IF($E292=AX$3,$G292,0)-IF($H292=AX$3,$J292,0)</f>
        <v/>
      </c>
      <c r="AY292" s="47">
        <f>IF($E292=AY$3,$G292,0)-IF($H292=AY$3,$J292,0)</f>
        <v/>
      </c>
      <c r="AZ292" s="47">
        <f>IF($E292=AZ$3,$G292,0)-IF($H292=AZ$3,$J292,0)</f>
        <v/>
      </c>
      <c r="BA292" s="47">
        <f>IF($E292=BA$3,$G292,0)-IF($H292=BA$3,$J292,0)</f>
        <v/>
      </c>
      <c r="BB292" s="47">
        <f>IF($E292=BB$3,$G292,0)-IF($H292=BB$3,$J292,0)</f>
        <v/>
      </c>
      <c r="BC292" s="47">
        <f>IF($E292=BC$3,$G292,0)-IF($H292=BC$3,$J292,0)</f>
        <v/>
      </c>
      <c r="BD292" s="47">
        <f>IF($E292=BD$3,$G292,0)-IF($H292=BD$3,$J292,0)</f>
        <v/>
      </c>
      <c r="BE292" s="47">
        <f>IF($E292=BE$3,$G292,0)-IF($H292=BE$3,$J292,0)</f>
        <v/>
      </c>
      <c r="BF292" s="47">
        <f>IF($E292=BF$3,$G292,0)-IF($H292=BF$3,$J292,0)</f>
        <v/>
      </c>
      <c r="BG292" s="47">
        <f>IF($E292=BG$3,$G292,0)-IF($H292=BG$3,$J292,0)</f>
        <v/>
      </c>
      <c r="BH292" s="47">
        <f>IF($E292=BH$3,$G292,0)-IF($H292=BH$3,$J292,0)</f>
        <v/>
      </c>
      <c r="BI292" s="47">
        <f>IF($E292=BI$3,$G292,0)-IF($H292=BI$3,$J292,0)</f>
        <v/>
      </c>
      <c r="BJ292" s="47">
        <f>IF($E292=BJ$3,$G292,0)-IF($H292=BJ$3,$J292,0)</f>
        <v/>
      </c>
      <c r="BK292" s="47">
        <f>IF($E292=BK$3,$G292,0)-IF($H292=BK$3,$J292,0)</f>
        <v/>
      </c>
      <c r="BL292" s="46">
        <f>-IF($E292=BL$3,$G292,0)+IF($H292=BL$3,$J292,0)</f>
        <v/>
      </c>
      <c r="BM292" s="47">
        <f>-IF($E292=BM$3,$G292,0)+IF($H292=BM$3,$J292,0)</f>
        <v/>
      </c>
      <c r="BN292" s="47">
        <f>-IF($E292=BN$3,$G292,0)+IF($H292=BN$3,$J292,0)</f>
        <v/>
      </c>
      <c r="BO292" s="47">
        <f>-IF($E292=BO$3,$G292,0)+IF($H292=BO$3,$J292,0)</f>
        <v/>
      </c>
      <c r="BP292" s="47">
        <f>-IF($E292=BP$3,$G292,0)+IF($H292=BP$3,$J292,0)</f>
        <v/>
      </c>
      <c r="BQ292" s="47">
        <f>-IF($E292=BQ$3,$G292,0)+IF($H292=BQ$3,$J292,0)</f>
        <v/>
      </c>
      <c r="BR292" s="47">
        <f>-IF($E292=BR$3,$G292,0)+IF($H292=BR$3,$J292,0)</f>
        <v/>
      </c>
      <c r="BS292" s="47">
        <f>-IF($E292=BS$3,$G292,0)+IF($H292=BS$3,$J292,0)</f>
        <v/>
      </c>
      <c r="BT292" s="47">
        <f>-IF($E292=BT$3,$G292,0)+IF($H292=BT$3,$J292,0)</f>
        <v/>
      </c>
      <c r="BU292" s="46">
        <f>+G292-J292</f>
        <v/>
      </c>
      <c r="BV292" s="48">
        <f>-IF($E292=BV$3,$G292,0)+IF($H292=BV$3,$J292,0)</f>
        <v/>
      </c>
      <c r="BW292" s="3" t="n"/>
    </row>
    <row r="293" ht="15.75" customHeight="1" s="214">
      <c r="A293" s="7" t="n"/>
      <c r="B293" s="8" t="n"/>
      <c r="C293" s="9" t="n"/>
      <c r="D293" s="10" t="n"/>
      <c r="E293" s="247" t="n"/>
      <c r="F293" s="11">
        <f>IF(E293="","",IF(ISNA(VLOOKUP(E293,科目コード表!$C$4:$D$67,2,FALSE)),"該当科目なし",VLOOKUP(E293,科目コード表!$C$4:$D$67,2,FALSE)))</f>
        <v/>
      </c>
      <c r="G293" s="38" t="n"/>
      <c r="H293" s="248" t="n"/>
      <c r="I293" s="11">
        <f>IF(H293="","",IF(ISNA(VLOOKUP(H293,科目コード表!$C$4:$D$67,2,FALSE)),"該当科目なし",VLOOKUP(H293,科目コード表!$C$4:$D$67,2,FALSE)))</f>
        <v/>
      </c>
      <c r="J293" s="40" t="n"/>
      <c r="L293" s="46">
        <f>IF($E293=L$3,$G293,0)-IF($H293=L$3,$J293,0)</f>
        <v/>
      </c>
      <c r="M293" s="47">
        <f>IF($E293=M$3,$G293,0)-IF($H293=M$3,$J293,0)</f>
        <v/>
      </c>
      <c r="N293" s="47">
        <f>IF($E293=N$3,$G293,0)-IF($H293=N$3,$J293,0)</f>
        <v/>
      </c>
      <c r="O293" s="47">
        <f>IF($E293=O$3,$G293,0)-IF($H293=O$3,$J293,0)</f>
        <v/>
      </c>
      <c r="P293" s="47">
        <f>IF($E293=P$3,$G293,0)-IF($H293=P$3,$J293,0)</f>
        <v/>
      </c>
      <c r="Q293" s="47">
        <f>IF($E293=Q$3,$G293,0)-IF($H293=Q$3,$J293,0)</f>
        <v/>
      </c>
      <c r="R293" s="47">
        <f>IF($E293=R$3,$G293,0)-IF($H293=R$3,$J293,0)</f>
        <v/>
      </c>
      <c r="S293" s="47">
        <f>IF($E293=S$3,$G293,0)-IF($H293=S$3,$J293,0)</f>
        <v/>
      </c>
      <c r="T293" s="47">
        <f>IF($E293=T$3,$G293,0)-IF($H293=T$3,$J293,0)</f>
        <v/>
      </c>
      <c r="U293" s="47">
        <f>IF($E293=U$3,$G293,0)-IF($H293=U$3,$J293,0)</f>
        <v/>
      </c>
      <c r="V293" s="47">
        <f>IF($E293=V$3,$G293,0)-IF($H293=V$3,$J293,0)</f>
        <v/>
      </c>
      <c r="W293" s="47">
        <f>IF($E293=W$3,$G293,0)-IF($H293=W$3,$J293,0)</f>
        <v/>
      </c>
      <c r="X293" s="47">
        <f>IF($E293=X$3,$G293,0)-IF($H293=X$3,$J293,0)</f>
        <v/>
      </c>
      <c r="Y293" s="47">
        <f>IF($E293=Y$3,$G293,0)-IF($H293=Y$3,$J293,0)</f>
        <v/>
      </c>
      <c r="Z293" s="47">
        <f>IF($E293=Z$3,$G293,0)-IF($H293=Z$3,$J293,0)</f>
        <v/>
      </c>
      <c r="AA293" s="47">
        <f>IF($E293=AA$3,$G293,0)-IF($H293=AA$3,$J293,0)</f>
        <v/>
      </c>
      <c r="AB293" s="47">
        <f>IF($E293=AB$3,$G293,0)-IF($H293=AB$3,$J293,0)</f>
        <v/>
      </c>
      <c r="AC293" s="47">
        <f>IF($E293=AC$3,$G293,0)-IF($H293=AC$3,$J293,0)</f>
        <v/>
      </c>
      <c r="AD293" s="47">
        <f>IF($E293=AD$3,$G293,0)-IF($H293=AD$3,$J293,0)</f>
        <v/>
      </c>
      <c r="AE293" s="47">
        <f>IF($E293=AE$3,$G293,0)-IF($H293=AE$3,$J293,0)</f>
        <v/>
      </c>
      <c r="AF293" s="47">
        <f>IF($E293=AF$3,$G293,0)-IF($H293=AF$3,$J293,0)</f>
        <v/>
      </c>
      <c r="AG293" s="47">
        <f>IF($E293=AG$3,$G293,0)-IF($H293=AG$3,$J293,0)</f>
        <v/>
      </c>
      <c r="AH293" s="47">
        <f>IF($E293=AH$3,$G293,0)-IF($H293=AH$3,$J293,0)</f>
        <v/>
      </c>
      <c r="AI293" s="47">
        <f>IF($E293=AI$3,$G293,0)-IF($H293=AI$3,$J293,0)</f>
        <v/>
      </c>
      <c r="AJ293" s="47">
        <f>IF($E293=AJ$3,$G293,0)-IF($H293=AJ$3,$J293,0)</f>
        <v/>
      </c>
      <c r="AK293" s="47">
        <f>IF($E293=AK$3,$G293,0)-IF($H293=AK$3,$J293,0)</f>
        <v/>
      </c>
      <c r="AL293" s="48">
        <f>IF($E293=AL$3,$G293,0)-IF($H293=AL$3,$J293,0)</f>
        <v/>
      </c>
      <c r="AM293" s="46">
        <f>-IF($E293=AM$3,$G293,0)+IF($H293=AM$3,$J293,0)</f>
        <v/>
      </c>
      <c r="AN293" s="47">
        <f>-IF($E293=AN$3,$G293,0)+IF($H293=AN$3,$J293,0)</f>
        <v/>
      </c>
      <c r="AO293" s="48">
        <f>-IF($E293=AO$3,$G293,0)+IF($H293=AO$3,$J293,0)</f>
        <v/>
      </c>
      <c r="AP293" s="46">
        <f>IF($E293=AP$3,$G293,0)-IF($H293=AP$3,$J293,0)</f>
        <v/>
      </c>
      <c r="AQ293" s="47">
        <f>IF($E293=AQ$3,$G293,0)-IF($H293=AQ$3,$J293,0)</f>
        <v/>
      </c>
      <c r="AR293" s="47">
        <f>IF($E293=AR$3,$G293,0)-IF($H293=AR$3,$J293,0)</f>
        <v/>
      </c>
      <c r="AS293" s="47">
        <f>IF($E293=AS$3,$G293,0)-IF($H293=AS$3,$J293,0)</f>
        <v/>
      </c>
      <c r="AT293" s="47">
        <f>IF($E293=AT$3,$G293,0)-IF($H293=AT$3,$J293,0)</f>
        <v/>
      </c>
      <c r="AU293" s="47">
        <f>IF($E293=AU$3,$G293,0)-IF($H293=AU$3,$J293,0)</f>
        <v/>
      </c>
      <c r="AV293" s="47">
        <f>IF($E293=AV$3,$G293,0)-IF($H293=AV$3,$J293,0)</f>
        <v/>
      </c>
      <c r="AW293" s="47">
        <f>IF($E293=AW$3,$G293,0)-IF($H293=AW$3,$J293,0)</f>
        <v/>
      </c>
      <c r="AX293" s="47">
        <f>IF($E293=AX$3,$G293,0)-IF($H293=AX$3,$J293,0)</f>
        <v/>
      </c>
      <c r="AY293" s="47">
        <f>IF($E293=AY$3,$G293,0)-IF($H293=AY$3,$J293,0)</f>
        <v/>
      </c>
      <c r="AZ293" s="47">
        <f>IF($E293=AZ$3,$G293,0)-IF($H293=AZ$3,$J293,0)</f>
        <v/>
      </c>
      <c r="BA293" s="47">
        <f>IF($E293=BA$3,$G293,0)-IF($H293=BA$3,$J293,0)</f>
        <v/>
      </c>
      <c r="BB293" s="47">
        <f>IF($E293=BB$3,$G293,0)-IF($H293=BB$3,$J293,0)</f>
        <v/>
      </c>
      <c r="BC293" s="47">
        <f>IF($E293=BC$3,$G293,0)-IF($H293=BC$3,$J293,0)</f>
        <v/>
      </c>
      <c r="BD293" s="47">
        <f>IF($E293=BD$3,$G293,0)-IF($H293=BD$3,$J293,0)</f>
        <v/>
      </c>
      <c r="BE293" s="47">
        <f>IF($E293=BE$3,$G293,0)-IF($H293=BE$3,$J293,0)</f>
        <v/>
      </c>
      <c r="BF293" s="47">
        <f>IF($E293=BF$3,$G293,0)-IF($H293=BF$3,$J293,0)</f>
        <v/>
      </c>
      <c r="BG293" s="47">
        <f>IF($E293=BG$3,$G293,0)-IF($H293=BG$3,$J293,0)</f>
        <v/>
      </c>
      <c r="BH293" s="47">
        <f>IF($E293=BH$3,$G293,0)-IF($H293=BH$3,$J293,0)</f>
        <v/>
      </c>
      <c r="BI293" s="47">
        <f>IF($E293=BI$3,$G293,0)-IF($H293=BI$3,$J293,0)</f>
        <v/>
      </c>
      <c r="BJ293" s="47">
        <f>IF($E293=BJ$3,$G293,0)-IF($H293=BJ$3,$J293,0)</f>
        <v/>
      </c>
      <c r="BK293" s="47">
        <f>IF($E293=BK$3,$G293,0)-IF($H293=BK$3,$J293,0)</f>
        <v/>
      </c>
      <c r="BL293" s="46">
        <f>-IF($E293=BL$3,$G293,0)+IF($H293=BL$3,$J293,0)</f>
        <v/>
      </c>
      <c r="BM293" s="47">
        <f>-IF($E293=BM$3,$G293,0)+IF($H293=BM$3,$J293,0)</f>
        <v/>
      </c>
      <c r="BN293" s="47">
        <f>-IF($E293=BN$3,$G293,0)+IF($H293=BN$3,$J293,0)</f>
        <v/>
      </c>
      <c r="BO293" s="47">
        <f>-IF($E293=BO$3,$G293,0)+IF($H293=BO$3,$J293,0)</f>
        <v/>
      </c>
      <c r="BP293" s="47">
        <f>-IF($E293=BP$3,$G293,0)+IF($H293=BP$3,$J293,0)</f>
        <v/>
      </c>
      <c r="BQ293" s="47">
        <f>-IF($E293=BQ$3,$G293,0)+IF($H293=BQ$3,$J293,0)</f>
        <v/>
      </c>
      <c r="BR293" s="47">
        <f>-IF($E293=BR$3,$G293,0)+IF($H293=BR$3,$J293,0)</f>
        <v/>
      </c>
      <c r="BS293" s="47">
        <f>-IF($E293=BS$3,$G293,0)+IF($H293=BS$3,$J293,0)</f>
        <v/>
      </c>
      <c r="BT293" s="47">
        <f>-IF($E293=BT$3,$G293,0)+IF($H293=BT$3,$J293,0)</f>
        <v/>
      </c>
      <c r="BU293" s="46">
        <f>+G293-J293</f>
        <v/>
      </c>
      <c r="BV293" s="48">
        <f>-IF($E293=BV$3,$G293,0)+IF($H293=BV$3,$J293,0)</f>
        <v/>
      </c>
      <c r="BW293" s="3" t="n"/>
    </row>
    <row r="294" ht="15.75" customHeight="1" s="214">
      <c r="A294" s="7" t="n"/>
      <c r="B294" s="8" t="n"/>
      <c r="C294" s="9" t="n"/>
      <c r="D294" s="10" t="n"/>
      <c r="E294" s="247" t="n"/>
      <c r="F294" s="11">
        <f>IF(E294="","",IF(ISNA(VLOOKUP(E294,科目コード表!$C$4:$D$67,2,FALSE)),"該当科目なし",VLOOKUP(E294,科目コード表!$C$4:$D$67,2,FALSE)))</f>
        <v/>
      </c>
      <c r="G294" s="38" t="n"/>
      <c r="H294" s="248" t="n"/>
      <c r="I294" s="11">
        <f>IF(H294="","",IF(ISNA(VLOOKUP(H294,科目コード表!$C$4:$D$67,2,FALSE)),"該当科目なし",VLOOKUP(H294,科目コード表!$C$4:$D$67,2,FALSE)))</f>
        <v/>
      </c>
      <c r="J294" s="40" t="n"/>
      <c r="L294" s="46">
        <f>IF($E294=L$3,$G294,0)-IF($H294=L$3,$J294,0)</f>
        <v/>
      </c>
      <c r="M294" s="47">
        <f>IF($E294=M$3,$G294,0)-IF($H294=M$3,$J294,0)</f>
        <v/>
      </c>
      <c r="N294" s="47">
        <f>IF($E294=N$3,$G294,0)-IF($H294=N$3,$J294,0)</f>
        <v/>
      </c>
      <c r="O294" s="47">
        <f>IF($E294=O$3,$G294,0)-IF($H294=O$3,$J294,0)</f>
        <v/>
      </c>
      <c r="P294" s="47">
        <f>IF($E294=P$3,$G294,0)-IF($H294=P$3,$J294,0)</f>
        <v/>
      </c>
      <c r="Q294" s="47">
        <f>IF($E294=Q$3,$G294,0)-IF($H294=Q$3,$J294,0)</f>
        <v/>
      </c>
      <c r="R294" s="47">
        <f>IF($E294=R$3,$G294,0)-IF($H294=R$3,$J294,0)</f>
        <v/>
      </c>
      <c r="S294" s="47">
        <f>IF($E294=S$3,$G294,0)-IF($H294=S$3,$J294,0)</f>
        <v/>
      </c>
      <c r="T294" s="47">
        <f>IF($E294=T$3,$G294,0)-IF($H294=T$3,$J294,0)</f>
        <v/>
      </c>
      <c r="U294" s="47">
        <f>IF($E294=U$3,$G294,0)-IF($H294=U$3,$J294,0)</f>
        <v/>
      </c>
      <c r="V294" s="47">
        <f>IF($E294=V$3,$G294,0)-IF($H294=V$3,$J294,0)</f>
        <v/>
      </c>
      <c r="W294" s="47">
        <f>IF($E294=W$3,$G294,0)-IF($H294=W$3,$J294,0)</f>
        <v/>
      </c>
      <c r="X294" s="47">
        <f>IF($E294=X$3,$G294,0)-IF($H294=X$3,$J294,0)</f>
        <v/>
      </c>
      <c r="Y294" s="47">
        <f>IF($E294=Y$3,$G294,0)-IF($H294=Y$3,$J294,0)</f>
        <v/>
      </c>
      <c r="Z294" s="47">
        <f>IF($E294=Z$3,$G294,0)-IF($H294=Z$3,$J294,0)</f>
        <v/>
      </c>
      <c r="AA294" s="47">
        <f>IF($E294=AA$3,$G294,0)-IF($H294=AA$3,$J294,0)</f>
        <v/>
      </c>
      <c r="AB294" s="47">
        <f>IF($E294=AB$3,$G294,0)-IF($H294=AB$3,$J294,0)</f>
        <v/>
      </c>
      <c r="AC294" s="47">
        <f>IF($E294=AC$3,$G294,0)-IF($H294=AC$3,$J294,0)</f>
        <v/>
      </c>
      <c r="AD294" s="47">
        <f>IF($E294=AD$3,$G294,0)-IF($H294=AD$3,$J294,0)</f>
        <v/>
      </c>
      <c r="AE294" s="47">
        <f>IF($E294=AE$3,$G294,0)-IF($H294=AE$3,$J294,0)</f>
        <v/>
      </c>
      <c r="AF294" s="47">
        <f>IF($E294=AF$3,$G294,0)-IF($H294=AF$3,$J294,0)</f>
        <v/>
      </c>
      <c r="AG294" s="47">
        <f>IF($E294=AG$3,$G294,0)-IF($H294=AG$3,$J294,0)</f>
        <v/>
      </c>
      <c r="AH294" s="47">
        <f>IF($E294=AH$3,$G294,0)-IF($H294=AH$3,$J294,0)</f>
        <v/>
      </c>
      <c r="AI294" s="47">
        <f>IF($E294=AI$3,$G294,0)-IF($H294=AI$3,$J294,0)</f>
        <v/>
      </c>
      <c r="AJ294" s="47">
        <f>IF($E294=AJ$3,$G294,0)-IF($H294=AJ$3,$J294,0)</f>
        <v/>
      </c>
      <c r="AK294" s="47">
        <f>IF($E294=AK$3,$G294,0)-IF($H294=AK$3,$J294,0)</f>
        <v/>
      </c>
      <c r="AL294" s="48">
        <f>IF($E294=AL$3,$G294,0)-IF($H294=AL$3,$J294,0)</f>
        <v/>
      </c>
      <c r="AM294" s="46">
        <f>-IF($E294=AM$3,$G294,0)+IF($H294=AM$3,$J294,0)</f>
        <v/>
      </c>
      <c r="AN294" s="47">
        <f>-IF($E294=AN$3,$G294,0)+IF($H294=AN$3,$J294,0)</f>
        <v/>
      </c>
      <c r="AO294" s="48">
        <f>-IF($E294=AO$3,$G294,0)+IF($H294=AO$3,$J294,0)</f>
        <v/>
      </c>
      <c r="AP294" s="46">
        <f>IF($E294=AP$3,$G294,0)-IF($H294=AP$3,$J294,0)</f>
        <v/>
      </c>
      <c r="AQ294" s="47">
        <f>IF($E294=AQ$3,$G294,0)-IF($H294=AQ$3,$J294,0)</f>
        <v/>
      </c>
      <c r="AR294" s="47">
        <f>IF($E294=AR$3,$G294,0)-IF($H294=AR$3,$J294,0)</f>
        <v/>
      </c>
      <c r="AS294" s="47">
        <f>IF($E294=AS$3,$G294,0)-IF($H294=AS$3,$J294,0)</f>
        <v/>
      </c>
      <c r="AT294" s="47">
        <f>IF($E294=AT$3,$G294,0)-IF($H294=AT$3,$J294,0)</f>
        <v/>
      </c>
      <c r="AU294" s="47">
        <f>IF($E294=AU$3,$G294,0)-IF($H294=AU$3,$J294,0)</f>
        <v/>
      </c>
      <c r="AV294" s="47">
        <f>IF($E294=AV$3,$G294,0)-IF($H294=AV$3,$J294,0)</f>
        <v/>
      </c>
      <c r="AW294" s="47">
        <f>IF($E294=AW$3,$G294,0)-IF($H294=AW$3,$J294,0)</f>
        <v/>
      </c>
      <c r="AX294" s="47">
        <f>IF($E294=AX$3,$G294,0)-IF($H294=AX$3,$J294,0)</f>
        <v/>
      </c>
      <c r="AY294" s="47">
        <f>IF($E294=AY$3,$G294,0)-IF($H294=AY$3,$J294,0)</f>
        <v/>
      </c>
      <c r="AZ294" s="47">
        <f>IF($E294=AZ$3,$G294,0)-IF($H294=AZ$3,$J294,0)</f>
        <v/>
      </c>
      <c r="BA294" s="47">
        <f>IF($E294=BA$3,$G294,0)-IF($H294=BA$3,$J294,0)</f>
        <v/>
      </c>
      <c r="BB294" s="47">
        <f>IF($E294=BB$3,$G294,0)-IF($H294=BB$3,$J294,0)</f>
        <v/>
      </c>
      <c r="BC294" s="47">
        <f>IF($E294=BC$3,$G294,0)-IF($H294=BC$3,$J294,0)</f>
        <v/>
      </c>
      <c r="BD294" s="47">
        <f>IF($E294=BD$3,$G294,0)-IF($H294=BD$3,$J294,0)</f>
        <v/>
      </c>
      <c r="BE294" s="47">
        <f>IF($E294=BE$3,$G294,0)-IF($H294=BE$3,$J294,0)</f>
        <v/>
      </c>
      <c r="BF294" s="47">
        <f>IF($E294=BF$3,$G294,0)-IF($H294=BF$3,$J294,0)</f>
        <v/>
      </c>
      <c r="BG294" s="47">
        <f>IF($E294=BG$3,$G294,0)-IF($H294=BG$3,$J294,0)</f>
        <v/>
      </c>
      <c r="BH294" s="47">
        <f>IF($E294=BH$3,$G294,0)-IF($H294=BH$3,$J294,0)</f>
        <v/>
      </c>
      <c r="BI294" s="47">
        <f>IF($E294=BI$3,$G294,0)-IF($H294=BI$3,$J294,0)</f>
        <v/>
      </c>
      <c r="BJ294" s="47">
        <f>IF($E294=BJ$3,$G294,0)-IF($H294=BJ$3,$J294,0)</f>
        <v/>
      </c>
      <c r="BK294" s="47">
        <f>IF($E294=BK$3,$G294,0)-IF($H294=BK$3,$J294,0)</f>
        <v/>
      </c>
      <c r="BL294" s="46">
        <f>-IF($E294=BL$3,$G294,0)+IF($H294=BL$3,$J294,0)</f>
        <v/>
      </c>
      <c r="BM294" s="47">
        <f>-IF($E294=BM$3,$G294,0)+IF($H294=BM$3,$J294,0)</f>
        <v/>
      </c>
      <c r="BN294" s="47">
        <f>-IF($E294=BN$3,$G294,0)+IF($H294=BN$3,$J294,0)</f>
        <v/>
      </c>
      <c r="BO294" s="47">
        <f>-IF($E294=BO$3,$G294,0)+IF($H294=BO$3,$J294,0)</f>
        <v/>
      </c>
      <c r="BP294" s="47">
        <f>-IF($E294=BP$3,$G294,0)+IF($H294=BP$3,$J294,0)</f>
        <v/>
      </c>
      <c r="BQ294" s="47">
        <f>-IF($E294=BQ$3,$G294,0)+IF($H294=BQ$3,$J294,0)</f>
        <v/>
      </c>
      <c r="BR294" s="47">
        <f>-IF($E294=BR$3,$G294,0)+IF($H294=BR$3,$J294,0)</f>
        <v/>
      </c>
      <c r="BS294" s="47">
        <f>-IF($E294=BS$3,$G294,0)+IF($H294=BS$3,$J294,0)</f>
        <v/>
      </c>
      <c r="BT294" s="47">
        <f>-IF($E294=BT$3,$G294,0)+IF($H294=BT$3,$J294,0)</f>
        <v/>
      </c>
      <c r="BU294" s="46">
        <f>+G294-J294</f>
        <v/>
      </c>
      <c r="BV294" s="48">
        <f>-IF($E294=BV$3,$G294,0)+IF($H294=BV$3,$J294,0)</f>
        <v/>
      </c>
      <c r="BW294" s="3" t="n"/>
    </row>
    <row r="295" ht="15.75" customHeight="1" s="214">
      <c r="A295" s="7" t="n"/>
      <c r="B295" s="8" t="n"/>
      <c r="C295" s="9" t="n"/>
      <c r="D295" s="10" t="n"/>
      <c r="E295" s="247" t="n"/>
      <c r="F295" s="11">
        <f>IF(E295="","",IF(ISNA(VLOOKUP(E295,科目コード表!$C$4:$D$67,2,FALSE)),"該当科目なし",VLOOKUP(E295,科目コード表!$C$4:$D$67,2,FALSE)))</f>
        <v/>
      </c>
      <c r="G295" s="38" t="n"/>
      <c r="H295" s="248" t="n"/>
      <c r="I295" s="11">
        <f>IF(H295="","",IF(ISNA(VLOOKUP(H295,科目コード表!$C$4:$D$67,2,FALSE)),"該当科目なし",VLOOKUP(H295,科目コード表!$C$4:$D$67,2,FALSE)))</f>
        <v/>
      </c>
      <c r="J295" s="40" t="n"/>
      <c r="L295" s="46">
        <f>IF($E295=L$3,$G295,0)-IF($H295=L$3,$J295,0)</f>
        <v/>
      </c>
      <c r="M295" s="47">
        <f>IF($E295=M$3,$G295,0)-IF($H295=M$3,$J295,0)</f>
        <v/>
      </c>
      <c r="N295" s="47">
        <f>IF($E295=N$3,$G295,0)-IF($H295=N$3,$J295,0)</f>
        <v/>
      </c>
      <c r="O295" s="47">
        <f>IF($E295=O$3,$G295,0)-IF($H295=O$3,$J295,0)</f>
        <v/>
      </c>
      <c r="P295" s="47">
        <f>IF($E295=P$3,$G295,0)-IF($H295=P$3,$J295,0)</f>
        <v/>
      </c>
      <c r="Q295" s="47">
        <f>IF($E295=Q$3,$G295,0)-IF($H295=Q$3,$J295,0)</f>
        <v/>
      </c>
      <c r="R295" s="47">
        <f>IF($E295=R$3,$G295,0)-IF($H295=R$3,$J295,0)</f>
        <v/>
      </c>
      <c r="S295" s="47">
        <f>IF($E295=S$3,$G295,0)-IF($H295=S$3,$J295,0)</f>
        <v/>
      </c>
      <c r="T295" s="47">
        <f>IF($E295=T$3,$G295,0)-IF($H295=T$3,$J295,0)</f>
        <v/>
      </c>
      <c r="U295" s="47">
        <f>IF($E295=U$3,$G295,0)-IF($H295=U$3,$J295,0)</f>
        <v/>
      </c>
      <c r="V295" s="47">
        <f>IF($E295=V$3,$G295,0)-IF($H295=V$3,$J295,0)</f>
        <v/>
      </c>
      <c r="W295" s="47">
        <f>IF($E295=W$3,$G295,0)-IF($H295=W$3,$J295,0)</f>
        <v/>
      </c>
      <c r="X295" s="47">
        <f>IF($E295=X$3,$G295,0)-IF($H295=X$3,$J295,0)</f>
        <v/>
      </c>
      <c r="Y295" s="47">
        <f>IF($E295=Y$3,$G295,0)-IF($H295=Y$3,$J295,0)</f>
        <v/>
      </c>
      <c r="Z295" s="47">
        <f>IF($E295=Z$3,$G295,0)-IF($H295=Z$3,$J295,0)</f>
        <v/>
      </c>
      <c r="AA295" s="47">
        <f>IF($E295=AA$3,$G295,0)-IF($H295=AA$3,$J295,0)</f>
        <v/>
      </c>
      <c r="AB295" s="47">
        <f>IF($E295=AB$3,$G295,0)-IF($H295=AB$3,$J295,0)</f>
        <v/>
      </c>
      <c r="AC295" s="47">
        <f>IF($E295=AC$3,$G295,0)-IF($H295=AC$3,$J295,0)</f>
        <v/>
      </c>
      <c r="AD295" s="47">
        <f>IF($E295=AD$3,$G295,0)-IF($H295=AD$3,$J295,0)</f>
        <v/>
      </c>
      <c r="AE295" s="47">
        <f>IF($E295=AE$3,$G295,0)-IF($H295=AE$3,$J295,0)</f>
        <v/>
      </c>
      <c r="AF295" s="47">
        <f>IF($E295=AF$3,$G295,0)-IF($H295=AF$3,$J295,0)</f>
        <v/>
      </c>
      <c r="AG295" s="47">
        <f>IF($E295=AG$3,$G295,0)-IF($H295=AG$3,$J295,0)</f>
        <v/>
      </c>
      <c r="AH295" s="47">
        <f>IF($E295=AH$3,$G295,0)-IF($H295=AH$3,$J295,0)</f>
        <v/>
      </c>
      <c r="AI295" s="47">
        <f>IF($E295=AI$3,$G295,0)-IF($H295=AI$3,$J295,0)</f>
        <v/>
      </c>
      <c r="AJ295" s="47">
        <f>IF($E295=AJ$3,$G295,0)-IF($H295=AJ$3,$J295,0)</f>
        <v/>
      </c>
      <c r="AK295" s="47">
        <f>IF($E295=AK$3,$G295,0)-IF($H295=AK$3,$J295,0)</f>
        <v/>
      </c>
      <c r="AL295" s="48">
        <f>IF($E295=AL$3,$G295,0)-IF($H295=AL$3,$J295,0)</f>
        <v/>
      </c>
      <c r="AM295" s="46">
        <f>-IF($E295=AM$3,$G295,0)+IF($H295=AM$3,$J295,0)</f>
        <v/>
      </c>
      <c r="AN295" s="47">
        <f>-IF($E295=AN$3,$G295,0)+IF($H295=AN$3,$J295,0)</f>
        <v/>
      </c>
      <c r="AO295" s="48">
        <f>-IF($E295=AO$3,$G295,0)+IF($H295=AO$3,$J295,0)</f>
        <v/>
      </c>
      <c r="AP295" s="46">
        <f>IF($E295=AP$3,$G295,0)-IF($H295=AP$3,$J295,0)</f>
        <v/>
      </c>
      <c r="AQ295" s="47">
        <f>IF($E295=AQ$3,$G295,0)-IF($H295=AQ$3,$J295,0)</f>
        <v/>
      </c>
      <c r="AR295" s="47">
        <f>IF($E295=AR$3,$G295,0)-IF($H295=AR$3,$J295,0)</f>
        <v/>
      </c>
      <c r="AS295" s="47">
        <f>IF($E295=AS$3,$G295,0)-IF($H295=AS$3,$J295,0)</f>
        <v/>
      </c>
      <c r="AT295" s="47">
        <f>IF($E295=AT$3,$G295,0)-IF($H295=AT$3,$J295,0)</f>
        <v/>
      </c>
      <c r="AU295" s="47">
        <f>IF($E295=AU$3,$G295,0)-IF($H295=AU$3,$J295,0)</f>
        <v/>
      </c>
      <c r="AV295" s="47">
        <f>IF($E295=AV$3,$G295,0)-IF($H295=AV$3,$J295,0)</f>
        <v/>
      </c>
      <c r="AW295" s="47">
        <f>IF($E295=AW$3,$G295,0)-IF($H295=AW$3,$J295,0)</f>
        <v/>
      </c>
      <c r="AX295" s="47">
        <f>IF($E295=AX$3,$G295,0)-IF($H295=AX$3,$J295,0)</f>
        <v/>
      </c>
      <c r="AY295" s="47">
        <f>IF($E295=AY$3,$G295,0)-IF($H295=AY$3,$J295,0)</f>
        <v/>
      </c>
      <c r="AZ295" s="47">
        <f>IF($E295=AZ$3,$G295,0)-IF($H295=AZ$3,$J295,0)</f>
        <v/>
      </c>
      <c r="BA295" s="47">
        <f>IF($E295=BA$3,$G295,0)-IF($H295=BA$3,$J295,0)</f>
        <v/>
      </c>
      <c r="BB295" s="47">
        <f>IF($E295=BB$3,$G295,0)-IF($H295=BB$3,$J295,0)</f>
        <v/>
      </c>
      <c r="BC295" s="47">
        <f>IF($E295=BC$3,$G295,0)-IF($H295=BC$3,$J295,0)</f>
        <v/>
      </c>
      <c r="BD295" s="47">
        <f>IF($E295=BD$3,$G295,0)-IF($H295=BD$3,$J295,0)</f>
        <v/>
      </c>
      <c r="BE295" s="47">
        <f>IF($E295=BE$3,$G295,0)-IF($H295=BE$3,$J295,0)</f>
        <v/>
      </c>
      <c r="BF295" s="47">
        <f>IF($E295=BF$3,$G295,0)-IF($H295=BF$3,$J295,0)</f>
        <v/>
      </c>
      <c r="BG295" s="47">
        <f>IF($E295=BG$3,$G295,0)-IF($H295=BG$3,$J295,0)</f>
        <v/>
      </c>
      <c r="BH295" s="47">
        <f>IF($E295=BH$3,$G295,0)-IF($H295=BH$3,$J295,0)</f>
        <v/>
      </c>
      <c r="BI295" s="47">
        <f>IF($E295=BI$3,$G295,0)-IF($H295=BI$3,$J295,0)</f>
        <v/>
      </c>
      <c r="BJ295" s="47">
        <f>IF($E295=BJ$3,$G295,0)-IF($H295=BJ$3,$J295,0)</f>
        <v/>
      </c>
      <c r="BK295" s="47">
        <f>IF($E295=BK$3,$G295,0)-IF($H295=BK$3,$J295,0)</f>
        <v/>
      </c>
      <c r="BL295" s="46">
        <f>-IF($E295=BL$3,$G295,0)+IF($H295=BL$3,$J295,0)</f>
        <v/>
      </c>
      <c r="BM295" s="47">
        <f>-IF($E295=BM$3,$G295,0)+IF($H295=BM$3,$J295,0)</f>
        <v/>
      </c>
      <c r="BN295" s="47">
        <f>-IF($E295=BN$3,$G295,0)+IF($H295=BN$3,$J295,0)</f>
        <v/>
      </c>
      <c r="BO295" s="47">
        <f>-IF($E295=BO$3,$G295,0)+IF($H295=BO$3,$J295,0)</f>
        <v/>
      </c>
      <c r="BP295" s="47">
        <f>-IF($E295=BP$3,$G295,0)+IF($H295=BP$3,$J295,0)</f>
        <v/>
      </c>
      <c r="BQ295" s="47">
        <f>-IF($E295=BQ$3,$G295,0)+IF($H295=BQ$3,$J295,0)</f>
        <v/>
      </c>
      <c r="BR295" s="47">
        <f>-IF($E295=BR$3,$G295,0)+IF($H295=BR$3,$J295,0)</f>
        <v/>
      </c>
      <c r="BS295" s="47">
        <f>-IF($E295=BS$3,$G295,0)+IF($H295=BS$3,$J295,0)</f>
        <v/>
      </c>
      <c r="BT295" s="47">
        <f>-IF($E295=BT$3,$G295,0)+IF($H295=BT$3,$J295,0)</f>
        <v/>
      </c>
      <c r="BU295" s="46">
        <f>+G295-J295</f>
        <v/>
      </c>
      <c r="BV295" s="48">
        <f>-IF($E295=BV$3,$G295,0)+IF($H295=BV$3,$J295,0)</f>
        <v/>
      </c>
      <c r="BW295" s="3" t="n"/>
    </row>
    <row r="296" ht="15.75" customHeight="1" s="214">
      <c r="A296" s="7" t="n"/>
      <c r="B296" s="8" t="n"/>
      <c r="C296" s="9" t="n"/>
      <c r="D296" s="10" t="n"/>
      <c r="E296" s="247" t="n"/>
      <c r="F296" s="11">
        <f>IF(E296="","",IF(ISNA(VLOOKUP(E296,科目コード表!$C$4:$D$67,2,FALSE)),"該当科目なし",VLOOKUP(E296,科目コード表!$C$4:$D$67,2,FALSE)))</f>
        <v/>
      </c>
      <c r="G296" s="38" t="n"/>
      <c r="H296" s="248" t="n"/>
      <c r="I296" s="11">
        <f>IF(H296="","",IF(ISNA(VLOOKUP(H296,科目コード表!$C$4:$D$67,2,FALSE)),"該当科目なし",VLOOKUP(H296,科目コード表!$C$4:$D$67,2,FALSE)))</f>
        <v/>
      </c>
      <c r="J296" s="40" t="n"/>
      <c r="L296" s="46">
        <f>IF($E296=L$3,$G296,0)-IF($H296=L$3,$J296,0)</f>
        <v/>
      </c>
      <c r="M296" s="47">
        <f>IF($E296=M$3,$G296,0)-IF($H296=M$3,$J296,0)</f>
        <v/>
      </c>
      <c r="N296" s="47">
        <f>IF($E296=N$3,$G296,0)-IF($H296=N$3,$J296,0)</f>
        <v/>
      </c>
      <c r="O296" s="47">
        <f>IF($E296=O$3,$G296,0)-IF($H296=O$3,$J296,0)</f>
        <v/>
      </c>
      <c r="P296" s="47">
        <f>IF($E296=P$3,$G296,0)-IF($H296=P$3,$J296,0)</f>
        <v/>
      </c>
      <c r="Q296" s="47">
        <f>IF($E296=Q$3,$G296,0)-IF($H296=Q$3,$J296,0)</f>
        <v/>
      </c>
      <c r="R296" s="47">
        <f>IF($E296=R$3,$G296,0)-IF($H296=R$3,$J296,0)</f>
        <v/>
      </c>
      <c r="S296" s="47">
        <f>IF($E296=S$3,$G296,0)-IF($H296=S$3,$J296,0)</f>
        <v/>
      </c>
      <c r="T296" s="47">
        <f>IF($E296=T$3,$G296,0)-IF($H296=T$3,$J296,0)</f>
        <v/>
      </c>
      <c r="U296" s="47">
        <f>IF($E296=U$3,$G296,0)-IF($H296=U$3,$J296,0)</f>
        <v/>
      </c>
      <c r="V296" s="47">
        <f>IF($E296=V$3,$G296,0)-IF($H296=V$3,$J296,0)</f>
        <v/>
      </c>
      <c r="W296" s="47">
        <f>IF($E296=W$3,$G296,0)-IF($H296=W$3,$J296,0)</f>
        <v/>
      </c>
      <c r="X296" s="47">
        <f>IF($E296=X$3,$G296,0)-IF($H296=X$3,$J296,0)</f>
        <v/>
      </c>
      <c r="Y296" s="47">
        <f>IF($E296=Y$3,$G296,0)-IF($H296=Y$3,$J296,0)</f>
        <v/>
      </c>
      <c r="Z296" s="47">
        <f>IF($E296=Z$3,$G296,0)-IF($H296=Z$3,$J296,0)</f>
        <v/>
      </c>
      <c r="AA296" s="47">
        <f>IF($E296=AA$3,$G296,0)-IF($H296=AA$3,$J296,0)</f>
        <v/>
      </c>
      <c r="AB296" s="47">
        <f>IF($E296=AB$3,$G296,0)-IF($H296=AB$3,$J296,0)</f>
        <v/>
      </c>
      <c r="AC296" s="47">
        <f>IF($E296=AC$3,$G296,0)-IF($H296=AC$3,$J296,0)</f>
        <v/>
      </c>
      <c r="AD296" s="47">
        <f>IF($E296=AD$3,$G296,0)-IF($H296=AD$3,$J296,0)</f>
        <v/>
      </c>
      <c r="AE296" s="47">
        <f>IF($E296=AE$3,$G296,0)-IF($H296=AE$3,$J296,0)</f>
        <v/>
      </c>
      <c r="AF296" s="47">
        <f>IF($E296=AF$3,$G296,0)-IF($H296=AF$3,$J296,0)</f>
        <v/>
      </c>
      <c r="AG296" s="47">
        <f>IF($E296=AG$3,$G296,0)-IF($H296=AG$3,$J296,0)</f>
        <v/>
      </c>
      <c r="AH296" s="47">
        <f>IF($E296=AH$3,$G296,0)-IF($H296=AH$3,$J296,0)</f>
        <v/>
      </c>
      <c r="AI296" s="47">
        <f>IF($E296=AI$3,$G296,0)-IF($H296=AI$3,$J296,0)</f>
        <v/>
      </c>
      <c r="AJ296" s="47">
        <f>IF($E296=AJ$3,$G296,0)-IF($H296=AJ$3,$J296,0)</f>
        <v/>
      </c>
      <c r="AK296" s="47">
        <f>IF($E296=AK$3,$G296,0)-IF($H296=AK$3,$J296,0)</f>
        <v/>
      </c>
      <c r="AL296" s="48">
        <f>IF($E296=AL$3,$G296,0)-IF($H296=AL$3,$J296,0)</f>
        <v/>
      </c>
      <c r="AM296" s="46">
        <f>-IF($E296=AM$3,$G296,0)+IF($H296=AM$3,$J296,0)</f>
        <v/>
      </c>
      <c r="AN296" s="47">
        <f>-IF($E296=AN$3,$G296,0)+IF($H296=AN$3,$J296,0)</f>
        <v/>
      </c>
      <c r="AO296" s="48">
        <f>-IF($E296=AO$3,$G296,0)+IF($H296=AO$3,$J296,0)</f>
        <v/>
      </c>
      <c r="AP296" s="46">
        <f>IF($E296=AP$3,$G296,0)-IF($H296=AP$3,$J296,0)</f>
        <v/>
      </c>
      <c r="AQ296" s="47">
        <f>IF($E296=AQ$3,$G296,0)-IF($H296=AQ$3,$J296,0)</f>
        <v/>
      </c>
      <c r="AR296" s="47">
        <f>IF($E296=AR$3,$G296,0)-IF($H296=AR$3,$J296,0)</f>
        <v/>
      </c>
      <c r="AS296" s="47">
        <f>IF($E296=AS$3,$G296,0)-IF($H296=AS$3,$J296,0)</f>
        <v/>
      </c>
      <c r="AT296" s="47">
        <f>IF($E296=AT$3,$G296,0)-IF($H296=AT$3,$J296,0)</f>
        <v/>
      </c>
      <c r="AU296" s="47">
        <f>IF($E296=AU$3,$G296,0)-IF($H296=AU$3,$J296,0)</f>
        <v/>
      </c>
      <c r="AV296" s="47">
        <f>IF($E296=AV$3,$G296,0)-IF($H296=AV$3,$J296,0)</f>
        <v/>
      </c>
      <c r="AW296" s="47">
        <f>IF($E296=AW$3,$G296,0)-IF($H296=AW$3,$J296,0)</f>
        <v/>
      </c>
      <c r="AX296" s="47">
        <f>IF($E296=AX$3,$G296,0)-IF($H296=AX$3,$J296,0)</f>
        <v/>
      </c>
      <c r="AY296" s="47">
        <f>IF($E296=AY$3,$G296,0)-IF($H296=AY$3,$J296,0)</f>
        <v/>
      </c>
      <c r="AZ296" s="47">
        <f>IF($E296=AZ$3,$G296,0)-IF($H296=AZ$3,$J296,0)</f>
        <v/>
      </c>
      <c r="BA296" s="47">
        <f>IF($E296=BA$3,$G296,0)-IF($H296=BA$3,$J296,0)</f>
        <v/>
      </c>
      <c r="BB296" s="47">
        <f>IF($E296=BB$3,$G296,0)-IF($H296=BB$3,$J296,0)</f>
        <v/>
      </c>
      <c r="BC296" s="47">
        <f>IF($E296=BC$3,$G296,0)-IF($H296=BC$3,$J296,0)</f>
        <v/>
      </c>
      <c r="BD296" s="47">
        <f>IF($E296=BD$3,$G296,0)-IF($H296=BD$3,$J296,0)</f>
        <v/>
      </c>
      <c r="BE296" s="47">
        <f>IF($E296=BE$3,$G296,0)-IF($H296=BE$3,$J296,0)</f>
        <v/>
      </c>
      <c r="BF296" s="47">
        <f>IF($E296=BF$3,$G296,0)-IF($H296=BF$3,$J296,0)</f>
        <v/>
      </c>
      <c r="BG296" s="47">
        <f>IF($E296=BG$3,$G296,0)-IF($H296=BG$3,$J296,0)</f>
        <v/>
      </c>
      <c r="BH296" s="47">
        <f>IF($E296=BH$3,$G296,0)-IF($H296=BH$3,$J296,0)</f>
        <v/>
      </c>
      <c r="BI296" s="47">
        <f>IF($E296=BI$3,$G296,0)-IF($H296=BI$3,$J296,0)</f>
        <v/>
      </c>
      <c r="BJ296" s="47">
        <f>IF($E296=BJ$3,$G296,0)-IF($H296=BJ$3,$J296,0)</f>
        <v/>
      </c>
      <c r="BK296" s="47">
        <f>IF($E296=BK$3,$G296,0)-IF($H296=BK$3,$J296,0)</f>
        <v/>
      </c>
      <c r="BL296" s="46">
        <f>-IF($E296=BL$3,$G296,0)+IF($H296=BL$3,$J296,0)</f>
        <v/>
      </c>
      <c r="BM296" s="47">
        <f>-IF($E296=BM$3,$G296,0)+IF($H296=BM$3,$J296,0)</f>
        <v/>
      </c>
      <c r="BN296" s="47">
        <f>-IF($E296=BN$3,$G296,0)+IF($H296=BN$3,$J296,0)</f>
        <v/>
      </c>
      <c r="BO296" s="47">
        <f>-IF($E296=BO$3,$G296,0)+IF($H296=BO$3,$J296,0)</f>
        <v/>
      </c>
      <c r="BP296" s="47">
        <f>-IF($E296=BP$3,$G296,0)+IF($H296=BP$3,$J296,0)</f>
        <v/>
      </c>
      <c r="BQ296" s="47">
        <f>-IF($E296=BQ$3,$G296,0)+IF($H296=BQ$3,$J296,0)</f>
        <v/>
      </c>
      <c r="BR296" s="47">
        <f>-IF($E296=BR$3,$G296,0)+IF($H296=BR$3,$J296,0)</f>
        <v/>
      </c>
      <c r="BS296" s="47">
        <f>-IF($E296=BS$3,$G296,0)+IF($H296=BS$3,$J296,0)</f>
        <v/>
      </c>
      <c r="BT296" s="47">
        <f>-IF($E296=BT$3,$G296,0)+IF($H296=BT$3,$J296,0)</f>
        <v/>
      </c>
      <c r="BU296" s="46">
        <f>+G296-J296</f>
        <v/>
      </c>
      <c r="BV296" s="48">
        <f>-IF($E296=BV$3,$G296,0)+IF($H296=BV$3,$J296,0)</f>
        <v/>
      </c>
      <c r="BW296" s="3" t="n"/>
    </row>
    <row r="297" ht="15.75" customHeight="1" s="214">
      <c r="A297" s="7" t="n"/>
      <c r="B297" s="8" t="n"/>
      <c r="C297" s="9" t="n"/>
      <c r="D297" s="10" t="n"/>
      <c r="E297" s="247" t="n"/>
      <c r="F297" s="11">
        <f>IF(E297="","",IF(ISNA(VLOOKUP(E297,科目コード表!$C$4:$D$67,2,FALSE)),"該当科目なし",VLOOKUP(E297,科目コード表!$C$4:$D$67,2,FALSE)))</f>
        <v/>
      </c>
      <c r="G297" s="38" t="n"/>
      <c r="H297" s="248" t="n"/>
      <c r="I297" s="11">
        <f>IF(H297="","",IF(ISNA(VLOOKUP(H297,科目コード表!$C$4:$D$67,2,FALSE)),"該当科目なし",VLOOKUP(H297,科目コード表!$C$4:$D$67,2,FALSE)))</f>
        <v/>
      </c>
      <c r="J297" s="40" t="n"/>
      <c r="L297" s="46">
        <f>IF($E297=L$3,$G297,0)-IF($H297=L$3,$J297,0)</f>
        <v/>
      </c>
      <c r="M297" s="47">
        <f>IF($E297=M$3,$G297,0)-IF($H297=M$3,$J297,0)</f>
        <v/>
      </c>
      <c r="N297" s="47">
        <f>IF($E297=N$3,$G297,0)-IF($H297=N$3,$J297,0)</f>
        <v/>
      </c>
      <c r="O297" s="47">
        <f>IF($E297=O$3,$G297,0)-IF($H297=O$3,$J297,0)</f>
        <v/>
      </c>
      <c r="P297" s="47">
        <f>IF($E297=P$3,$G297,0)-IF($H297=P$3,$J297,0)</f>
        <v/>
      </c>
      <c r="Q297" s="47">
        <f>IF($E297=Q$3,$G297,0)-IF($H297=Q$3,$J297,0)</f>
        <v/>
      </c>
      <c r="R297" s="47">
        <f>IF($E297=R$3,$G297,0)-IF($H297=R$3,$J297,0)</f>
        <v/>
      </c>
      <c r="S297" s="47">
        <f>IF($E297=S$3,$G297,0)-IF($H297=S$3,$J297,0)</f>
        <v/>
      </c>
      <c r="T297" s="47">
        <f>IF($E297=T$3,$G297,0)-IF($H297=T$3,$J297,0)</f>
        <v/>
      </c>
      <c r="U297" s="47">
        <f>IF($E297=U$3,$G297,0)-IF($H297=U$3,$J297,0)</f>
        <v/>
      </c>
      <c r="V297" s="47">
        <f>IF($E297=V$3,$G297,0)-IF($H297=V$3,$J297,0)</f>
        <v/>
      </c>
      <c r="W297" s="47">
        <f>IF($E297=W$3,$G297,0)-IF($H297=W$3,$J297,0)</f>
        <v/>
      </c>
      <c r="X297" s="47">
        <f>IF($E297=X$3,$G297,0)-IF($H297=X$3,$J297,0)</f>
        <v/>
      </c>
      <c r="Y297" s="47">
        <f>IF($E297=Y$3,$G297,0)-IF($H297=Y$3,$J297,0)</f>
        <v/>
      </c>
      <c r="Z297" s="47">
        <f>IF($E297=Z$3,$G297,0)-IF($H297=Z$3,$J297,0)</f>
        <v/>
      </c>
      <c r="AA297" s="47">
        <f>IF($E297=AA$3,$G297,0)-IF($H297=AA$3,$J297,0)</f>
        <v/>
      </c>
      <c r="AB297" s="47">
        <f>IF($E297=AB$3,$G297,0)-IF($H297=AB$3,$J297,0)</f>
        <v/>
      </c>
      <c r="AC297" s="47">
        <f>IF($E297=AC$3,$G297,0)-IF($H297=AC$3,$J297,0)</f>
        <v/>
      </c>
      <c r="AD297" s="47">
        <f>IF($E297=AD$3,$G297,0)-IF($H297=AD$3,$J297,0)</f>
        <v/>
      </c>
      <c r="AE297" s="47">
        <f>IF($E297=AE$3,$G297,0)-IF($H297=AE$3,$J297,0)</f>
        <v/>
      </c>
      <c r="AF297" s="47">
        <f>IF($E297=AF$3,$G297,0)-IF($H297=AF$3,$J297,0)</f>
        <v/>
      </c>
      <c r="AG297" s="47">
        <f>IF($E297=AG$3,$G297,0)-IF($H297=AG$3,$J297,0)</f>
        <v/>
      </c>
      <c r="AH297" s="47">
        <f>IF($E297=AH$3,$G297,0)-IF($H297=AH$3,$J297,0)</f>
        <v/>
      </c>
      <c r="AI297" s="47">
        <f>IF($E297=AI$3,$G297,0)-IF($H297=AI$3,$J297,0)</f>
        <v/>
      </c>
      <c r="AJ297" s="47">
        <f>IF($E297=AJ$3,$G297,0)-IF($H297=AJ$3,$J297,0)</f>
        <v/>
      </c>
      <c r="AK297" s="47">
        <f>IF($E297=AK$3,$G297,0)-IF($H297=AK$3,$J297,0)</f>
        <v/>
      </c>
      <c r="AL297" s="48">
        <f>IF($E297=AL$3,$G297,0)-IF($H297=AL$3,$J297,0)</f>
        <v/>
      </c>
      <c r="AM297" s="46">
        <f>-IF($E297=AM$3,$G297,0)+IF($H297=AM$3,$J297,0)</f>
        <v/>
      </c>
      <c r="AN297" s="47">
        <f>-IF($E297=AN$3,$G297,0)+IF($H297=AN$3,$J297,0)</f>
        <v/>
      </c>
      <c r="AO297" s="48">
        <f>-IF($E297=AO$3,$G297,0)+IF($H297=AO$3,$J297,0)</f>
        <v/>
      </c>
      <c r="AP297" s="46">
        <f>IF($E297=AP$3,$G297,0)-IF($H297=AP$3,$J297,0)</f>
        <v/>
      </c>
      <c r="AQ297" s="47">
        <f>IF($E297=AQ$3,$G297,0)-IF($H297=AQ$3,$J297,0)</f>
        <v/>
      </c>
      <c r="AR297" s="47">
        <f>IF($E297=AR$3,$G297,0)-IF($H297=AR$3,$J297,0)</f>
        <v/>
      </c>
      <c r="AS297" s="47">
        <f>IF($E297=AS$3,$G297,0)-IF($H297=AS$3,$J297,0)</f>
        <v/>
      </c>
      <c r="AT297" s="47">
        <f>IF($E297=AT$3,$G297,0)-IF($H297=AT$3,$J297,0)</f>
        <v/>
      </c>
      <c r="AU297" s="47">
        <f>IF($E297=AU$3,$G297,0)-IF($H297=AU$3,$J297,0)</f>
        <v/>
      </c>
      <c r="AV297" s="47">
        <f>IF($E297=AV$3,$G297,0)-IF($H297=AV$3,$J297,0)</f>
        <v/>
      </c>
      <c r="AW297" s="47">
        <f>IF($E297=AW$3,$G297,0)-IF($H297=AW$3,$J297,0)</f>
        <v/>
      </c>
      <c r="AX297" s="47">
        <f>IF($E297=AX$3,$G297,0)-IF($H297=AX$3,$J297,0)</f>
        <v/>
      </c>
      <c r="AY297" s="47">
        <f>IF($E297=AY$3,$G297,0)-IF($H297=AY$3,$J297,0)</f>
        <v/>
      </c>
      <c r="AZ297" s="47">
        <f>IF($E297=AZ$3,$G297,0)-IF($H297=AZ$3,$J297,0)</f>
        <v/>
      </c>
      <c r="BA297" s="47">
        <f>IF($E297=BA$3,$G297,0)-IF($H297=BA$3,$J297,0)</f>
        <v/>
      </c>
      <c r="BB297" s="47">
        <f>IF($E297=BB$3,$G297,0)-IF($H297=BB$3,$J297,0)</f>
        <v/>
      </c>
      <c r="BC297" s="47">
        <f>IF($E297=BC$3,$G297,0)-IF($H297=BC$3,$J297,0)</f>
        <v/>
      </c>
      <c r="BD297" s="47">
        <f>IF($E297=BD$3,$G297,0)-IF($H297=BD$3,$J297,0)</f>
        <v/>
      </c>
      <c r="BE297" s="47">
        <f>IF($E297=BE$3,$G297,0)-IF($H297=BE$3,$J297,0)</f>
        <v/>
      </c>
      <c r="BF297" s="47">
        <f>IF($E297=BF$3,$G297,0)-IF($H297=BF$3,$J297,0)</f>
        <v/>
      </c>
      <c r="BG297" s="47">
        <f>IF($E297=BG$3,$G297,0)-IF($H297=BG$3,$J297,0)</f>
        <v/>
      </c>
      <c r="BH297" s="47">
        <f>IF($E297=BH$3,$G297,0)-IF($H297=BH$3,$J297,0)</f>
        <v/>
      </c>
      <c r="BI297" s="47">
        <f>IF($E297=BI$3,$G297,0)-IF($H297=BI$3,$J297,0)</f>
        <v/>
      </c>
      <c r="BJ297" s="47">
        <f>IF($E297=BJ$3,$G297,0)-IF($H297=BJ$3,$J297,0)</f>
        <v/>
      </c>
      <c r="BK297" s="47">
        <f>IF($E297=BK$3,$G297,0)-IF($H297=BK$3,$J297,0)</f>
        <v/>
      </c>
      <c r="BL297" s="46">
        <f>-IF($E297=BL$3,$G297,0)+IF($H297=BL$3,$J297,0)</f>
        <v/>
      </c>
      <c r="BM297" s="47">
        <f>-IF($E297=BM$3,$G297,0)+IF($H297=BM$3,$J297,0)</f>
        <v/>
      </c>
      <c r="BN297" s="47">
        <f>-IF($E297=BN$3,$G297,0)+IF($H297=BN$3,$J297,0)</f>
        <v/>
      </c>
      <c r="BO297" s="47">
        <f>-IF($E297=BO$3,$G297,0)+IF($H297=BO$3,$J297,0)</f>
        <v/>
      </c>
      <c r="BP297" s="47">
        <f>-IF($E297=BP$3,$G297,0)+IF($H297=BP$3,$J297,0)</f>
        <v/>
      </c>
      <c r="BQ297" s="47">
        <f>-IF($E297=BQ$3,$G297,0)+IF($H297=BQ$3,$J297,0)</f>
        <v/>
      </c>
      <c r="BR297" s="47">
        <f>-IF($E297=BR$3,$G297,0)+IF($H297=BR$3,$J297,0)</f>
        <v/>
      </c>
      <c r="BS297" s="47">
        <f>-IF($E297=BS$3,$G297,0)+IF($H297=BS$3,$J297,0)</f>
        <v/>
      </c>
      <c r="BT297" s="47">
        <f>-IF($E297=BT$3,$G297,0)+IF($H297=BT$3,$J297,0)</f>
        <v/>
      </c>
      <c r="BU297" s="46">
        <f>+G297-J297</f>
        <v/>
      </c>
      <c r="BV297" s="48">
        <f>-IF($E297=BV$3,$G297,0)+IF($H297=BV$3,$J297,0)</f>
        <v/>
      </c>
      <c r="BW297" s="3" t="n"/>
    </row>
    <row r="298" ht="15.75" customHeight="1" s="214">
      <c r="A298" s="7" t="n"/>
      <c r="B298" s="8" t="n"/>
      <c r="C298" s="9" t="n"/>
      <c r="D298" s="10" t="n"/>
      <c r="E298" s="247" t="n"/>
      <c r="F298" s="11">
        <f>IF(E298="","",IF(ISNA(VLOOKUP(E298,科目コード表!$C$4:$D$67,2,FALSE)),"該当科目なし",VLOOKUP(E298,科目コード表!$C$4:$D$67,2,FALSE)))</f>
        <v/>
      </c>
      <c r="G298" s="38" t="n"/>
      <c r="H298" s="248" t="n"/>
      <c r="I298" s="11">
        <f>IF(H298="","",IF(ISNA(VLOOKUP(H298,科目コード表!$C$4:$D$67,2,FALSE)),"該当科目なし",VLOOKUP(H298,科目コード表!$C$4:$D$67,2,FALSE)))</f>
        <v/>
      </c>
      <c r="J298" s="40" t="n"/>
      <c r="L298" s="46">
        <f>IF($E298=L$3,$G298,0)-IF($H298=L$3,$J298,0)</f>
        <v/>
      </c>
      <c r="M298" s="47">
        <f>IF($E298=M$3,$G298,0)-IF($H298=M$3,$J298,0)</f>
        <v/>
      </c>
      <c r="N298" s="47">
        <f>IF($E298=N$3,$G298,0)-IF($H298=N$3,$J298,0)</f>
        <v/>
      </c>
      <c r="O298" s="47">
        <f>IF($E298=O$3,$G298,0)-IF($H298=O$3,$J298,0)</f>
        <v/>
      </c>
      <c r="P298" s="47">
        <f>IF($E298=P$3,$G298,0)-IF($H298=P$3,$J298,0)</f>
        <v/>
      </c>
      <c r="Q298" s="47">
        <f>IF($E298=Q$3,$G298,0)-IF($H298=Q$3,$J298,0)</f>
        <v/>
      </c>
      <c r="R298" s="47">
        <f>IF($E298=R$3,$G298,0)-IF($H298=R$3,$J298,0)</f>
        <v/>
      </c>
      <c r="S298" s="47">
        <f>IF($E298=S$3,$G298,0)-IF($H298=S$3,$J298,0)</f>
        <v/>
      </c>
      <c r="T298" s="47">
        <f>IF($E298=T$3,$G298,0)-IF($H298=T$3,$J298,0)</f>
        <v/>
      </c>
      <c r="U298" s="47">
        <f>IF($E298=U$3,$G298,0)-IF($H298=U$3,$J298,0)</f>
        <v/>
      </c>
      <c r="V298" s="47">
        <f>IF($E298=V$3,$G298,0)-IF($H298=V$3,$J298,0)</f>
        <v/>
      </c>
      <c r="W298" s="47">
        <f>IF($E298=W$3,$G298,0)-IF($H298=W$3,$J298,0)</f>
        <v/>
      </c>
      <c r="X298" s="47">
        <f>IF($E298=X$3,$G298,0)-IF($H298=X$3,$J298,0)</f>
        <v/>
      </c>
      <c r="Y298" s="47">
        <f>IF($E298=Y$3,$G298,0)-IF($H298=Y$3,$J298,0)</f>
        <v/>
      </c>
      <c r="Z298" s="47">
        <f>IF($E298=Z$3,$G298,0)-IF($H298=Z$3,$J298,0)</f>
        <v/>
      </c>
      <c r="AA298" s="47">
        <f>IF($E298=AA$3,$G298,0)-IF($H298=AA$3,$J298,0)</f>
        <v/>
      </c>
      <c r="AB298" s="47">
        <f>IF($E298=AB$3,$G298,0)-IF($H298=AB$3,$J298,0)</f>
        <v/>
      </c>
      <c r="AC298" s="47">
        <f>IF($E298=AC$3,$G298,0)-IF($H298=AC$3,$J298,0)</f>
        <v/>
      </c>
      <c r="AD298" s="47">
        <f>IF($E298=AD$3,$G298,0)-IF($H298=AD$3,$J298,0)</f>
        <v/>
      </c>
      <c r="AE298" s="47">
        <f>IF($E298=AE$3,$G298,0)-IF($H298=AE$3,$J298,0)</f>
        <v/>
      </c>
      <c r="AF298" s="47">
        <f>IF($E298=AF$3,$G298,0)-IF($H298=AF$3,$J298,0)</f>
        <v/>
      </c>
      <c r="AG298" s="47">
        <f>IF($E298=AG$3,$G298,0)-IF($H298=AG$3,$J298,0)</f>
        <v/>
      </c>
      <c r="AH298" s="47">
        <f>IF($E298=AH$3,$G298,0)-IF($H298=AH$3,$J298,0)</f>
        <v/>
      </c>
      <c r="AI298" s="47">
        <f>IF($E298=AI$3,$G298,0)-IF($H298=AI$3,$J298,0)</f>
        <v/>
      </c>
      <c r="AJ298" s="47">
        <f>IF($E298=AJ$3,$G298,0)-IF($H298=AJ$3,$J298,0)</f>
        <v/>
      </c>
      <c r="AK298" s="47">
        <f>IF($E298=AK$3,$G298,0)-IF($H298=AK$3,$J298,0)</f>
        <v/>
      </c>
      <c r="AL298" s="48">
        <f>IF($E298=AL$3,$G298,0)-IF($H298=AL$3,$J298,0)</f>
        <v/>
      </c>
      <c r="AM298" s="46">
        <f>-IF($E298=AM$3,$G298,0)+IF($H298=AM$3,$J298,0)</f>
        <v/>
      </c>
      <c r="AN298" s="47">
        <f>-IF($E298=AN$3,$G298,0)+IF($H298=AN$3,$J298,0)</f>
        <v/>
      </c>
      <c r="AO298" s="48">
        <f>-IF($E298=AO$3,$G298,0)+IF($H298=AO$3,$J298,0)</f>
        <v/>
      </c>
      <c r="AP298" s="46">
        <f>IF($E298=AP$3,$G298,0)-IF($H298=AP$3,$J298,0)</f>
        <v/>
      </c>
      <c r="AQ298" s="47">
        <f>IF($E298=AQ$3,$G298,0)-IF($H298=AQ$3,$J298,0)</f>
        <v/>
      </c>
      <c r="AR298" s="47">
        <f>IF($E298=AR$3,$G298,0)-IF($H298=AR$3,$J298,0)</f>
        <v/>
      </c>
      <c r="AS298" s="47">
        <f>IF($E298=AS$3,$G298,0)-IF($H298=AS$3,$J298,0)</f>
        <v/>
      </c>
      <c r="AT298" s="47">
        <f>IF($E298=AT$3,$G298,0)-IF($H298=AT$3,$J298,0)</f>
        <v/>
      </c>
      <c r="AU298" s="47">
        <f>IF($E298=AU$3,$G298,0)-IF($H298=AU$3,$J298,0)</f>
        <v/>
      </c>
      <c r="AV298" s="47">
        <f>IF($E298=AV$3,$G298,0)-IF($H298=AV$3,$J298,0)</f>
        <v/>
      </c>
      <c r="AW298" s="47">
        <f>IF($E298=AW$3,$G298,0)-IF($H298=AW$3,$J298,0)</f>
        <v/>
      </c>
      <c r="AX298" s="47">
        <f>IF($E298=AX$3,$G298,0)-IF($H298=AX$3,$J298,0)</f>
        <v/>
      </c>
      <c r="AY298" s="47">
        <f>IF($E298=AY$3,$G298,0)-IF($H298=AY$3,$J298,0)</f>
        <v/>
      </c>
      <c r="AZ298" s="47">
        <f>IF($E298=AZ$3,$G298,0)-IF($H298=AZ$3,$J298,0)</f>
        <v/>
      </c>
      <c r="BA298" s="47">
        <f>IF($E298=BA$3,$G298,0)-IF($H298=BA$3,$J298,0)</f>
        <v/>
      </c>
      <c r="BB298" s="47">
        <f>IF($E298=BB$3,$G298,0)-IF($H298=BB$3,$J298,0)</f>
        <v/>
      </c>
      <c r="BC298" s="47">
        <f>IF($E298=BC$3,$G298,0)-IF($H298=BC$3,$J298,0)</f>
        <v/>
      </c>
      <c r="BD298" s="47">
        <f>IF($E298=BD$3,$G298,0)-IF($H298=BD$3,$J298,0)</f>
        <v/>
      </c>
      <c r="BE298" s="47">
        <f>IF($E298=BE$3,$G298,0)-IF($H298=BE$3,$J298,0)</f>
        <v/>
      </c>
      <c r="BF298" s="47">
        <f>IF($E298=BF$3,$G298,0)-IF($H298=BF$3,$J298,0)</f>
        <v/>
      </c>
      <c r="BG298" s="47">
        <f>IF($E298=BG$3,$G298,0)-IF($H298=BG$3,$J298,0)</f>
        <v/>
      </c>
      <c r="BH298" s="47">
        <f>IF($E298=BH$3,$G298,0)-IF($H298=BH$3,$J298,0)</f>
        <v/>
      </c>
      <c r="BI298" s="47">
        <f>IF($E298=BI$3,$G298,0)-IF($H298=BI$3,$J298,0)</f>
        <v/>
      </c>
      <c r="BJ298" s="47">
        <f>IF($E298=BJ$3,$G298,0)-IF($H298=BJ$3,$J298,0)</f>
        <v/>
      </c>
      <c r="BK298" s="47">
        <f>IF($E298=BK$3,$G298,0)-IF($H298=BK$3,$J298,0)</f>
        <v/>
      </c>
      <c r="BL298" s="46">
        <f>-IF($E298=BL$3,$G298,0)+IF($H298=BL$3,$J298,0)</f>
        <v/>
      </c>
      <c r="BM298" s="47">
        <f>-IF($E298=BM$3,$G298,0)+IF($H298=BM$3,$J298,0)</f>
        <v/>
      </c>
      <c r="BN298" s="47">
        <f>-IF($E298=BN$3,$G298,0)+IF($H298=BN$3,$J298,0)</f>
        <v/>
      </c>
      <c r="BO298" s="47">
        <f>-IF($E298=BO$3,$G298,0)+IF($H298=BO$3,$J298,0)</f>
        <v/>
      </c>
      <c r="BP298" s="47">
        <f>-IF($E298=BP$3,$G298,0)+IF($H298=BP$3,$J298,0)</f>
        <v/>
      </c>
      <c r="BQ298" s="47">
        <f>-IF($E298=BQ$3,$G298,0)+IF($H298=BQ$3,$J298,0)</f>
        <v/>
      </c>
      <c r="BR298" s="47">
        <f>-IF($E298=BR$3,$G298,0)+IF($H298=BR$3,$J298,0)</f>
        <v/>
      </c>
      <c r="BS298" s="47">
        <f>-IF($E298=BS$3,$G298,0)+IF($H298=BS$3,$J298,0)</f>
        <v/>
      </c>
      <c r="BT298" s="47">
        <f>-IF($E298=BT$3,$G298,0)+IF($H298=BT$3,$J298,0)</f>
        <v/>
      </c>
      <c r="BU298" s="46">
        <f>+G298-J298</f>
        <v/>
      </c>
      <c r="BV298" s="48">
        <f>-IF($E298=BV$3,$G298,0)+IF($H298=BV$3,$J298,0)</f>
        <v/>
      </c>
      <c r="BW298" s="3" t="n"/>
    </row>
    <row r="299" ht="15.75" customHeight="1" s="214">
      <c r="A299" s="7" t="n"/>
      <c r="B299" s="8" t="n"/>
      <c r="C299" s="9" t="n"/>
      <c r="D299" s="10" t="n"/>
      <c r="E299" s="247" t="n"/>
      <c r="F299" s="11">
        <f>IF(E299="","",IF(ISNA(VLOOKUP(E299,科目コード表!$C$4:$D$67,2,FALSE)),"該当科目なし",VLOOKUP(E299,科目コード表!$C$4:$D$67,2,FALSE)))</f>
        <v/>
      </c>
      <c r="G299" s="38" t="n"/>
      <c r="H299" s="248" t="n"/>
      <c r="I299" s="11">
        <f>IF(H299="","",IF(ISNA(VLOOKUP(H299,科目コード表!$C$4:$D$67,2,FALSE)),"該当科目なし",VLOOKUP(H299,科目コード表!$C$4:$D$67,2,FALSE)))</f>
        <v/>
      </c>
      <c r="J299" s="40" t="n"/>
      <c r="L299" s="46">
        <f>IF($E299=L$3,$G299,0)-IF($H299=L$3,$J299,0)</f>
        <v/>
      </c>
      <c r="M299" s="47">
        <f>IF($E299=M$3,$G299,0)-IF($H299=M$3,$J299,0)</f>
        <v/>
      </c>
      <c r="N299" s="47">
        <f>IF($E299=N$3,$G299,0)-IF($H299=N$3,$J299,0)</f>
        <v/>
      </c>
      <c r="O299" s="47">
        <f>IF($E299=O$3,$G299,0)-IF($H299=O$3,$J299,0)</f>
        <v/>
      </c>
      <c r="P299" s="47">
        <f>IF($E299=P$3,$G299,0)-IF($H299=P$3,$J299,0)</f>
        <v/>
      </c>
      <c r="Q299" s="47">
        <f>IF($E299=Q$3,$G299,0)-IF($H299=Q$3,$J299,0)</f>
        <v/>
      </c>
      <c r="R299" s="47">
        <f>IF($E299=R$3,$G299,0)-IF($H299=R$3,$J299,0)</f>
        <v/>
      </c>
      <c r="S299" s="47">
        <f>IF($E299=S$3,$G299,0)-IF($H299=S$3,$J299,0)</f>
        <v/>
      </c>
      <c r="T299" s="47">
        <f>IF($E299=T$3,$G299,0)-IF($H299=T$3,$J299,0)</f>
        <v/>
      </c>
      <c r="U299" s="47">
        <f>IF($E299=U$3,$G299,0)-IF($H299=U$3,$J299,0)</f>
        <v/>
      </c>
      <c r="V299" s="47">
        <f>IF($E299=V$3,$G299,0)-IF($H299=V$3,$J299,0)</f>
        <v/>
      </c>
      <c r="W299" s="47">
        <f>IF($E299=W$3,$G299,0)-IF($H299=W$3,$J299,0)</f>
        <v/>
      </c>
      <c r="X299" s="47">
        <f>IF($E299=X$3,$G299,0)-IF($H299=X$3,$J299,0)</f>
        <v/>
      </c>
      <c r="Y299" s="47">
        <f>IF($E299=Y$3,$G299,0)-IF($H299=Y$3,$J299,0)</f>
        <v/>
      </c>
      <c r="Z299" s="47">
        <f>IF($E299=Z$3,$G299,0)-IF($H299=Z$3,$J299,0)</f>
        <v/>
      </c>
      <c r="AA299" s="47">
        <f>IF($E299=AA$3,$G299,0)-IF($H299=AA$3,$J299,0)</f>
        <v/>
      </c>
      <c r="AB299" s="47">
        <f>IF($E299=AB$3,$G299,0)-IF($H299=AB$3,$J299,0)</f>
        <v/>
      </c>
      <c r="AC299" s="47">
        <f>IF($E299=AC$3,$G299,0)-IF($H299=AC$3,$J299,0)</f>
        <v/>
      </c>
      <c r="AD299" s="47">
        <f>IF($E299=AD$3,$G299,0)-IF($H299=AD$3,$J299,0)</f>
        <v/>
      </c>
      <c r="AE299" s="47">
        <f>IF($E299=AE$3,$G299,0)-IF($H299=AE$3,$J299,0)</f>
        <v/>
      </c>
      <c r="AF299" s="47">
        <f>IF($E299=AF$3,$G299,0)-IF($H299=AF$3,$J299,0)</f>
        <v/>
      </c>
      <c r="AG299" s="47">
        <f>IF($E299=AG$3,$G299,0)-IF($H299=AG$3,$J299,0)</f>
        <v/>
      </c>
      <c r="AH299" s="47">
        <f>IF($E299=AH$3,$G299,0)-IF($H299=AH$3,$J299,0)</f>
        <v/>
      </c>
      <c r="AI299" s="47">
        <f>IF($E299=AI$3,$G299,0)-IF($H299=AI$3,$J299,0)</f>
        <v/>
      </c>
      <c r="AJ299" s="47">
        <f>IF($E299=AJ$3,$G299,0)-IF($H299=AJ$3,$J299,0)</f>
        <v/>
      </c>
      <c r="AK299" s="47">
        <f>IF($E299=AK$3,$G299,0)-IF($H299=AK$3,$J299,0)</f>
        <v/>
      </c>
      <c r="AL299" s="48">
        <f>IF($E299=AL$3,$G299,0)-IF($H299=AL$3,$J299,0)</f>
        <v/>
      </c>
      <c r="AM299" s="46">
        <f>-IF($E299=AM$3,$G299,0)+IF($H299=AM$3,$J299,0)</f>
        <v/>
      </c>
      <c r="AN299" s="47">
        <f>-IF($E299=AN$3,$G299,0)+IF($H299=AN$3,$J299,0)</f>
        <v/>
      </c>
      <c r="AO299" s="48">
        <f>-IF($E299=AO$3,$G299,0)+IF($H299=AO$3,$J299,0)</f>
        <v/>
      </c>
      <c r="AP299" s="46">
        <f>IF($E299=AP$3,$G299,0)-IF($H299=AP$3,$J299,0)</f>
        <v/>
      </c>
      <c r="AQ299" s="47">
        <f>IF($E299=AQ$3,$G299,0)-IF($H299=AQ$3,$J299,0)</f>
        <v/>
      </c>
      <c r="AR299" s="47">
        <f>IF($E299=AR$3,$G299,0)-IF($H299=AR$3,$J299,0)</f>
        <v/>
      </c>
      <c r="AS299" s="47">
        <f>IF($E299=AS$3,$G299,0)-IF($H299=AS$3,$J299,0)</f>
        <v/>
      </c>
      <c r="AT299" s="47">
        <f>IF($E299=AT$3,$G299,0)-IF($H299=AT$3,$J299,0)</f>
        <v/>
      </c>
      <c r="AU299" s="47">
        <f>IF($E299=AU$3,$G299,0)-IF($H299=AU$3,$J299,0)</f>
        <v/>
      </c>
      <c r="AV299" s="47">
        <f>IF($E299=AV$3,$G299,0)-IF($H299=AV$3,$J299,0)</f>
        <v/>
      </c>
      <c r="AW299" s="47">
        <f>IF($E299=AW$3,$G299,0)-IF($H299=AW$3,$J299,0)</f>
        <v/>
      </c>
      <c r="AX299" s="47">
        <f>IF($E299=AX$3,$G299,0)-IF($H299=AX$3,$J299,0)</f>
        <v/>
      </c>
      <c r="AY299" s="47">
        <f>IF($E299=AY$3,$G299,0)-IF($H299=AY$3,$J299,0)</f>
        <v/>
      </c>
      <c r="AZ299" s="47">
        <f>IF($E299=AZ$3,$G299,0)-IF($H299=AZ$3,$J299,0)</f>
        <v/>
      </c>
      <c r="BA299" s="47">
        <f>IF($E299=BA$3,$G299,0)-IF($H299=BA$3,$J299,0)</f>
        <v/>
      </c>
      <c r="BB299" s="47">
        <f>IF($E299=BB$3,$G299,0)-IF($H299=BB$3,$J299,0)</f>
        <v/>
      </c>
      <c r="BC299" s="47">
        <f>IF($E299=BC$3,$G299,0)-IF($H299=BC$3,$J299,0)</f>
        <v/>
      </c>
      <c r="BD299" s="47">
        <f>IF($E299=BD$3,$G299,0)-IF($H299=BD$3,$J299,0)</f>
        <v/>
      </c>
      <c r="BE299" s="47">
        <f>IF($E299=BE$3,$G299,0)-IF($H299=BE$3,$J299,0)</f>
        <v/>
      </c>
      <c r="BF299" s="47">
        <f>IF($E299=BF$3,$G299,0)-IF($H299=BF$3,$J299,0)</f>
        <v/>
      </c>
      <c r="BG299" s="47">
        <f>IF($E299=BG$3,$G299,0)-IF($H299=BG$3,$J299,0)</f>
        <v/>
      </c>
      <c r="BH299" s="47">
        <f>IF($E299=BH$3,$G299,0)-IF($H299=BH$3,$J299,0)</f>
        <v/>
      </c>
      <c r="BI299" s="47">
        <f>IF($E299=BI$3,$G299,0)-IF($H299=BI$3,$J299,0)</f>
        <v/>
      </c>
      <c r="BJ299" s="47">
        <f>IF($E299=BJ$3,$G299,0)-IF($H299=BJ$3,$J299,0)</f>
        <v/>
      </c>
      <c r="BK299" s="47">
        <f>IF($E299=BK$3,$G299,0)-IF($H299=BK$3,$J299,0)</f>
        <v/>
      </c>
      <c r="BL299" s="46">
        <f>-IF($E299=BL$3,$G299,0)+IF($H299=BL$3,$J299,0)</f>
        <v/>
      </c>
      <c r="BM299" s="47">
        <f>-IF($E299=BM$3,$G299,0)+IF($H299=BM$3,$J299,0)</f>
        <v/>
      </c>
      <c r="BN299" s="47">
        <f>-IF($E299=BN$3,$G299,0)+IF($H299=BN$3,$J299,0)</f>
        <v/>
      </c>
      <c r="BO299" s="47">
        <f>-IF($E299=BO$3,$G299,0)+IF($H299=BO$3,$J299,0)</f>
        <v/>
      </c>
      <c r="BP299" s="47">
        <f>-IF($E299=BP$3,$G299,0)+IF($H299=BP$3,$J299,0)</f>
        <v/>
      </c>
      <c r="BQ299" s="47">
        <f>-IF($E299=BQ$3,$G299,0)+IF($H299=BQ$3,$J299,0)</f>
        <v/>
      </c>
      <c r="BR299" s="47">
        <f>-IF($E299=BR$3,$G299,0)+IF($H299=BR$3,$J299,0)</f>
        <v/>
      </c>
      <c r="BS299" s="47">
        <f>-IF($E299=BS$3,$G299,0)+IF($H299=BS$3,$J299,0)</f>
        <v/>
      </c>
      <c r="BT299" s="47">
        <f>-IF($E299=BT$3,$G299,0)+IF($H299=BT$3,$J299,0)</f>
        <v/>
      </c>
      <c r="BU299" s="46">
        <f>+G299-J299</f>
        <v/>
      </c>
      <c r="BV299" s="48">
        <f>-IF($E299=BV$3,$G299,0)+IF($H299=BV$3,$J299,0)</f>
        <v/>
      </c>
      <c r="BW299" s="3" t="n"/>
    </row>
    <row r="300" ht="15.75" customHeight="1" s="214">
      <c r="A300" s="7" t="n"/>
      <c r="B300" s="8" t="n"/>
      <c r="C300" s="9" t="n"/>
      <c r="D300" s="10" t="n"/>
      <c r="E300" s="247" t="n"/>
      <c r="F300" s="11">
        <f>IF(E300="","",IF(ISNA(VLOOKUP(E300,科目コード表!$C$4:$D$67,2,FALSE)),"該当科目なし",VLOOKUP(E300,科目コード表!$C$4:$D$67,2,FALSE)))</f>
        <v/>
      </c>
      <c r="G300" s="38" t="n"/>
      <c r="H300" s="248" t="n"/>
      <c r="I300" s="11">
        <f>IF(H300="","",IF(ISNA(VLOOKUP(H300,科目コード表!$C$4:$D$67,2,FALSE)),"該当科目なし",VLOOKUP(H300,科目コード表!$C$4:$D$67,2,FALSE)))</f>
        <v/>
      </c>
      <c r="J300" s="40" t="n"/>
      <c r="L300" s="46">
        <f>IF($E300=L$3,$G300,0)-IF($H300=L$3,$J300,0)</f>
        <v/>
      </c>
      <c r="M300" s="47">
        <f>IF($E300=M$3,$G300,0)-IF($H300=M$3,$J300,0)</f>
        <v/>
      </c>
      <c r="N300" s="47">
        <f>IF($E300=N$3,$G300,0)-IF($H300=N$3,$J300,0)</f>
        <v/>
      </c>
      <c r="O300" s="47">
        <f>IF($E300=O$3,$G300,0)-IF($H300=O$3,$J300,0)</f>
        <v/>
      </c>
      <c r="P300" s="47">
        <f>IF($E300=P$3,$G300,0)-IF($H300=P$3,$J300,0)</f>
        <v/>
      </c>
      <c r="Q300" s="47">
        <f>IF($E300=Q$3,$G300,0)-IF($H300=Q$3,$J300,0)</f>
        <v/>
      </c>
      <c r="R300" s="47">
        <f>IF($E300=R$3,$G300,0)-IF($H300=R$3,$J300,0)</f>
        <v/>
      </c>
      <c r="S300" s="47">
        <f>IF($E300=S$3,$G300,0)-IF($H300=S$3,$J300,0)</f>
        <v/>
      </c>
      <c r="T300" s="47">
        <f>IF($E300=T$3,$G300,0)-IF($H300=T$3,$J300,0)</f>
        <v/>
      </c>
      <c r="U300" s="47">
        <f>IF($E300=U$3,$G300,0)-IF($H300=U$3,$J300,0)</f>
        <v/>
      </c>
      <c r="V300" s="47">
        <f>IF($E300=V$3,$G300,0)-IF($H300=V$3,$J300,0)</f>
        <v/>
      </c>
      <c r="W300" s="47">
        <f>IF($E300=W$3,$G300,0)-IF($H300=W$3,$J300,0)</f>
        <v/>
      </c>
      <c r="X300" s="47">
        <f>IF($E300=X$3,$G300,0)-IF($H300=X$3,$J300,0)</f>
        <v/>
      </c>
      <c r="Y300" s="47">
        <f>IF($E300=Y$3,$G300,0)-IF($H300=Y$3,$J300,0)</f>
        <v/>
      </c>
      <c r="Z300" s="47">
        <f>IF($E300=Z$3,$G300,0)-IF($H300=Z$3,$J300,0)</f>
        <v/>
      </c>
      <c r="AA300" s="47">
        <f>IF($E300=AA$3,$G300,0)-IF($H300=AA$3,$J300,0)</f>
        <v/>
      </c>
      <c r="AB300" s="47">
        <f>IF($E300=AB$3,$G300,0)-IF($H300=AB$3,$J300,0)</f>
        <v/>
      </c>
      <c r="AC300" s="47">
        <f>IF($E300=AC$3,$G300,0)-IF($H300=AC$3,$J300,0)</f>
        <v/>
      </c>
      <c r="AD300" s="47">
        <f>IF($E300=AD$3,$G300,0)-IF($H300=AD$3,$J300,0)</f>
        <v/>
      </c>
      <c r="AE300" s="47">
        <f>IF($E300=AE$3,$G300,0)-IF($H300=AE$3,$J300,0)</f>
        <v/>
      </c>
      <c r="AF300" s="47">
        <f>IF($E300=AF$3,$G300,0)-IF($H300=AF$3,$J300,0)</f>
        <v/>
      </c>
      <c r="AG300" s="47">
        <f>IF($E300=AG$3,$G300,0)-IF($H300=AG$3,$J300,0)</f>
        <v/>
      </c>
      <c r="AH300" s="47">
        <f>IF($E300=AH$3,$G300,0)-IF($H300=AH$3,$J300,0)</f>
        <v/>
      </c>
      <c r="AI300" s="47">
        <f>IF($E300=AI$3,$G300,0)-IF($H300=AI$3,$J300,0)</f>
        <v/>
      </c>
      <c r="AJ300" s="47">
        <f>IF($E300=AJ$3,$G300,0)-IF($H300=AJ$3,$J300,0)</f>
        <v/>
      </c>
      <c r="AK300" s="47">
        <f>IF($E300=AK$3,$G300,0)-IF($H300=AK$3,$J300,0)</f>
        <v/>
      </c>
      <c r="AL300" s="48">
        <f>IF($E300=AL$3,$G300,0)-IF($H300=AL$3,$J300,0)</f>
        <v/>
      </c>
      <c r="AM300" s="46">
        <f>-IF($E300=AM$3,$G300,0)+IF($H300=AM$3,$J300,0)</f>
        <v/>
      </c>
      <c r="AN300" s="47">
        <f>-IF($E300=AN$3,$G300,0)+IF($H300=AN$3,$J300,0)</f>
        <v/>
      </c>
      <c r="AO300" s="48">
        <f>-IF($E300=AO$3,$G300,0)+IF($H300=AO$3,$J300,0)</f>
        <v/>
      </c>
      <c r="AP300" s="46">
        <f>IF($E300=AP$3,$G300,0)-IF($H300=AP$3,$J300,0)</f>
        <v/>
      </c>
      <c r="AQ300" s="47">
        <f>IF($E300=AQ$3,$G300,0)-IF($H300=AQ$3,$J300,0)</f>
        <v/>
      </c>
      <c r="AR300" s="47">
        <f>IF($E300=AR$3,$G300,0)-IF($H300=AR$3,$J300,0)</f>
        <v/>
      </c>
      <c r="AS300" s="47">
        <f>IF($E300=AS$3,$G300,0)-IF($H300=AS$3,$J300,0)</f>
        <v/>
      </c>
      <c r="AT300" s="47">
        <f>IF($E300=AT$3,$G300,0)-IF($H300=AT$3,$J300,0)</f>
        <v/>
      </c>
      <c r="AU300" s="47">
        <f>IF($E300=AU$3,$G300,0)-IF($H300=AU$3,$J300,0)</f>
        <v/>
      </c>
      <c r="AV300" s="47">
        <f>IF($E300=AV$3,$G300,0)-IF($H300=AV$3,$J300,0)</f>
        <v/>
      </c>
      <c r="AW300" s="47">
        <f>IF($E300=AW$3,$G300,0)-IF($H300=AW$3,$J300,0)</f>
        <v/>
      </c>
      <c r="AX300" s="47">
        <f>IF($E300=AX$3,$G300,0)-IF($H300=AX$3,$J300,0)</f>
        <v/>
      </c>
      <c r="AY300" s="47">
        <f>IF($E300=AY$3,$G300,0)-IF($H300=AY$3,$J300,0)</f>
        <v/>
      </c>
      <c r="AZ300" s="47">
        <f>IF($E300=AZ$3,$G300,0)-IF($H300=AZ$3,$J300,0)</f>
        <v/>
      </c>
      <c r="BA300" s="47">
        <f>IF($E300=BA$3,$G300,0)-IF($H300=BA$3,$J300,0)</f>
        <v/>
      </c>
      <c r="BB300" s="47">
        <f>IF($E300=BB$3,$G300,0)-IF($H300=BB$3,$J300,0)</f>
        <v/>
      </c>
      <c r="BC300" s="47">
        <f>IF($E300=BC$3,$G300,0)-IF($H300=BC$3,$J300,0)</f>
        <v/>
      </c>
      <c r="BD300" s="47">
        <f>IF($E300=BD$3,$G300,0)-IF($H300=BD$3,$J300,0)</f>
        <v/>
      </c>
      <c r="BE300" s="47">
        <f>IF($E300=BE$3,$G300,0)-IF($H300=BE$3,$J300,0)</f>
        <v/>
      </c>
      <c r="BF300" s="47">
        <f>IF($E300=BF$3,$G300,0)-IF($H300=BF$3,$J300,0)</f>
        <v/>
      </c>
      <c r="BG300" s="47">
        <f>IF($E300=BG$3,$G300,0)-IF($H300=BG$3,$J300,0)</f>
        <v/>
      </c>
      <c r="BH300" s="47">
        <f>IF($E300=BH$3,$G300,0)-IF($H300=BH$3,$J300,0)</f>
        <v/>
      </c>
      <c r="BI300" s="47">
        <f>IF($E300=BI$3,$G300,0)-IF($H300=BI$3,$J300,0)</f>
        <v/>
      </c>
      <c r="BJ300" s="47">
        <f>IF($E300=BJ$3,$G300,0)-IF($H300=BJ$3,$J300,0)</f>
        <v/>
      </c>
      <c r="BK300" s="47">
        <f>IF($E300=BK$3,$G300,0)-IF($H300=BK$3,$J300,0)</f>
        <v/>
      </c>
      <c r="BL300" s="46">
        <f>-IF($E300=BL$3,$G300,0)+IF($H300=BL$3,$J300,0)</f>
        <v/>
      </c>
      <c r="BM300" s="47">
        <f>-IF($E300=BM$3,$G300,0)+IF($H300=BM$3,$J300,0)</f>
        <v/>
      </c>
      <c r="BN300" s="47">
        <f>-IF($E300=BN$3,$G300,0)+IF($H300=BN$3,$J300,0)</f>
        <v/>
      </c>
      <c r="BO300" s="47">
        <f>-IF($E300=BO$3,$G300,0)+IF($H300=BO$3,$J300,0)</f>
        <v/>
      </c>
      <c r="BP300" s="47">
        <f>-IF($E300=BP$3,$G300,0)+IF($H300=BP$3,$J300,0)</f>
        <v/>
      </c>
      <c r="BQ300" s="47">
        <f>-IF($E300=BQ$3,$G300,0)+IF($H300=BQ$3,$J300,0)</f>
        <v/>
      </c>
      <c r="BR300" s="47">
        <f>-IF($E300=BR$3,$G300,0)+IF($H300=BR$3,$J300,0)</f>
        <v/>
      </c>
      <c r="BS300" s="47">
        <f>-IF($E300=BS$3,$G300,0)+IF($H300=BS$3,$J300,0)</f>
        <v/>
      </c>
      <c r="BT300" s="47">
        <f>-IF($E300=BT$3,$G300,0)+IF($H300=BT$3,$J300,0)</f>
        <v/>
      </c>
      <c r="BU300" s="46">
        <f>+G300-J300</f>
        <v/>
      </c>
      <c r="BV300" s="48">
        <f>-IF($E300=BV$3,$G300,0)+IF($H300=BV$3,$J300,0)</f>
        <v/>
      </c>
      <c r="BW300" s="3" t="n"/>
    </row>
    <row r="301" ht="15.75" customHeight="1" s="214">
      <c r="A301" s="7" t="n"/>
      <c r="B301" s="8" t="n"/>
      <c r="C301" s="9" t="n"/>
      <c r="D301" s="10" t="n"/>
      <c r="E301" s="247" t="n"/>
      <c r="F301" s="11">
        <f>IF(E301="","",IF(ISNA(VLOOKUP(E301,科目コード表!$C$4:$D$67,2,FALSE)),"該当科目なし",VLOOKUP(E301,科目コード表!$C$4:$D$67,2,FALSE)))</f>
        <v/>
      </c>
      <c r="G301" s="38" t="n"/>
      <c r="H301" s="248" t="n"/>
      <c r="I301" s="11">
        <f>IF(H301="","",IF(ISNA(VLOOKUP(H301,科目コード表!$C$4:$D$67,2,FALSE)),"該当科目なし",VLOOKUP(H301,科目コード表!$C$4:$D$67,2,FALSE)))</f>
        <v/>
      </c>
      <c r="J301" s="40" t="n"/>
      <c r="L301" s="46">
        <f>IF($E301=L$3,$G301,0)-IF($H301=L$3,$J301,0)</f>
        <v/>
      </c>
      <c r="M301" s="47">
        <f>IF($E301=M$3,$G301,0)-IF($H301=M$3,$J301,0)</f>
        <v/>
      </c>
      <c r="N301" s="47">
        <f>IF($E301=N$3,$G301,0)-IF($H301=N$3,$J301,0)</f>
        <v/>
      </c>
      <c r="O301" s="47">
        <f>IF($E301=O$3,$G301,0)-IF($H301=O$3,$J301,0)</f>
        <v/>
      </c>
      <c r="P301" s="47">
        <f>IF($E301=P$3,$G301,0)-IF($H301=P$3,$J301,0)</f>
        <v/>
      </c>
      <c r="Q301" s="47">
        <f>IF($E301=Q$3,$G301,0)-IF($H301=Q$3,$J301,0)</f>
        <v/>
      </c>
      <c r="R301" s="47">
        <f>IF($E301=R$3,$G301,0)-IF($H301=R$3,$J301,0)</f>
        <v/>
      </c>
      <c r="S301" s="47">
        <f>IF($E301=S$3,$G301,0)-IF($H301=S$3,$J301,0)</f>
        <v/>
      </c>
      <c r="T301" s="47">
        <f>IF($E301=T$3,$G301,0)-IF($H301=T$3,$J301,0)</f>
        <v/>
      </c>
      <c r="U301" s="47">
        <f>IF($E301=U$3,$G301,0)-IF($H301=U$3,$J301,0)</f>
        <v/>
      </c>
      <c r="V301" s="47">
        <f>IF($E301=V$3,$G301,0)-IF($H301=V$3,$J301,0)</f>
        <v/>
      </c>
      <c r="W301" s="47">
        <f>IF($E301=W$3,$G301,0)-IF($H301=W$3,$J301,0)</f>
        <v/>
      </c>
      <c r="X301" s="47">
        <f>IF($E301=X$3,$G301,0)-IF($H301=X$3,$J301,0)</f>
        <v/>
      </c>
      <c r="Y301" s="47">
        <f>IF($E301=Y$3,$G301,0)-IF($H301=Y$3,$J301,0)</f>
        <v/>
      </c>
      <c r="Z301" s="47">
        <f>IF($E301=Z$3,$G301,0)-IF($H301=Z$3,$J301,0)</f>
        <v/>
      </c>
      <c r="AA301" s="47">
        <f>IF($E301=AA$3,$G301,0)-IF($H301=AA$3,$J301,0)</f>
        <v/>
      </c>
      <c r="AB301" s="47">
        <f>IF($E301=AB$3,$G301,0)-IF($H301=AB$3,$J301,0)</f>
        <v/>
      </c>
      <c r="AC301" s="47">
        <f>IF($E301=AC$3,$G301,0)-IF($H301=AC$3,$J301,0)</f>
        <v/>
      </c>
      <c r="AD301" s="47">
        <f>IF($E301=AD$3,$G301,0)-IF($H301=AD$3,$J301,0)</f>
        <v/>
      </c>
      <c r="AE301" s="47">
        <f>IF($E301=AE$3,$G301,0)-IF($H301=AE$3,$J301,0)</f>
        <v/>
      </c>
      <c r="AF301" s="47">
        <f>IF($E301=AF$3,$G301,0)-IF($H301=AF$3,$J301,0)</f>
        <v/>
      </c>
      <c r="AG301" s="47">
        <f>IF($E301=AG$3,$G301,0)-IF($H301=AG$3,$J301,0)</f>
        <v/>
      </c>
      <c r="AH301" s="47">
        <f>IF($E301=AH$3,$G301,0)-IF($H301=AH$3,$J301,0)</f>
        <v/>
      </c>
      <c r="AI301" s="47">
        <f>IF($E301=AI$3,$G301,0)-IF($H301=AI$3,$J301,0)</f>
        <v/>
      </c>
      <c r="AJ301" s="47">
        <f>IF($E301=AJ$3,$G301,0)-IF($H301=AJ$3,$J301,0)</f>
        <v/>
      </c>
      <c r="AK301" s="47">
        <f>IF($E301=AK$3,$G301,0)-IF($H301=AK$3,$J301,0)</f>
        <v/>
      </c>
      <c r="AL301" s="48">
        <f>IF($E301=AL$3,$G301,0)-IF($H301=AL$3,$J301,0)</f>
        <v/>
      </c>
      <c r="AM301" s="46">
        <f>-IF($E301=AM$3,$G301,0)+IF($H301=AM$3,$J301,0)</f>
        <v/>
      </c>
      <c r="AN301" s="47">
        <f>-IF($E301=AN$3,$G301,0)+IF($H301=AN$3,$J301,0)</f>
        <v/>
      </c>
      <c r="AO301" s="48">
        <f>-IF($E301=AO$3,$G301,0)+IF($H301=AO$3,$J301,0)</f>
        <v/>
      </c>
      <c r="AP301" s="46">
        <f>IF($E301=AP$3,$G301,0)-IF($H301=AP$3,$J301,0)</f>
        <v/>
      </c>
      <c r="AQ301" s="47">
        <f>IF($E301=AQ$3,$G301,0)-IF($H301=AQ$3,$J301,0)</f>
        <v/>
      </c>
      <c r="AR301" s="47">
        <f>IF($E301=AR$3,$G301,0)-IF($H301=AR$3,$J301,0)</f>
        <v/>
      </c>
      <c r="AS301" s="47">
        <f>IF($E301=AS$3,$G301,0)-IF($H301=AS$3,$J301,0)</f>
        <v/>
      </c>
      <c r="AT301" s="47">
        <f>IF($E301=AT$3,$G301,0)-IF($H301=AT$3,$J301,0)</f>
        <v/>
      </c>
      <c r="AU301" s="47">
        <f>IF($E301=AU$3,$G301,0)-IF($H301=AU$3,$J301,0)</f>
        <v/>
      </c>
      <c r="AV301" s="47">
        <f>IF($E301=AV$3,$G301,0)-IF($H301=AV$3,$J301,0)</f>
        <v/>
      </c>
      <c r="AW301" s="47">
        <f>IF($E301=AW$3,$G301,0)-IF($H301=AW$3,$J301,0)</f>
        <v/>
      </c>
      <c r="AX301" s="47">
        <f>IF($E301=AX$3,$G301,0)-IF($H301=AX$3,$J301,0)</f>
        <v/>
      </c>
      <c r="AY301" s="47">
        <f>IF($E301=AY$3,$G301,0)-IF($H301=AY$3,$J301,0)</f>
        <v/>
      </c>
      <c r="AZ301" s="47">
        <f>IF($E301=AZ$3,$G301,0)-IF($H301=AZ$3,$J301,0)</f>
        <v/>
      </c>
      <c r="BA301" s="47">
        <f>IF($E301=BA$3,$G301,0)-IF($H301=BA$3,$J301,0)</f>
        <v/>
      </c>
      <c r="BB301" s="47">
        <f>IF($E301=BB$3,$G301,0)-IF($H301=BB$3,$J301,0)</f>
        <v/>
      </c>
      <c r="BC301" s="47">
        <f>IF($E301=BC$3,$G301,0)-IF($H301=BC$3,$J301,0)</f>
        <v/>
      </c>
      <c r="BD301" s="47">
        <f>IF($E301=BD$3,$G301,0)-IF($H301=BD$3,$J301,0)</f>
        <v/>
      </c>
      <c r="BE301" s="47">
        <f>IF($E301=BE$3,$G301,0)-IF($H301=BE$3,$J301,0)</f>
        <v/>
      </c>
      <c r="BF301" s="47">
        <f>IF($E301=BF$3,$G301,0)-IF($H301=BF$3,$J301,0)</f>
        <v/>
      </c>
      <c r="BG301" s="47">
        <f>IF($E301=BG$3,$G301,0)-IF($H301=BG$3,$J301,0)</f>
        <v/>
      </c>
      <c r="BH301" s="47">
        <f>IF($E301=BH$3,$G301,0)-IF($H301=BH$3,$J301,0)</f>
        <v/>
      </c>
      <c r="BI301" s="47">
        <f>IF($E301=BI$3,$G301,0)-IF($H301=BI$3,$J301,0)</f>
        <v/>
      </c>
      <c r="BJ301" s="47">
        <f>IF($E301=BJ$3,$G301,0)-IF($H301=BJ$3,$J301,0)</f>
        <v/>
      </c>
      <c r="BK301" s="47">
        <f>IF($E301=BK$3,$G301,0)-IF($H301=BK$3,$J301,0)</f>
        <v/>
      </c>
      <c r="BL301" s="46">
        <f>-IF($E301=BL$3,$G301,0)+IF($H301=BL$3,$J301,0)</f>
        <v/>
      </c>
      <c r="BM301" s="47">
        <f>-IF($E301=BM$3,$G301,0)+IF($H301=BM$3,$J301,0)</f>
        <v/>
      </c>
      <c r="BN301" s="47">
        <f>-IF($E301=BN$3,$G301,0)+IF($H301=BN$3,$J301,0)</f>
        <v/>
      </c>
      <c r="BO301" s="47">
        <f>-IF($E301=BO$3,$G301,0)+IF($H301=BO$3,$J301,0)</f>
        <v/>
      </c>
      <c r="BP301" s="47">
        <f>-IF($E301=BP$3,$G301,0)+IF($H301=BP$3,$J301,0)</f>
        <v/>
      </c>
      <c r="BQ301" s="47">
        <f>-IF($E301=BQ$3,$G301,0)+IF($H301=BQ$3,$J301,0)</f>
        <v/>
      </c>
      <c r="BR301" s="47">
        <f>-IF($E301=BR$3,$G301,0)+IF($H301=BR$3,$J301,0)</f>
        <v/>
      </c>
      <c r="BS301" s="47">
        <f>-IF($E301=BS$3,$G301,0)+IF($H301=BS$3,$J301,0)</f>
        <v/>
      </c>
      <c r="BT301" s="47">
        <f>-IF($E301=BT$3,$G301,0)+IF($H301=BT$3,$J301,0)</f>
        <v/>
      </c>
      <c r="BU301" s="46">
        <f>+G301-J301</f>
        <v/>
      </c>
      <c r="BV301" s="48">
        <f>-IF($E301=BV$3,$G301,0)+IF($H301=BV$3,$J301,0)</f>
        <v/>
      </c>
      <c r="BW301" s="3" t="n"/>
    </row>
    <row r="302" ht="15.75" customHeight="1" s="214">
      <c r="A302" s="7" t="n"/>
      <c r="B302" s="8" t="n"/>
      <c r="C302" s="9" t="n"/>
      <c r="D302" s="10" t="n"/>
      <c r="E302" s="247" t="n"/>
      <c r="F302" s="11">
        <f>IF(E302="","",IF(ISNA(VLOOKUP(E302,科目コード表!$C$4:$D$67,2,FALSE)),"該当科目なし",VLOOKUP(E302,科目コード表!$C$4:$D$67,2,FALSE)))</f>
        <v/>
      </c>
      <c r="G302" s="38" t="n"/>
      <c r="H302" s="248" t="n"/>
      <c r="I302" s="11">
        <f>IF(H302="","",IF(ISNA(VLOOKUP(H302,科目コード表!$C$4:$D$67,2,FALSE)),"該当科目なし",VLOOKUP(H302,科目コード表!$C$4:$D$67,2,FALSE)))</f>
        <v/>
      </c>
      <c r="J302" s="40" t="n"/>
      <c r="L302" s="46">
        <f>IF($E302=L$3,$G302,0)-IF($H302=L$3,$J302,0)</f>
        <v/>
      </c>
      <c r="M302" s="47">
        <f>IF($E302=M$3,$G302,0)-IF($H302=M$3,$J302,0)</f>
        <v/>
      </c>
      <c r="N302" s="47">
        <f>IF($E302=N$3,$G302,0)-IF($H302=N$3,$J302,0)</f>
        <v/>
      </c>
      <c r="O302" s="47">
        <f>IF($E302=O$3,$G302,0)-IF($H302=O$3,$J302,0)</f>
        <v/>
      </c>
      <c r="P302" s="47">
        <f>IF($E302=P$3,$G302,0)-IF($H302=P$3,$J302,0)</f>
        <v/>
      </c>
      <c r="Q302" s="47">
        <f>IF($E302=Q$3,$G302,0)-IF($H302=Q$3,$J302,0)</f>
        <v/>
      </c>
      <c r="R302" s="47">
        <f>IF($E302=R$3,$G302,0)-IF($H302=R$3,$J302,0)</f>
        <v/>
      </c>
      <c r="S302" s="47">
        <f>IF($E302=S$3,$G302,0)-IF($H302=S$3,$J302,0)</f>
        <v/>
      </c>
      <c r="T302" s="47">
        <f>IF($E302=T$3,$G302,0)-IF($H302=T$3,$J302,0)</f>
        <v/>
      </c>
      <c r="U302" s="47">
        <f>IF($E302=U$3,$G302,0)-IF($H302=U$3,$J302,0)</f>
        <v/>
      </c>
      <c r="V302" s="47">
        <f>IF($E302=V$3,$G302,0)-IF($H302=V$3,$J302,0)</f>
        <v/>
      </c>
      <c r="W302" s="47">
        <f>IF($E302=W$3,$G302,0)-IF($H302=W$3,$J302,0)</f>
        <v/>
      </c>
      <c r="X302" s="47">
        <f>IF($E302=X$3,$G302,0)-IF($H302=X$3,$J302,0)</f>
        <v/>
      </c>
      <c r="Y302" s="47">
        <f>IF($E302=Y$3,$G302,0)-IF($H302=Y$3,$J302,0)</f>
        <v/>
      </c>
      <c r="Z302" s="47">
        <f>IF($E302=Z$3,$G302,0)-IF($H302=Z$3,$J302,0)</f>
        <v/>
      </c>
      <c r="AA302" s="47">
        <f>IF($E302=AA$3,$G302,0)-IF($H302=AA$3,$J302,0)</f>
        <v/>
      </c>
      <c r="AB302" s="47">
        <f>IF($E302=AB$3,$G302,0)-IF($H302=AB$3,$J302,0)</f>
        <v/>
      </c>
      <c r="AC302" s="47">
        <f>IF($E302=AC$3,$G302,0)-IF($H302=AC$3,$J302,0)</f>
        <v/>
      </c>
      <c r="AD302" s="47">
        <f>IF($E302=AD$3,$G302,0)-IF($H302=AD$3,$J302,0)</f>
        <v/>
      </c>
      <c r="AE302" s="47">
        <f>IF($E302=AE$3,$G302,0)-IF($H302=AE$3,$J302,0)</f>
        <v/>
      </c>
      <c r="AF302" s="47">
        <f>IF($E302=AF$3,$G302,0)-IF($H302=AF$3,$J302,0)</f>
        <v/>
      </c>
      <c r="AG302" s="47">
        <f>IF($E302=AG$3,$G302,0)-IF($H302=AG$3,$J302,0)</f>
        <v/>
      </c>
      <c r="AH302" s="47">
        <f>IF($E302=AH$3,$G302,0)-IF($H302=AH$3,$J302,0)</f>
        <v/>
      </c>
      <c r="AI302" s="47">
        <f>IF($E302=AI$3,$G302,0)-IF($H302=AI$3,$J302,0)</f>
        <v/>
      </c>
      <c r="AJ302" s="47">
        <f>IF($E302=AJ$3,$G302,0)-IF($H302=AJ$3,$J302,0)</f>
        <v/>
      </c>
      <c r="AK302" s="47">
        <f>IF($E302=AK$3,$G302,0)-IF($H302=AK$3,$J302,0)</f>
        <v/>
      </c>
      <c r="AL302" s="48">
        <f>IF($E302=AL$3,$G302,0)-IF($H302=AL$3,$J302,0)</f>
        <v/>
      </c>
      <c r="AM302" s="46">
        <f>-IF($E302=AM$3,$G302,0)+IF($H302=AM$3,$J302,0)</f>
        <v/>
      </c>
      <c r="AN302" s="47">
        <f>-IF($E302=AN$3,$G302,0)+IF($H302=AN$3,$J302,0)</f>
        <v/>
      </c>
      <c r="AO302" s="48">
        <f>-IF($E302=AO$3,$G302,0)+IF($H302=AO$3,$J302,0)</f>
        <v/>
      </c>
      <c r="AP302" s="46">
        <f>IF($E302=AP$3,$G302,0)-IF($H302=AP$3,$J302,0)</f>
        <v/>
      </c>
      <c r="AQ302" s="47">
        <f>IF($E302=AQ$3,$G302,0)-IF($H302=AQ$3,$J302,0)</f>
        <v/>
      </c>
      <c r="AR302" s="47">
        <f>IF($E302=AR$3,$G302,0)-IF($H302=AR$3,$J302,0)</f>
        <v/>
      </c>
      <c r="AS302" s="47">
        <f>IF($E302=AS$3,$G302,0)-IF($H302=AS$3,$J302,0)</f>
        <v/>
      </c>
      <c r="AT302" s="47">
        <f>IF($E302=AT$3,$G302,0)-IF($H302=AT$3,$J302,0)</f>
        <v/>
      </c>
      <c r="AU302" s="47">
        <f>IF($E302=AU$3,$G302,0)-IF($H302=AU$3,$J302,0)</f>
        <v/>
      </c>
      <c r="AV302" s="47">
        <f>IF($E302=AV$3,$G302,0)-IF($H302=AV$3,$J302,0)</f>
        <v/>
      </c>
      <c r="AW302" s="47">
        <f>IF($E302=AW$3,$G302,0)-IF($H302=AW$3,$J302,0)</f>
        <v/>
      </c>
      <c r="AX302" s="47">
        <f>IF($E302=AX$3,$G302,0)-IF($H302=AX$3,$J302,0)</f>
        <v/>
      </c>
      <c r="AY302" s="47">
        <f>IF($E302=AY$3,$G302,0)-IF($H302=AY$3,$J302,0)</f>
        <v/>
      </c>
      <c r="AZ302" s="47">
        <f>IF($E302=AZ$3,$G302,0)-IF($H302=AZ$3,$J302,0)</f>
        <v/>
      </c>
      <c r="BA302" s="47">
        <f>IF($E302=BA$3,$G302,0)-IF($H302=BA$3,$J302,0)</f>
        <v/>
      </c>
      <c r="BB302" s="47">
        <f>IF($E302=BB$3,$G302,0)-IF($H302=BB$3,$J302,0)</f>
        <v/>
      </c>
      <c r="BC302" s="47">
        <f>IF($E302=BC$3,$G302,0)-IF($H302=BC$3,$J302,0)</f>
        <v/>
      </c>
      <c r="BD302" s="47">
        <f>IF($E302=BD$3,$G302,0)-IF($H302=BD$3,$J302,0)</f>
        <v/>
      </c>
      <c r="BE302" s="47">
        <f>IF($E302=BE$3,$G302,0)-IF($H302=BE$3,$J302,0)</f>
        <v/>
      </c>
      <c r="BF302" s="47">
        <f>IF($E302=BF$3,$G302,0)-IF($H302=BF$3,$J302,0)</f>
        <v/>
      </c>
      <c r="BG302" s="47">
        <f>IF($E302=BG$3,$G302,0)-IF($H302=BG$3,$J302,0)</f>
        <v/>
      </c>
      <c r="BH302" s="47">
        <f>IF($E302=BH$3,$G302,0)-IF($H302=BH$3,$J302,0)</f>
        <v/>
      </c>
      <c r="BI302" s="47">
        <f>IF($E302=BI$3,$G302,0)-IF($H302=BI$3,$J302,0)</f>
        <v/>
      </c>
      <c r="BJ302" s="47">
        <f>IF($E302=BJ$3,$G302,0)-IF($H302=BJ$3,$J302,0)</f>
        <v/>
      </c>
      <c r="BK302" s="47">
        <f>IF($E302=BK$3,$G302,0)-IF($H302=BK$3,$J302,0)</f>
        <v/>
      </c>
      <c r="BL302" s="46">
        <f>-IF($E302=BL$3,$G302,0)+IF($H302=BL$3,$J302,0)</f>
        <v/>
      </c>
      <c r="BM302" s="47">
        <f>-IF($E302=BM$3,$G302,0)+IF($H302=BM$3,$J302,0)</f>
        <v/>
      </c>
      <c r="BN302" s="47">
        <f>-IF($E302=BN$3,$G302,0)+IF($H302=BN$3,$J302,0)</f>
        <v/>
      </c>
      <c r="BO302" s="47">
        <f>-IF($E302=BO$3,$G302,0)+IF($H302=BO$3,$J302,0)</f>
        <v/>
      </c>
      <c r="BP302" s="47">
        <f>-IF($E302=BP$3,$G302,0)+IF($H302=BP$3,$J302,0)</f>
        <v/>
      </c>
      <c r="BQ302" s="47">
        <f>-IF($E302=BQ$3,$G302,0)+IF($H302=BQ$3,$J302,0)</f>
        <v/>
      </c>
      <c r="BR302" s="47">
        <f>-IF($E302=BR$3,$G302,0)+IF($H302=BR$3,$J302,0)</f>
        <v/>
      </c>
      <c r="BS302" s="47">
        <f>-IF($E302=BS$3,$G302,0)+IF($H302=BS$3,$J302,0)</f>
        <v/>
      </c>
      <c r="BT302" s="47">
        <f>-IF($E302=BT$3,$G302,0)+IF($H302=BT$3,$J302,0)</f>
        <v/>
      </c>
      <c r="BU302" s="46">
        <f>+G302-J302</f>
        <v/>
      </c>
      <c r="BV302" s="48">
        <f>-IF($E302=BV$3,$G302,0)+IF($H302=BV$3,$J302,0)</f>
        <v/>
      </c>
      <c r="BW302" s="3" t="n"/>
    </row>
    <row r="303" ht="15.75" customHeight="1" s="214">
      <c r="A303" s="7" t="n"/>
      <c r="B303" s="8" t="n"/>
      <c r="C303" s="9" t="n"/>
      <c r="D303" s="10" t="n"/>
      <c r="E303" s="247" t="n"/>
      <c r="F303" s="11">
        <f>IF(E303="","",IF(ISNA(VLOOKUP(E303,科目コード表!$C$4:$D$67,2,FALSE)),"該当科目なし",VLOOKUP(E303,科目コード表!$C$4:$D$67,2,FALSE)))</f>
        <v/>
      </c>
      <c r="G303" s="38" t="n"/>
      <c r="H303" s="248" t="n"/>
      <c r="I303" s="11">
        <f>IF(H303="","",IF(ISNA(VLOOKUP(H303,科目コード表!$C$4:$D$67,2,FALSE)),"該当科目なし",VLOOKUP(H303,科目コード表!$C$4:$D$67,2,FALSE)))</f>
        <v/>
      </c>
      <c r="J303" s="40" t="n"/>
      <c r="L303" s="46">
        <f>IF($E303=L$3,$G303,0)-IF($H303=L$3,$J303,0)</f>
        <v/>
      </c>
      <c r="M303" s="47">
        <f>IF($E303=M$3,$G303,0)-IF($H303=M$3,$J303,0)</f>
        <v/>
      </c>
      <c r="N303" s="47">
        <f>IF($E303=N$3,$G303,0)-IF($H303=N$3,$J303,0)</f>
        <v/>
      </c>
      <c r="O303" s="47">
        <f>IF($E303=O$3,$G303,0)-IF($H303=O$3,$J303,0)</f>
        <v/>
      </c>
      <c r="P303" s="47">
        <f>IF($E303=P$3,$G303,0)-IF($H303=P$3,$J303,0)</f>
        <v/>
      </c>
      <c r="Q303" s="47">
        <f>IF($E303=Q$3,$G303,0)-IF($H303=Q$3,$J303,0)</f>
        <v/>
      </c>
      <c r="R303" s="47">
        <f>IF($E303=R$3,$G303,0)-IF($H303=R$3,$J303,0)</f>
        <v/>
      </c>
      <c r="S303" s="47">
        <f>IF($E303=S$3,$G303,0)-IF($H303=S$3,$J303,0)</f>
        <v/>
      </c>
      <c r="T303" s="47">
        <f>IF($E303=T$3,$G303,0)-IF($H303=T$3,$J303,0)</f>
        <v/>
      </c>
      <c r="U303" s="47">
        <f>IF($E303=U$3,$G303,0)-IF($H303=U$3,$J303,0)</f>
        <v/>
      </c>
      <c r="V303" s="47">
        <f>IF($E303=V$3,$G303,0)-IF($H303=V$3,$J303,0)</f>
        <v/>
      </c>
      <c r="W303" s="47">
        <f>IF($E303=W$3,$G303,0)-IF($H303=W$3,$J303,0)</f>
        <v/>
      </c>
      <c r="X303" s="47">
        <f>IF($E303=X$3,$G303,0)-IF($H303=X$3,$J303,0)</f>
        <v/>
      </c>
      <c r="Y303" s="47">
        <f>IF($E303=Y$3,$G303,0)-IF($H303=Y$3,$J303,0)</f>
        <v/>
      </c>
      <c r="Z303" s="47">
        <f>IF($E303=Z$3,$G303,0)-IF($H303=Z$3,$J303,0)</f>
        <v/>
      </c>
      <c r="AA303" s="47">
        <f>IF($E303=AA$3,$G303,0)-IF($H303=AA$3,$J303,0)</f>
        <v/>
      </c>
      <c r="AB303" s="47">
        <f>IF($E303=AB$3,$G303,0)-IF($H303=AB$3,$J303,0)</f>
        <v/>
      </c>
      <c r="AC303" s="47">
        <f>IF($E303=AC$3,$G303,0)-IF($H303=AC$3,$J303,0)</f>
        <v/>
      </c>
      <c r="AD303" s="47">
        <f>IF($E303=AD$3,$G303,0)-IF($H303=AD$3,$J303,0)</f>
        <v/>
      </c>
      <c r="AE303" s="47">
        <f>IF($E303=AE$3,$G303,0)-IF($H303=AE$3,$J303,0)</f>
        <v/>
      </c>
      <c r="AF303" s="47">
        <f>IF($E303=AF$3,$G303,0)-IF($H303=AF$3,$J303,0)</f>
        <v/>
      </c>
      <c r="AG303" s="47">
        <f>IF($E303=AG$3,$G303,0)-IF($H303=AG$3,$J303,0)</f>
        <v/>
      </c>
      <c r="AH303" s="47">
        <f>IF($E303=AH$3,$G303,0)-IF($H303=AH$3,$J303,0)</f>
        <v/>
      </c>
      <c r="AI303" s="47">
        <f>IF($E303=AI$3,$G303,0)-IF($H303=AI$3,$J303,0)</f>
        <v/>
      </c>
      <c r="AJ303" s="47">
        <f>IF($E303=AJ$3,$G303,0)-IF($H303=AJ$3,$J303,0)</f>
        <v/>
      </c>
      <c r="AK303" s="47">
        <f>IF($E303=AK$3,$G303,0)-IF($H303=AK$3,$J303,0)</f>
        <v/>
      </c>
      <c r="AL303" s="48">
        <f>IF($E303=AL$3,$G303,0)-IF($H303=AL$3,$J303,0)</f>
        <v/>
      </c>
      <c r="AM303" s="46">
        <f>-IF($E303=AM$3,$G303,0)+IF($H303=AM$3,$J303,0)</f>
        <v/>
      </c>
      <c r="AN303" s="47">
        <f>-IF($E303=AN$3,$G303,0)+IF($H303=AN$3,$J303,0)</f>
        <v/>
      </c>
      <c r="AO303" s="48">
        <f>-IF($E303=AO$3,$G303,0)+IF($H303=AO$3,$J303,0)</f>
        <v/>
      </c>
      <c r="AP303" s="46">
        <f>IF($E303=AP$3,$G303,0)-IF($H303=AP$3,$J303,0)</f>
        <v/>
      </c>
      <c r="AQ303" s="47">
        <f>IF($E303=AQ$3,$G303,0)-IF($H303=AQ$3,$J303,0)</f>
        <v/>
      </c>
      <c r="AR303" s="47">
        <f>IF($E303=AR$3,$G303,0)-IF($H303=AR$3,$J303,0)</f>
        <v/>
      </c>
      <c r="AS303" s="47">
        <f>IF($E303=AS$3,$G303,0)-IF($H303=AS$3,$J303,0)</f>
        <v/>
      </c>
      <c r="AT303" s="47">
        <f>IF($E303=AT$3,$G303,0)-IF($H303=AT$3,$J303,0)</f>
        <v/>
      </c>
      <c r="AU303" s="47">
        <f>IF($E303=AU$3,$G303,0)-IF($H303=AU$3,$J303,0)</f>
        <v/>
      </c>
      <c r="AV303" s="47">
        <f>IF($E303=AV$3,$G303,0)-IF($H303=AV$3,$J303,0)</f>
        <v/>
      </c>
      <c r="AW303" s="47">
        <f>IF($E303=AW$3,$G303,0)-IF($H303=AW$3,$J303,0)</f>
        <v/>
      </c>
      <c r="AX303" s="47">
        <f>IF($E303=AX$3,$G303,0)-IF($H303=AX$3,$J303,0)</f>
        <v/>
      </c>
      <c r="AY303" s="47">
        <f>IF($E303=AY$3,$G303,0)-IF($H303=AY$3,$J303,0)</f>
        <v/>
      </c>
      <c r="AZ303" s="47">
        <f>IF($E303=AZ$3,$G303,0)-IF($H303=AZ$3,$J303,0)</f>
        <v/>
      </c>
      <c r="BA303" s="47">
        <f>IF($E303=BA$3,$G303,0)-IF($H303=BA$3,$J303,0)</f>
        <v/>
      </c>
      <c r="BB303" s="47">
        <f>IF($E303=BB$3,$G303,0)-IF($H303=BB$3,$J303,0)</f>
        <v/>
      </c>
      <c r="BC303" s="47">
        <f>IF($E303=BC$3,$G303,0)-IF($H303=BC$3,$J303,0)</f>
        <v/>
      </c>
      <c r="BD303" s="47">
        <f>IF($E303=BD$3,$G303,0)-IF($H303=BD$3,$J303,0)</f>
        <v/>
      </c>
      <c r="BE303" s="47">
        <f>IF($E303=BE$3,$G303,0)-IF($H303=BE$3,$J303,0)</f>
        <v/>
      </c>
      <c r="BF303" s="47">
        <f>IF($E303=BF$3,$G303,0)-IF($H303=BF$3,$J303,0)</f>
        <v/>
      </c>
      <c r="BG303" s="47">
        <f>IF($E303=BG$3,$G303,0)-IF($H303=BG$3,$J303,0)</f>
        <v/>
      </c>
      <c r="BH303" s="47">
        <f>IF($E303=BH$3,$G303,0)-IF($H303=BH$3,$J303,0)</f>
        <v/>
      </c>
      <c r="BI303" s="47">
        <f>IF($E303=BI$3,$G303,0)-IF($H303=BI$3,$J303,0)</f>
        <v/>
      </c>
      <c r="BJ303" s="47">
        <f>IF($E303=BJ$3,$G303,0)-IF($H303=BJ$3,$J303,0)</f>
        <v/>
      </c>
      <c r="BK303" s="47">
        <f>IF($E303=BK$3,$G303,0)-IF($H303=BK$3,$J303,0)</f>
        <v/>
      </c>
      <c r="BL303" s="46">
        <f>-IF($E303=BL$3,$G303,0)+IF($H303=BL$3,$J303,0)</f>
        <v/>
      </c>
      <c r="BM303" s="47">
        <f>-IF($E303=BM$3,$G303,0)+IF($H303=BM$3,$J303,0)</f>
        <v/>
      </c>
      <c r="BN303" s="47">
        <f>-IF($E303=BN$3,$G303,0)+IF($H303=BN$3,$J303,0)</f>
        <v/>
      </c>
      <c r="BO303" s="47">
        <f>-IF($E303=BO$3,$G303,0)+IF($H303=BO$3,$J303,0)</f>
        <v/>
      </c>
      <c r="BP303" s="47">
        <f>-IF($E303=BP$3,$G303,0)+IF($H303=BP$3,$J303,0)</f>
        <v/>
      </c>
      <c r="BQ303" s="47">
        <f>-IF($E303=BQ$3,$G303,0)+IF($H303=BQ$3,$J303,0)</f>
        <v/>
      </c>
      <c r="BR303" s="47">
        <f>-IF($E303=BR$3,$G303,0)+IF($H303=BR$3,$J303,0)</f>
        <v/>
      </c>
      <c r="BS303" s="47">
        <f>-IF($E303=BS$3,$G303,0)+IF($H303=BS$3,$J303,0)</f>
        <v/>
      </c>
      <c r="BT303" s="47">
        <f>-IF($E303=BT$3,$G303,0)+IF($H303=BT$3,$J303,0)</f>
        <v/>
      </c>
      <c r="BU303" s="46">
        <f>+G303-J303</f>
        <v/>
      </c>
      <c r="BV303" s="48">
        <f>-IF($E303=BV$3,$G303,0)+IF($H303=BV$3,$J303,0)</f>
        <v/>
      </c>
      <c r="BW303" s="3" t="n"/>
    </row>
    <row r="304" ht="15.75" customHeight="1" s="214">
      <c r="A304" s="7" t="n"/>
      <c r="B304" s="8" t="n"/>
      <c r="C304" s="9" t="n"/>
      <c r="D304" s="10" t="n"/>
      <c r="E304" s="247" t="n"/>
      <c r="F304" s="11">
        <f>IF(E304="","",IF(ISNA(VLOOKUP(E304,科目コード表!$C$4:$D$67,2,FALSE)),"該当科目なし",VLOOKUP(E304,科目コード表!$C$4:$D$67,2,FALSE)))</f>
        <v/>
      </c>
      <c r="G304" s="38" t="n"/>
      <c r="H304" s="248" t="n"/>
      <c r="I304" s="11">
        <f>IF(H304="","",IF(ISNA(VLOOKUP(H304,科目コード表!$C$4:$D$67,2,FALSE)),"該当科目なし",VLOOKUP(H304,科目コード表!$C$4:$D$67,2,FALSE)))</f>
        <v/>
      </c>
      <c r="J304" s="40" t="n"/>
      <c r="L304" s="46">
        <f>IF($E304=L$3,$G304,0)-IF($H304=L$3,$J304,0)</f>
        <v/>
      </c>
      <c r="M304" s="47">
        <f>IF($E304=M$3,$G304,0)-IF($H304=M$3,$J304,0)</f>
        <v/>
      </c>
      <c r="N304" s="47">
        <f>IF($E304=N$3,$G304,0)-IF($H304=N$3,$J304,0)</f>
        <v/>
      </c>
      <c r="O304" s="47">
        <f>IF($E304=O$3,$G304,0)-IF($H304=O$3,$J304,0)</f>
        <v/>
      </c>
      <c r="P304" s="47">
        <f>IF($E304=P$3,$G304,0)-IF($H304=P$3,$J304,0)</f>
        <v/>
      </c>
      <c r="Q304" s="47">
        <f>IF($E304=Q$3,$G304,0)-IF($H304=Q$3,$J304,0)</f>
        <v/>
      </c>
      <c r="R304" s="47">
        <f>IF($E304=R$3,$G304,0)-IF($H304=R$3,$J304,0)</f>
        <v/>
      </c>
      <c r="S304" s="47">
        <f>IF($E304=S$3,$G304,0)-IF($H304=S$3,$J304,0)</f>
        <v/>
      </c>
      <c r="T304" s="47">
        <f>IF($E304=T$3,$G304,0)-IF($H304=T$3,$J304,0)</f>
        <v/>
      </c>
      <c r="U304" s="47">
        <f>IF($E304=U$3,$G304,0)-IF($H304=U$3,$J304,0)</f>
        <v/>
      </c>
      <c r="V304" s="47">
        <f>IF($E304=V$3,$G304,0)-IF($H304=V$3,$J304,0)</f>
        <v/>
      </c>
      <c r="W304" s="47">
        <f>IF($E304=W$3,$G304,0)-IF($H304=W$3,$J304,0)</f>
        <v/>
      </c>
      <c r="X304" s="47">
        <f>IF($E304=X$3,$G304,0)-IF($H304=X$3,$J304,0)</f>
        <v/>
      </c>
      <c r="Y304" s="47">
        <f>IF($E304=Y$3,$G304,0)-IF($H304=Y$3,$J304,0)</f>
        <v/>
      </c>
      <c r="Z304" s="47">
        <f>IF($E304=Z$3,$G304,0)-IF($H304=Z$3,$J304,0)</f>
        <v/>
      </c>
      <c r="AA304" s="47">
        <f>IF($E304=AA$3,$G304,0)-IF($H304=AA$3,$J304,0)</f>
        <v/>
      </c>
      <c r="AB304" s="47">
        <f>IF($E304=AB$3,$G304,0)-IF($H304=AB$3,$J304,0)</f>
        <v/>
      </c>
      <c r="AC304" s="47">
        <f>IF($E304=AC$3,$G304,0)-IF($H304=AC$3,$J304,0)</f>
        <v/>
      </c>
      <c r="AD304" s="47">
        <f>IF($E304=AD$3,$G304,0)-IF($H304=AD$3,$J304,0)</f>
        <v/>
      </c>
      <c r="AE304" s="47">
        <f>IF($E304=AE$3,$G304,0)-IF($H304=AE$3,$J304,0)</f>
        <v/>
      </c>
      <c r="AF304" s="47">
        <f>IF($E304=AF$3,$G304,0)-IF($H304=AF$3,$J304,0)</f>
        <v/>
      </c>
      <c r="AG304" s="47">
        <f>IF($E304=AG$3,$G304,0)-IF($H304=AG$3,$J304,0)</f>
        <v/>
      </c>
      <c r="AH304" s="47">
        <f>IF($E304=AH$3,$G304,0)-IF($H304=AH$3,$J304,0)</f>
        <v/>
      </c>
      <c r="AI304" s="47">
        <f>IF($E304=AI$3,$G304,0)-IF($H304=AI$3,$J304,0)</f>
        <v/>
      </c>
      <c r="AJ304" s="47">
        <f>IF($E304=AJ$3,$G304,0)-IF($H304=AJ$3,$J304,0)</f>
        <v/>
      </c>
      <c r="AK304" s="47">
        <f>IF($E304=AK$3,$G304,0)-IF($H304=AK$3,$J304,0)</f>
        <v/>
      </c>
      <c r="AL304" s="48">
        <f>IF($E304=AL$3,$G304,0)-IF($H304=AL$3,$J304,0)</f>
        <v/>
      </c>
      <c r="AM304" s="46">
        <f>-IF($E304=AM$3,$G304,0)+IF($H304=AM$3,$J304,0)</f>
        <v/>
      </c>
      <c r="AN304" s="47">
        <f>-IF($E304=AN$3,$G304,0)+IF($H304=AN$3,$J304,0)</f>
        <v/>
      </c>
      <c r="AO304" s="48">
        <f>-IF($E304=AO$3,$G304,0)+IF($H304=AO$3,$J304,0)</f>
        <v/>
      </c>
      <c r="AP304" s="46">
        <f>IF($E304=AP$3,$G304,0)-IF($H304=AP$3,$J304,0)</f>
        <v/>
      </c>
      <c r="AQ304" s="47">
        <f>IF($E304=AQ$3,$G304,0)-IF($H304=AQ$3,$J304,0)</f>
        <v/>
      </c>
      <c r="AR304" s="47">
        <f>IF($E304=AR$3,$G304,0)-IF($H304=AR$3,$J304,0)</f>
        <v/>
      </c>
      <c r="AS304" s="47">
        <f>IF($E304=AS$3,$G304,0)-IF($H304=AS$3,$J304,0)</f>
        <v/>
      </c>
      <c r="AT304" s="47">
        <f>IF($E304=AT$3,$G304,0)-IF($H304=AT$3,$J304,0)</f>
        <v/>
      </c>
      <c r="AU304" s="47">
        <f>IF($E304=AU$3,$G304,0)-IF($H304=AU$3,$J304,0)</f>
        <v/>
      </c>
      <c r="AV304" s="47">
        <f>IF($E304=AV$3,$G304,0)-IF($H304=AV$3,$J304,0)</f>
        <v/>
      </c>
      <c r="AW304" s="47">
        <f>IF($E304=AW$3,$G304,0)-IF($H304=AW$3,$J304,0)</f>
        <v/>
      </c>
      <c r="AX304" s="47">
        <f>IF($E304=AX$3,$G304,0)-IF($H304=AX$3,$J304,0)</f>
        <v/>
      </c>
      <c r="AY304" s="47">
        <f>IF($E304=AY$3,$G304,0)-IF($H304=AY$3,$J304,0)</f>
        <v/>
      </c>
      <c r="AZ304" s="47">
        <f>IF($E304=AZ$3,$G304,0)-IF($H304=AZ$3,$J304,0)</f>
        <v/>
      </c>
      <c r="BA304" s="47">
        <f>IF($E304=BA$3,$G304,0)-IF($H304=BA$3,$J304,0)</f>
        <v/>
      </c>
      <c r="BB304" s="47">
        <f>IF($E304=BB$3,$G304,0)-IF($H304=BB$3,$J304,0)</f>
        <v/>
      </c>
      <c r="BC304" s="47">
        <f>IF($E304=BC$3,$G304,0)-IF($H304=BC$3,$J304,0)</f>
        <v/>
      </c>
      <c r="BD304" s="47">
        <f>IF($E304=BD$3,$G304,0)-IF($H304=BD$3,$J304,0)</f>
        <v/>
      </c>
      <c r="BE304" s="47">
        <f>IF($E304=BE$3,$G304,0)-IF($H304=BE$3,$J304,0)</f>
        <v/>
      </c>
      <c r="BF304" s="47">
        <f>IF($E304=BF$3,$G304,0)-IF($H304=BF$3,$J304,0)</f>
        <v/>
      </c>
      <c r="BG304" s="47">
        <f>IF($E304=BG$3,$G304,0)-IF($H304=BG$3,$J304,0)</f>
        <v/>
      </c>
      <c r="BH304" s="47">
        <f>IF($E304=BH$3,$G304,0)-IF($H304=BH$3,$J304,0)</f>
        <v/>
      </c>
      <c r="BI304" s="47">
        <f>IF($E304=BI$3,$G304,0)-IF($H304=BI$3,$J304,0)</f>
        <v/>
      </c>
      <c r="BJ304" s="47">
        <f>IF($E304=BJ$3,$G304,0)-IF($H304=BJ$3,$J304,0)</f>
        <v/>
      </c>
      <c r="BK304" s="47">
        <f>IF($E304=BK$3,$G304,0)-IF($H304=BK$3,$J304,0)</f>
        <v/>
      </c>
      <c r="BL304" s="46">
        <f>-IF($E304=BL$3,$G304,0)+IF($H304=BL$3,$J304,0)</f>
        <v/>
      </c>
      <c r="BM304" s="47">
        <f>-IF($E304=BM$3,$G304,0)+IF($H304=BM$3,$J304,0)</f>
        <v/>
      </c>
      <c r="BN304" s="47">
        <f>-IF($E304=BN$3,$G304,0)+IF($H304=BN$3,$J304,0)</f>
        <v/>
      </c>
      <c r="BO304" s="47">
        <f>-IF($E304=BO$3,$G304,0)+IF($H304=BO$3,$J304,0)</f>
        <v/>
      </c>
      <c r="BP304" s="47">
        <f>-IF($E304=BP$3,$G304,0)+IF($H304=BP$3,$J304,0)</f>
        <v/>
      </c>
      <c r="BQ304" s="47">
        <f>-IF($E304=BQ$3,$G304,0)+IF($H304=BQ$3,$J304,0)</f>
        <v/>
      </c>
      <c r="BR304" s="47">
        <f>-IF($E304=BR$3,$G304,0)+IF($H304=BR$3,$J304,0)</f>
        <v/>
      </c>
      <c r="BS304" s="47">
        <f>-IF($E304=BS$3,$G304,0)+IF($H304=BS$3,$J304,0)</f>
        <v/>
      </c>
      <c r="BT304" s="47">
        <f>-IF($E304=BT$3,$G304,0)+IF($H304=BT$3,$J304,0)</f>
        <v/>
      </c>
      <c r="BU304" s="46">
        <f>+G304-J304</f>
        <v/>
      </c>
      <c r="BV304" s="48">
        <f>-IF($E304=BV$3,$G304,0)+IF($H304=BV$3,$J304,0)</f>
        <v/>
      </c>
      <c r="BW304" s="3" t="n"/>
    </row>
    <row r="305" ht="15.75" customHeight="1" s="214">
      <c r="A305" s="7" t="n"/>
      <c r="B305" s="8" t="n"/>
      <c r="C305" s="9" t="n"/>
      <c r="D305" s="10" t="n"/>
      <c r="E305" s="247" t="n"/>
      <c r="F305" s="11">
        <f>IF(E305="","",IF(ISNA(VLOOKUP(E305,科目コード表!$C$4:$D$67,2,FALSE)),"該当科目なし",VLOOKUP(E305,科目コード表!$C$4:$D$67,2,FALSE)))</f>
        <v/>
      </c>
      <c r="G305" s="38" t="n"/>
      <c r="H305" s="248" t="n"/>
      <c r="I305" s="11">
        <f>IF(H305="","",IF(ISNA(VLOOKUP(H305,科目コード表!$C$4:$D$67,2,FALSE)),"該当科目なし",VLOOKUP(H305,科目コード表!$C$4:$D$67,2,FALSE)))</f>
        <v/>
      </c>
      <c r="J305" s="40" t="n"/>
      <c r="L305" s="46">
        <f>IF($E305=L$3,$G305,0)-IF($H305=L$3,$J305,0)</f>
        <v/>
      </c>
      <c r="M305" s="47">
        <f>IF($E305=M$3,$G305,0)-IF($H305=M$3,$J305,0)</f>
        <v/>
      </c>
      <c r="N305" s="47">
        <f>IF($E305=N$3,$G305,0)-IF($H305=N$3,$J305,0)</f>
        <v/>
      </c>
      <c r="O305" s="47">
        <f>IF($E305=O$3,$G305,0)-IF($H305=O$3,$J305,0)</f>
        <v/>
      </c>
      <c r="P305" s="47">
        <f>IF($E305=P$3,$G305,0)-IF($H305=P$3,$J305,0)</f>
        <v/>
      </c>
      <c r="Q305" s="47">
        <f>IF($E305=Q$3,$G305,0)-IF($H305=Q$3,$J305,0)</f>
        <v/>
      </c>
      <c r="R305" s="47">
        <f>IF($E305=R$3,$G305,0)-IF($H305=R$3,$J305,0)</f>
        <v/>
      </c>
      <c r="S305" s="47">
        <f>IF($E305=S$3,$G305,0)-IF($H305=S$3,$J305,0)</f>
        <v/>
      </c>
      <c r="T305" s="47">
        <f>IF($E305=T$3,$G305,0)-IF($H305=T$3,$J305,0)</f>
        <v/>
      </c>
      <c r="U305" s="47">
        <f>IF($E305=U$3,$G305,0)-IF($H305=U$3,$J305,0)</f>
        <v/>
      </c>
      <c r="V305" s="47">
        <f>IF($E305=V$3,$G305,0)-IF($H305=V$3,$J305,0)</f>
        <v/>
      </c>
      <c r="W305" s="47">
        <f>IF($E305=W$3,$G305,0)-IF($H305=W$3,$J305,0)</f>
        <v/>
      </c>
      <c r="X305" s="47">
        <f>IF($E305=X$3,$G305,0)-IF($H305=X$3,$J305,0)</f>
        <v/>
      </c>
      <c r="Y305" s="47">
        <f>IF($E305=Y$3,$G305,0)-IF($H305=Y$3,$J305,0)</f>
        <v/>
      </c>
      <c r="Z305" s="47">
        <f>IF($E305=Z$3,$G305,0)-IF($H305=Z$3,$J305,0)</f>
        <v/>
      </c>
      <c r="AA305" s="47">
        <f>IF($E305=AA$3,$G305,0)-IF($H305=AA$3,$J305,0)</f>
        <v/>
      </c>
      <c r="AB305" s="47">
        <f>IF($E305=AB$3,$G305,0)-IF($H305=AB$3,$J305,0)</f>
        <v/>
      </c>
      <c r="AC305" s="47">
        <f>IF($E305=AC$3,$G305,0)-IF($H305=AC$3,$J305,0)</f>
        <v/>
      </c>
      <c r="AD305" s="47">
        <f>IF($E305=AD$3,$G305,0)-IF($H305=AD$3,$J305,0)</f>
        <v/>
      </c>
      <c r="AE305" s="47">
        <f>IF($E305=AE$3,$G305,0)-IF($H305=AE$3,$J305,0)</f>
        <v/>
      </c>
      <c r="AF305" s="47">
        <f>IF($E305=AF$3,$G305,0)-IF($H305=AF$3,$J305,0)</f>
        <v/>
      </c>
      <c r="AG305" s="47">
        <f>IF($E305=AG$3,$G305,0)-IF($H305=AG$3,$J305,0)</f>
        <v/>
      </c>
      <c r="AH305" s="47">
        <f>IF($E305=AH$3,$G305,0)-IF($H305=AH$3,$J305,0)</f>
        <v/>
      </c>
      <c r="AI305" s="47">
        <f>IF($E305=AI$3,$G305,0)-IF($H305=AI$3,$J305,0)</f>
        <v/>
      </c>
      <c r="AJ305" s="47">
        <f>IF($E305=AJ$3,$G305,0)-IF($H305=AJ$3,$J305,0)</f>
        <v/>
      </c>
      <c r="AK305" s="47">
        <f>IF($E305=AK$3,$G305,0)-IF($H305=AK$3,$J305,0)</f>
        <v/>
      </c>
      <c r="AL305" s="48">
        <f>IF($E305=AL$3,$G305,0)-IF($H305=AL$3,$J305,0)</f>
        <v/>
      </c>
      <c r="AM305" s="46">
        <f>-IF($E305=AM$3,$G305,0)+IF($H305=AM$3,$J305,0)</f>
        <v/>
      </c>
      <c r="AN305" s="47">
        <f>-IF($E305=AN$3,$G305,0)+IF($H305=AN$3,$J305,0)</f>
        <v/>
      </c>
      <c r="AO305" s="48">
        <f>-IF($E305=AO$3,$G305,0)+IF($H305=AO$3,$J305,0)</f>
        <v/>
      </c>
      <c r="AP305" s="46">
        <f>IF($E305=AP$3,$G305,0)-IF($H305=AP$3,$J305,0)</f>
        <v/>
      </c>
      <c r="AQ305" s="47">
        <f>IF($E305=AQ$3,$G305,0)-IF($H305=AQ$3,$J305,0)</f>
        <v/>
      </c>
      <c r="AR305" s="47">
        <f>IF($E305=AR$3,$G305,0)-IF($H305=AR$3,$J305,0)</f>
        <v/>
      </c>
      <c r="AS305" s="47">
        <f>IF($E305=AS$3,$G305,0)-IF($H305=AS$3,$J305,0)</f>
        <v/>
      </c>
      <c r="AT305" s="47">
        <f>IF($E305=AT$3,$G305,0)-IF($H305=AT$3,$J305,0)</f>
        <v/>
      </c>
      <c r="AU305" s="47">
        <f>IF($E305=AU$3,$G305,0)-IF($H305=AU$3,$J305,0)</f>
        <v/>
      </c>
      <c r="AV305" s="47">
        <f>IF($E305=AV$3,$G305,0)-IF($H305=AV$3,$J305,0)</f>
        <v/>
      </c>
      <c r="AW305" s="47">
        <f>IF($E305=AW$3,$G305,0)-IF($H305=AW$3,$J305,0)</f>
        <v/>
      </c>
      <c r="AX305" s="47">
        <f>IF($E305=AX$3,$G305,0)-IF($H305=AX$3,$J305,0)</f>
        <v/>
      </c>
      <c r="AY305" s="47">
        <f>IF($E305=AY$3,$G305,0)-IF($H305=AY$3,$J305,0)</f>
        <v/>
      </c>
      <c r="AZ305" s="47">
        <f>IF($E305=AZ$3,$G305,0)-IF($H305=AZ$3,$J305,0)</f>
        <v/>
      </c>
      <c r="BA305" s="47">
        <f>IF($E305=BA$3,$G305,0)-IF($H305=BA$3,$J305,0)</f>
        <v/>
      </c>
      <c r="BB305" s="47">
        <f>IF($E305=BB$3,$G305,0)-IF($H305=BB$3,$J305,0)</f>
        <v/>
      </c>
      <c r="BC305" s="47">
        <f>IF($E305=BC$3,$G305,0)-IF($H305=BC$3,$J305,0)</f>
        <v/>
      </c>
      <c r="BD305" s="47">
        <f>IF($E305=BD$3,$G305,0)-IF($H305=BD$3,$J305,0)</f>
        <v/>
      </c>
      <c r="BE305" s="47">
        <f>IF($E305=BE$3,$G305,0)-IF($H305=BE$3,$J305,0)</f>
        <v/>
      </c>
      <c r="BF305" s="47">
        <f>IF($E305=BF$3,$G305,0)-IF($H305=BF$3,$J305,0)</f>
        <v/>
      </c>
      <c r="BG305" s="47">
        <f>IF($E305=BG$3,$G305,0)-IF($H305=BG$3,$J305,0)</f>
        <v/>
      </c>
      <c r="BH305" s="47">
        <f>IF($E305=BH$3,$G305,0)-IF($H305=BH$3,$J305,0)</f>
        <v/>
      </c>
      <c r="BI305" s="47">
        <f>IF($E305=BI$3,$G305,0)-IF($H305=BI$3,$J305,0)</f>
        <v/>
      </c>
      <c r="BJ305" s="47">
        <f>IF($E305=BJ$3,$G305,0)-IF($H305=BJ$3,$J305,0)</f>
        <v/>
      </c>
      <c r="BK305" s="47">
        <f>IF($E305=BK$3,$G305,0)-IF($H305=BK$3,$J305,0)</f>
        <v/>
      </c>
      <c r="BL305" s="46">
        <f>-IF($E305=BL$3,$G305,0)+IF($H305=BL$3,$J305,0)</f>
        <v/>
      </c>
      <c r="BM305" s="47">
        <f>-IF($E305=BM$3,$G305,0)+IF($H305=BM$3,$J305,0)</f>
        <v/>
      </c>
      <c r="BN305" s="47">
        <f>-IF($E305=BN$3,$G305,0)+IF($H305=BN$3,$J305,0)</f>
        <v/>
      </c>
      <c r="BO305" s="47">
        <f>-IF($E305=BO$3,$G305,0)+IF($H305=BO$3,$J305,0)</f>
        <v/>
      </c>
      <c r="BP305" s="47">
        <f>-IF($E305=BP$3,$G305,0)+IF($H305=BP$3,$J305,0)</f>
        <v/>
      </c>
      <c r="BQ305" s="47">
        <f>-IF($E305=BQ$3,$G305,0)+IF($H305=BQ$3,$J305,0)</f>
        <v/>
      </c>
      <c r="BR305" s="47">
        <f>-IF($E305=BR$3,$G305,0)+IF($H305=BR$3,$J305,0)</f>
        <v/>
      </c>
      <c r="BS305" s="47">
        <f>-IF($E305=BS$3,$G305,0)+IF($H305=BS$3,$J305,0)</f>
        <v/>
      </c>
      <c r="BT305" s="47">
        <f>-IF($E305=BT$3,$G305,0)+IF($H305=BT$3,$J305,0)</f>
        <v/>
      </c>
      <c r="BU305" s="46">
        <f>+G305-J305</f>
        <v/>
      </c>
      <c r="BV305" s="48">
        <f>-IF($E305=BV$3,$G305,0)+IF($H305=BV$3,$J305,0)</f>
        <v/>
      </c>
      <c r="BW305" s="3" t="n"/>
    </row>
    <row r="306" ht="15.75" customHeight="1" s="214">
      <c r="A306" s="7" t="n"/>
      <c r="B306" s="8" t="n"/>
      <c r="C306" s="9" t="n"/>
      <c r="D306" s="10" t="n"/>
      <c r="E306" s="247" t="n"/>
      <c r="F306" s="11">
        <f>IF(E306="","",IF(ISNA(VLOOKUP(E306,科目コード表!$C$4:$D$67,2,FALSE)),"該当科目なし",VLOOKUP(E306,科目コード表!$C$4:$D$67,2,FALSE)))</f>
        <v/>
      </c>
      <c r="G306" s="38" t="n"/>
      <c r="H306" s="248" t="n"/>
      <c r="I306" s="11">
        <f>IF(H306="","",IF(ISNA(VLOOKUP(H306,科目コード表!$C$4:$D$67,2,FALSE)),"該当科目なし",VLOOKUP(H306,科目コード表!$C$4:$D$67,2,FALSE)))</f>
        <v/>
      </c>
      <c r="J306" s="40" t="n"/>
      <c r="L306" s="46">
        <f>IF($E306=L$3,$G306,0)-IF($H306=L$3,$J306,0)</f>
        <v/>
      </c>
      <c r="M306" s="47">
        <f>IF($E306=M$3,$G306,0)-IF($H306=M$3,$J306,0)</f>
        <v/>
      </c>
      <c r="N306" s="47">
        <f>IF($E306=N$3,$G306,0)-IF($H306=N$3,$J306,0)</f>
        <v/>
      </c>
      <c r="O306" s="47">
        <f>IF($E306=O$3,$G306,0)-IF($H306=O$3,$J306,0)</f>
        <v/>
      </c>
      <c r="P306" s="47">
        <f>IF($E306=P$3,$G306,0)-IF($H306=P$3,$J306,0)</f>
        <v/>
      </c>
      <c r="Q306" s="47">
        <f>IF($E306=Q$3,$G306,0)-IF($H306=Q$3,$J306,0)</f>
        <v/>
      </c>
      <c r="R306" s="47">
        <f>IF($E306=R$3,$G306,0)-IF($H306=R$3,$J306,0)</f>
        <v/>
      </c>
      <c r="S306" s="47">
        <f>IF($E306=S$3,$G306,0)-IF($H306=S$3,$J306,0)</f>
        <v/>
      </c>
      <c r="T306" s="47">
        <f>IF($E306=T$3,$G306,0)-IF($H306=T$3,$J306,0)</f>
        <v/>
      </c>
      <c r="U306" s="47">
        <f>IF($E306=U$3,$G306,0)-IF($H306=U$3,$J306,0)</f>
        <v/>
      </c>
      <c r="V306" s="47">
        <f>IF($E306=V$3,$G306,0)-IF($H306=V$3,$J306,0)</f>
        <v/>
      </c>
      <c r="W306" s="47">
        <f>IF($E306=W$3,$G306,0)-IF($H306=W$3,$J306,0)</f>
        <v/>
      </c>
      <c r="X306" s="47">
        <f>IF($E306=X$3,$G306,0)-IF($H306=X$3,$J306,0)</f>
        <v/>
      </c>
      <c r="Y306" s="47">
        <f>IF($E306=Y$3,$G306,0)-IF($H306=Y$3,$J306,0)</f>
        <v/>
      </c>
      <c r="Z306" s="47">
        <f>IF($E306=Z$3,$G306,0)-IF($H306=Z$3,$J306,0)</f>
        <v/>
      </c>
      <c r="AA306" s="47">
        <f>IF($E306=AA$3,$G306,0)-IF($H306=AA$3,$J306,0)</f>
        <v/>
      </c>
      <c r="AB306" s="47">
        <f>IF($E306=AB$3,$G306,0)-IF($H306=AB$3,$J306,0)</f>
        <v/>
      </c>
      <c r="AC306" s="47">
        <f>IF($E306=AC$3,$G306,0)-IF($H306=AC$3,$J306,0)</f>
        <v/>
      </c>
      <c r="AD306" s="47">
        <f>IF($E306=AD$3,$G306,0)-IF($H306=AD$3,$J306,0)</f>
        <v/>
      </c>
      <c r="AE306" s="47">
        <f>IF($E306=AE$3,$G306,0)-IF($H306=AE$3,$J306,0)</f>
        <v/>
      </c>
      <c r="AF306" s="47">
        <f>IF($E306=AF$3,$G306,0)-IF($H306=AF$3,$J306,0)</f>
        <v/>
      </c>
      <c r="AG306" s="47">
        <f>IF($E306=AG$3,$G306,0)-IF($H306=AG$3,$J306,0)</f>
        <v/>
      </c>
      <c r="AH306" s="47">
        <f>IF($E306=AH$3,$G306,0)-IF($H306=AH$3,$J306,0)</f>
        <v/>
      </c>
      <c r="AI306" s="47">
        <f>IF($E306=AI$3,$G306,0)-IF($H306=AI$3,$J306,0)</f>
        <v/>
      </c>
      <c r="AJ306" s="47">
        <f>IF($E306=AJ$3,$G306,0)-IF($H306=AJ$3,$J306,0)</f>
        <v/>
      </c>
      <c r="AK306" s="47">
        <f>IF($E306=AK$3,$G306,0)-IF($H306=AK$3,$J306,0)</f>
        <v/>
      </c>
      <c r="AL306" s="48">
        <f>IF($E306=AL$3,$G306,0)-IF($H306=AL$3,$J306,0)</f>
        <v/>
      </c>
      <c r="AM306" s="46">
        <f>-IF($E306=AM$3,$G306,0)+IF($H306=AM$3,$J306,0)</f>
        <v/>
      </c>
      <c r="AN306" s="47">
        <f>-IF($E306=AN$3,$G306,0)+IF($H306=AN$3,$J306,0)</f>
        <v/>
      </c>
      <c r="AO306" s="48">
        <f>-IF($E306=AO$3,$G306,0)+IF($H306=AO$3,$J306,0)</f>
        <v/>
      </c>
      <c r="AP306" s="46">
        <f>IF($E306=AP$3,$G306,0)-IF($H306=AP$3,$J306,0)</f>
        <v/>
      </c>
      <c r="AQ306" s="47">
        <f>IF($E306=AQ$3,$G306,0)-IF($H306=AQ$3,$J306,0)</f>
        <v/>
      </c>
      <c r="AR306" s="47">
        <f>IF($E306=AR$3,$G306,0)-IF($H306=AR$3,$J306,0)</f>
        <v/>
      </c>
      <c r="AS306" s="47">
        <f>IF($E306=AS$3,$G306,0)-IF($H306=AS$3,$J306,0)</f>
        <v/>
      </c>
      <c r="AT306" s="47">
        <f>IF($E306=AT$3,$G306,0)-IF($H306=AT$3,$J306,0)</f>
        <v/>
      </c>
      <c r="AU306" s="47">
        <f>IF($E306=AU$3,$G306,0)-IF($H306=AU$3,$J306,0)</f>
        <v/>
      </c>
      <c r="AV306" s="47">
        <f>IF($E306=AV$3,$G306,0)-IF($H306=AV$3,$J306,0)</f>
        <v/>
      </c>
      <c r="AW306" s="47">
        <f>IF($E306=AW$3,$G306,0)-IF($H306=AW$3,$J306,0)</f>
        <v/>
      </c>
      <c r="AX306" s="47">
        <f>IF($E306=AX$3,$G306,0)-IF($H306=AX$3,$J306,0)</f>
        <v/>
      </c>
      <c r="AY306" s="47">
        <f>IF($E306=AY$3,$G306,0)-IF($H306=AY$3,$J306,0)</f>
        <v/>
      </c>
      <c r="AZ306" s="47">
        <f>IF($E306=AZ$3,$G306,0)-IF($H306=AZ$3,$J306,0)</f>
        <v/>
      </c>
      <c r="BA306" s="47">
        <f>IF($E306=BA$3,$G306,0)-IF($H306=BA$3,$J306,0)</f>
        <v/>
      </c>
      <c r="BB306" s="47">
        <f>IF($E306=BB$3,$G306,0)-IF($H306=BB$3,$J306,0)</f>
        <v/>
      </c>
      <c r="BC306" s="47">
        <f>IF($E306=BC$3,$G306,0)-IF($H306=BC$3,$J306,0)</f>
        <v/>
      </c>
      <c r="BD306" s="47">
        <f>IF($E306=BD$3,$G306,0)-IF($H306=BD$3,$J306,0)</f>
        <v/>
      </c>
      <c r="BE306" s="47">
        <f>IF($E306=BE$3,$G306,0)-IF($H306=BE$3,$J306,0)</f>
        <v/>
      </c>
      <c r="BF306" s="47">
        <f>IF($E306=BF$3,$G306,0)-IF($H306=BF$3,$J306,0)</f>
        <v/>
      </c>
      <c r="BG306" s="47">
        <f>IF($E306=BG$3,$G306,0)-IF($H306=BG$3,$J306,0)</f>
        <v/>
      </c>
      <c r="BH306" s="47">
        <f>IF($E306=BH$3,$G306,0)-IF($H306=BH$3,$J306,0)</f>
        <v/>
      </c>
      <c r="BI306" s="47">
        <f>IF($E306=BI$3,$G306,0)-IF($H306=BI$3,$J306,0)</f>
        <v/>
      </c>
      <c r="BJ306" s="47">
        <f>IF($E306=BJ$3,$G306,0)-IF($H306=BJ$3,$J306,0)</f>
        <v/>
      </c>
      <c r="BK306" s="47">
        <f>IF($E306=BK$3,$G306,0)-IF($H306=BK$3,$J306,0)</f>
        <v/>
      </c>
      <c r="BL306" s="46">
        <f>-IF($E306=BL$3,$G306,0)+IF($H306=BL$3,$J306,0)</f>
        <v/>
      </c>
      <c r="BM306" s="47">
        <f>-IF($E306=BM$3,$G306,0)+IF($H306=BM$3,$J306,0)</f>
        <v/>
      </c>
      <c r="BN306" s="47">
        <f>-IF($E306=BN$3,$G306,0)+IF($H306=BN$3,$J306,0)</f>
        <v/>
      </c>
      <c r="BO306" s="47">
        <f>-IF($E306=BO$3,$G306,0)+IF($H306=BO$3,$J306,0)</f>
        <v/>
      </c>
      <c r="BP306" s="47">
        <f>-IF($E306=BP$3,$G306,0)+IF($H306=BP$3,$J306,0)</f>
        <v/>
      </c>
      <c r="BQ306" s="47">
        <f>-IF($E306=BQ$3,$G306,0)+IF($H306=BQ$3,$J306,0)</f>
        <v/>
      </c>
      <c r="BR306" s="47">
        <f>-IF($E306=BR$3,$G306,0)+IF($H306=BR$3,$J306,0)</f>
        <v/>
      </c>
      <c r="BS306" s="47">
        <f>-IF($E306=BS$3,$G306,0)+IF($H306=BS$3,$J306,0)</f>
        <v/>
      </c>
      <c r="BT306" s="47">
        <f>-IF($E306=BT$3,$G306,0)+IF($H306=BT$3,$J306,0)</f>
        <v/>
      </c>
      <c r="BU306" s="46">
        <f>+G306-J306</f>
        <v/>
      </c>
      <c r="BV306" s="48">
        <f>-IF($E306=BV$3,$G306,0)+IF($H306=BV$3,$J306,0)</f>
        <v/>
      </c>
      <c r="BW306" s="3" t="n"/>
    </row>
    <row r="307" ht="15.75" customHeight="1" s="214">
      <c r="A307" s="7" t="n"/>
      <c r="B307" s="8" t="n"/>
      <c r="C307" s="9" t="n"/>
      <c r="D307" s="10" t="n"/>
      <c r="E307" s="247" t="n"/>
      <c r="F307" s="11">
        <f>IF(E307="","",IF(ISNA(VLOOKUP(E307,科目コード表!$C$4:$D$67,2,FALSE)),"該当科目なし",VLOOKUP(E307,科目コード表!$C$4:$D$67,2,FALSE)))</f>
        <v/>
      </c>
      <c r="G307" s="38" t="n"/>
      <c r="H307" s="248" t="n"/>
      <c r="I307" s="11">
        <f>IF(H307="","",IF(ISNA(VLOOKUP(H307,科目コード表!$C$4:$D$67,2,FALSE)),"該当科目なし",VLOOKUP(H307,科目コード表!$C$4:$D$67,2,FALSE)))</f>
        <v/>
      </c>
      <c r="J307" s="40" t="n"/>
      <c r="L307" s="46">
        <f>IF($E307=L$3,$G307,0)-IF($H307=L$3,$J307,0)</f>
        <v/>
      </c>
      <c r="M307" s="47">
        <f>IF($E307=M$3,$G307,0)-IF($H307=M$3,$J307,0)</f>
        <v/>
      </c>
      <c r="N307" s="47">
        <f>IF($E307=N$3,$G307,0)-IF($H307=N$3,$J307,0)</f>
        <v/>
      </c>
      <c r="O307" s="47">
        <f>IF($E307=O$3,$G307,0)-IF($H307=O$3,$J307,0)</f>
        <v/>
      </c>
      <c r="P307" s="47">
        <f>IF($E307=P$3,$G307,0)-IF($H307=P$3,$J307,0)</f>
        <v/>
      </c>
      <c r="Q307" s="47">
        <f>IF($E307=Q$3,$G307,0)-IF($H307=Q$3,$J307,0)</f>
        <v/>
      </c>
      <c r="R307" s="47">
        <f>IF($E307=R$3,$G307,0)-IF($H307=R$3,$J307,0)</f>
        <v/>
      </c>
      <c r="S307" s="47">
        <f>IF($E307=S$3,$G307,0)-IF($H307=S$3,$J307,0)</f>
        <v/>
      </c>
      <c r="T307" s="47">
        <f>IF($E307=T$3,$G307,0)-IF($H307=T$3,$J307,0)</f>
        <v/>
      </c>
      <c r="U307" s="47">
        <f>IF($E307=U$3,$G307,0)-IF($H307=U$3,$J307,0)</f>
        <v/>
      </c>
      <c r="V307" s="47">
        <f>IF($E307=V$3,$G307,0)-IF($H307=V$3,$J307,0)</f>
        <v/>
      </c>
      <c r="W307" s="47">
        <f>IF($E307=W$3,$G307,0)-IF($H307=W$3,$J307,0)</f>
        <v/>
      </c>
      <c r="X307" s="47">
        <f>IF($E307=X$3,$G307,0)-IF($H307=X$3,$J307,0)</f>
        <v/>
      </c>
      <c r="Y307" s="47">
        <f>IF($E307=Y$3,$G307,0)-IF($H307=Y$3,$J307,0)</f>
        <v/>
      </c>
      <c r="Z307" s="47">
        <f>IF($E307=Z$3,$G307,0)-IF($H307=Z$3,$J307,0)</f>
        <v/>
      </c>
      <c r="AA307" s="47">
        <f>IF($E307=AA$3,$G307,0)-IF($H307=AA$3,$J307,0)</f>
        <v/>
      </c>
      <c r="AB307" s="47">
        <f>IF($E307=AB$3,$G307,0)-IF($H307=AB$3,$J307,0)</f>
        <v/>
      </c>
      <c r="AC307" s="47">
        <f>IF($E307=AC$3,$G307,0)-IF($H307=AC$3,$J307,0)</f>
        <v/>
      </c>
      <c r="AD307" s="47">
        <f>IF($E307=AD$3,$G307,0)-IF($H307=AD$3,$J307,0)</f>
        <v/>
      </c>
      <c r="AE307" s="47">
        <f>IF($E307=AE$3,$G307,0)-IF($H307=AE$3,$J307,0)</f>
        <v/>
      </c>
      <c r="AF307" s="47">
        <f>IF($E307=AF$3,$G307,0)-IF($H307=AF$3,$J307,0)</f>
        <v/>
      </c>
      <c r="AG307" s="47">
        <f>IF($E307=AG$3,$G307,0)-IF($H307=AG$3,$J307,0)</f>
        <v/>
      </c>
      <c r="AH307" s="47">
        <f>IF($E307=AH$3,$G307,0)-IF($H307=AH$3,$J307,0)</f>
        <v/>
      </c>
      <c r="AI307" s="47">
        <f>IF($E307=AI$3,$G307,0)-IF($H307=AI$3,$J307,0)</f>
        <v/>
      </c>
      <c r="AJ307" s="47">
        <f>IF($E307=AJ$3,$G307,0)-IF($H307=AJ$3,$J307,0)</f>
        <v/>
      </c>
      <c r="AK307" s="47">
        <f>IF($E307=AK$3,$G307,0)-IF($H307=AK$3,$J307,0)</f>
        <v/>
      </c>
      <c r="AL307" s="48">
        <f>IF($E307=AL$3,$G307,0)-IF($H307=AL$3,$J307,0)</f>
        <v/>
      </c>
      <c r="AM307" s="46">
        <f>-IF($E307=AM$3,$G307,0)+IF($H307=AM$3,$J307,0)</f>
        <v/>
      </c>
      <c r="AN307" s="47">
        <f>-IF($E307=AN$3,$G307,0)+IF($H307=AN$3,$J307,0)</f>
        <v/>
      </c>
      <c r="AO307" s="48">
        <f>-IF($E307=AO$3,$G307,0)+IF($H307=AO$3,$J307,0)</f>
        <v/>
      </c>
      <c r="AP307" s="46">
        <f>IF($E307=AP$3,$G307,0)-IF($H307=AP$3,$J307,0)</f>
        <v/>
      </c>
      <c r="AQ307" s="47">
        <f>IF($E307=AQ$3,$G307,0)-IF($H307=AQ$3,$J307,0)</f>
        <v/>
      </c>
      <c r="AR307" s="47">
        <f>IF($E307=AR$3,$G307,0)-IF($H307=AR$3,$J307,0)</f>
        <v/>
      </c>
      <c r="AS307" s="47">
        <f>IF($E307=AS$3,$G307,0)-IF($H307=AS$3,$J307,0)</f>
        <v/>
      </c>
      <c r="AT307" s="47">
        <f>IF($E307=AT$3,$G307,0)-IF($H307=AT$3,$J307,0)</f>
        <v/>
      </c>
      <c r="AU307" s="47">
        <f>IF($E307=AU$3,$G307,0)-IF($H307=AU$3,$J307,0)</f>
        <v/>
      </c>
      <c r="AV307" s="47">
        <f>IF($E307=AV$3,$G307,0)-IF($H307=AV$3,$J307,0)</f>
        <v/>
      </c>
      <c r="AW307" s="47">
        <f>IF($E307=AW$3,$G307,0)-IF($H307=AW$3,$J307,0)</f>
        <v/>
      </c>
      <c r="AX307" s="47">
        <f>IF($E307=AX$3,$G307,0)-IF($H307=AX$3,$J307,0)</f>
        <v/>
      </c>
      <c r="AY307" s="47">
        <f>IF($E307=AY$3,$G307,0)-IF($H307=AY$3,$J307,0)</f>
        <v/>
      </c>
      <c r="AZ307" s="47">
        <f>IF($E307=AZ$3,$G307,0)-IF($H307=AZ$3,$J307,0)</f>
        <v/>
      </c>
      <c r="BA307" s="47">
        <f>IF($E307=BA$3,$G307,0)-IF($H307=BA$3,$J307,0)</f>
        <v/>
      </c>
      <c r="BB307" s="47">
        <f>IF($E307=BB$3,$G307,0)-IF($H307=BB$3,$J307,0)</f>
        <v/>
      </c>
      <c r="BC307" s="47">
        <f>IF($E307=BC$3,$G307,0)-IF($H307=BC$3,$J307,0)</f>
        <v/>
      </c>
      <c r="BD307" s="47">
        <f>IF($E307=BD$3,$G307,0)-IF($H307=BD$3,$J307,0)</f>
        <v/>
      </c>
      <c r="BE307" s="47">
        <f>IF($E307=BE$3,$G307,0)-IF($H307=BE$3,$J307,0)</f>
        <v/>
      </c>
      <c r="BF307" s="47">
        <f>IF($E307=BF$3,$G307,0)-IF($H307=BF$3,$J307,0)</f>
        <v/>
      </c>
      <c r="BG307" s="47">
        <f>IF($E307=BG$3,$G307,0)-IF($H307=BG$3,$J307,0)</f>
        <v/>
      </c>
      <c r="BH307" s="47">
        <f>IF($E307=BH$3,$G307,0)-IF($H307=BH$3,$J307,0)</f>
        <v/>
      </c>
      <c r="BI307" s="47">
        <f>IF($E307=BI$3,$G307,0)-IF($H307=BI$3,$J307,0)</f>
        <v/>
      </c>
      <c r="BJ307" s="47">
        <f>IF($E307=BJ$3,$G307,0)-IF($H307=BJ$3,$J307,0)</f>
        <v/>
      </c>
      <c r="BK307" s="47">
        <f>IF($E307=BK$3,$G307,0)-IF($H307=BK$3,$J307,0)</f>
        <v/>
      </c>
      <c r="BL307" s="46">
        <f>-IF($E307=BL$3,$G307,0)+IF($H307=BL$3,$J307,0)</f>
        <v/>
      </c>
      <c r="BM307" s="47">
        <f>-IF($E307=BM$3,$G307,0)+IF($H307=BM$3,$J307,0)</f>
        <v/>
      </c>
      <c r="BN307" s="47">
        <f>-IF($E307=BN$3,$G307,0)+IF($H307=BN$3,$J307,0)</f>
        <v/>
      </c>
      <c r="BO307" s="47">
        <f>-IF($E307=BO$3,$G307,0)+IF($H307=BO$3,$J307,0)</f>
        <v/>
      </c>
      <c r="BP307" s="47">
        <f>-IF($E307=BP$3,$G307,0)+IF($H307=BP$3,$J307,0)</f>
        <v/>
      </c>
      <c r="BQ307" s="47">
        <f>-IF($E307=BQ$3,$G307,0)+IF($H307=BQ$3,$J307,0)</f>
        <v/>
      </c>
      <c r="BR307" s="47">
        <f>-IF($E307=BR$3,$G307,0)+IF($H307=BR$3,$J307,0)</f>
        <v/>
      </c>
      <c r="BS307" s="47">
        <f>-IF($E307=BS$3,$G307,0)+IF($H307=BS$3,$J307,0)</f>
        <v/>
      </c>
      <c r="BT307" s="47">
        <f>-IF($E307=BT$3,$G307,0)+IF($H307=BT$3,$J307,0)</f>
        <v/>
      </c>
      <c r="BU307" s="46">
        <f>+G307-J307</f>
        <v/>
      </c>
      <c r="BV307" s="48">
        <f>-IF($E307=BV$3,$G307,0)+IF($H307=BV$3,$J307,0)</f>
        <v/>
      </c>
      <c r="BW307" s="3" t="n"/>
    </row>
    <row r="308" ht="15.75" customHeight="1" s="214">
      <c r="A308" s="7" t="n"/>
      <c r="B308" s="8" t="n"/>
      <c r="C308" s="9" t="n"/>
      <c r="D308" s="10" t="n"/>
      <c r="E308" s="247" t="n"/>
      <c r="F308" s="11">
        <f>IF(E308="","",IF(ISNA(VLOOKUP(E308,科目コード表!$C$4:$D$67,2,FALSE)),"該当科目なし",VLOOKUP(E308,科目コード表!$C$4:$D$67,2,FALSE)))</f>
        <v/>
      </c>
      <c r="G308" s="38" t="n"/>
      <c r="H308" s="248" t="n"/>
      <c r="I308" s="11">
        <f>IF(H308="","",IF(ISNA(VLOOKUP(H308,科目コード表!$C$4:$D$67,2,FALSE)),"該当科目なし",VLOOKUP(H308,科目コード表!$C$4:$D$67,2,FALSE)))</f>
        <v/>
      </c>
      <c r="J308" s="40" t="n"/>
      <c r="L308" s="46">
        <f>IF($E308=L$3,$G308,0)-IF($H308=L$3,$J308,0)</f>
        <v/>
      </c>
      <c r="M308" s="47">
        <f>IF($E308=M$3,$G308,0)-IF($H308=M$3,$J308,0)</f>
        <v/>
      </c>
      <c r="N308" s="47">
        <f>IF($E308=N$3,$G308,0)-IF($H308=N$3,$J308,0)</f>
        <v/>
      </c>
      <c r="O308" s="47">
        <f>IF($E308=O$3,$G308,0)-IF($H308=O$3,$J308,0)</f>
        <v/>
      </c>
      <c r="P308" s="47">
        <f>IF($E308=P$3,$G308,0)-IF($H308=P$3,$J308,0)</f>
        <v/>
      </c>
      <c r="Q308" s="47">
        <f>IF($E308=Q$3,$G308,0)-IF($H308=Q$3,$J308,0)</f>
        <v/>
      </c>
      <c r="R308" s="47">
        <f>IF($E308=R$3,$G308,0)-IF($H308=R$3,$J308,0)</f>
        <v/>
      </c>
      <c r="S308" s="47">
        <f>IF($E308=S$3,$G308,0)-IF($H308=S$3,$J308,0)</f>
        <v/>
      </c>
      <c r="T308" s="47">
        <f>IF($E308=T$3,$G308,0)-IF($H308=T$3,$J308,0)</f>
        <v/>
      </c>
      <c r="U308" s="47">
        <f>IF($E308=U$3,$G308,0)-IF($H308=U$3,$J308,0)</f>
        <v/>
      </c>
      <c r="V308" s="47">
        <f>IF($E308=V$3,$G308,0)-IF($H308=V$3,$J308,0)</f>
        <v/>
      </c>
      <c r="W308" s="47">
        <f>IF($E308=W$3,$G308,0)-IF($H308=W$3,$J308,0)</f>
        <v/>
      </c>
      <c r="X308" s="47">
        <f>IF($E308=X$3,$G308,0)-IF($H308=X$3,$J308,0)</f>
        <v/>
      </c>
      <c r="Y308" s="47">
        <f>IF($E308=Y$3,$G308,0)-IF($H308=Y$3,$J308,0)</f>
        <v/>
      </c>
      <c r="Z308" s="47">
        <f>IF($E308=Z$3,$G308,0)-IF($H308=Z$3,$J308,0)</f>
        <v/>
      </c>
      <c r="AA308" s="47">
        <f>IF($E308=AA$3,$G308,0)-IF($H308=AA$3,$J308,0)</f>
        <v/>
      </c>
      <c r="AB308" s="47">
        <f>IF($E308=AB$3,$G308,0)-IF($H308=AB$3,$J308,0)</f>
        <v/>
      </c>
      <c r="AC308" s="47">
        <f>IF($E308=AC$3,$G308,0)-IF($H308=AC$3,$J308,0)</f>
        <v/>
      </c>
      <c r="AD308" s="47">
        <f>IF($E308=AD$3,$G308,0)-IF($H308=AD$3,$J308,0)</f>
        <v/>
      </c>
      <c r="AE308" s="47">
        <f>IF($E308=AE$3,$G308,0)-IF($H308=AE$3,$J308,0)</f>
        <v/>
      </c>
      <c r="AF308" s="47">
        <f>IF($E308=AF$3,$G308,0)-IF($H308=AF$3,$J308,0)</f>
        <v/>
      </c>
      <c r="AG308" s="47">
        <f>IF($E308=AG$3,$G308,0)-IF($H308=AG$3,$J308,0)</f>
        <v/>
      </c>
      <c r="AH308" s="47">
        <f>IF($E308=AH$3,$G308,0)-IF($H308=AH$3,$J308,0)</f>
        <v/>
      </c>
      <c r="AI308" s="47">
        <f>IF($E308=AI$3,$G308,0)-IF($H308=AI$3,$J308,0)</f>
        <v/>
      </c>
      <c r="AJ308" s="47">
        <f>IF($E308=AJ$3,$G308,0)-IF($H308=AJ$3,$J308,0)</f>
        <v/>
      </c>
      <c r="AK308" s="47">
        <f>IF($E308=AK$3,$G308,0)-IF($H308=AK$3,$J308,0)</f>
        <v/>
      </c>
      <c r="AL308" s="48">
        <f>IF($E308=AL$3,$G308,0)-IF($H308=AL$3,$J308,0)</f>
        <v/>
      </c>
      <c r="AM308" s="46">
        <f>-IF($E308=AM$3,$G308,0)+IF($H308=AM$3,$J308,0)</f>
        <v/>
      </c>
      <c r="AN308" s="47">
        <f>-IF($E308=AN$3,$G308,0)+IF($H308=AN$3,$J308,0)</f>
        <v/>
      </c>
      <c r="AO308" s="48">
        <f>-IF($E308=AO$3,$G308,0)+IF($H308=AO$3,$J308,0)</f>
        <v/>
      </c>
      <c r="AP308" s="46">
        <f>IF($E308=AP$3,$G308,0)-IF($H308=AP$3,$J308,0)</f>
        <v/>
      </c>
      <c r="AQ308" s="47">
        <f>IF($E308=AQ$3,$G308,0)-IF($H308=AQ$3,$J308,0)</f>
        <v/>
      </c>
      <c r="AR308" s="47">
        <f>IF($E308=AR$3,$G308,0)-IF($H308=AR$3,$J308,0)</f>
        <v/>
      </c>
      <c r="AS308" s="47">
        <f>IF($E308=AS$3,$G308,0)-IF($H308=AS$3,$J308,0)</f>
        <v/>
      </c>
      <c r="AT308" s="47">
        <f>IF($E308=AT$3,$G308,0)-IF($H308=AT$3,$J308,0)</f>
        <v/>
      </c>
      <c r="AU308" s="47">
        <f>IF($E308=AU$3,$G308,0)-IF($H308=AU$3,$J308,0)</f>
        <v/>
      </c>
      <c r="AV308" s="47">
        <f>IF($E308=AV$3,$G308,0)-IF($H308=AV$3,$J308,0)</f>
        <v/>
      </c>
      <c r="AW308" s="47">
        <f>IF($E308=AW$3,$G308,0)-IF($H308=AW$3,$J308,0)</f>
        <v/>
      </c>
      <c r="AX308" s="47">
        <f>IF($E308=AX$3,$G308,0)-IF($H308=AX$3,$J308,0)</f>
        <v/>
      </c>
      <c r="AY308" s="47">
        <f>IF($E308=AY$3,$G308,0)-IF($H308=AY$3,$J308,0)</f>
        <v/>
      </c>
      <c r="AZ308" s="47">
        <f>IF($E308=AZ$3,$G308,0)-IF($H308=AZ$3,$J308,0)</f>
        <v/>
      </c>
      <c r="BA308" s="47">
        <f>IF($E308=BA$3,$G308,0)-IF($H308=BA$3,$J308,0)</f>
        <v/>
      </c>
      <c r="BB308" s="47">
        <f>IF($E308=BB$3,$G308,0)-IF($H308=BB$3,$J308,0)</f>
        <v/>
      </c>
      <c r="BC308" s="47">
        <f>IF($E308=BC$3,$G308,0)-IF($H308=BC$3,$J308,0)</f>
        <v/>
      </c>
      <c r="BD308" s="47">
        <f>IF($E308=BD$3,$G308,0)-IF($H308=BD$3,$J308,0)</f>
        <v/>
      </c>
      <c r="BE308" s="47">
        <f>IF($E308=BE$3,$G308,0)-IF($H308=BE$3,$J308,0)</f>
        <v/>
      </c>
      <c r="BF308" s="47">
        <f>IF($E308=BF$3,$G308,0)-IF($H308=BF$3,$J308,0)</f>
        <v/>
      </c>
      <c r="BG308" s="47">
        <f>IF($E308=BG$3,$G308,0)-IF($H308=BG$3,$J308,0)</f>
        <v/>
      </c>
      <c r="BH308" s="47">
        <f>IF($E308=BH$3,$G308,0)-IF($H308=BH$3,$J308,0)</f>
        <v/>
      </c>
      <c r="BI308" s="47">
        <f>IF($E308=BI$3,$G308,0)-IF($H308=BI$3,$J308,0)</f>
        <v/>
      </c>
      <c r="BJ308" s="47">
        <f>IF($E308=BJ$3,$G308,0)-IF($H308=BJ$3,$J308,0)</f>
        <v/>
      </c>
      <c r="BK308" s="47">
        <f>IF($E308=BK$3,$G308,0)-IF($H308=BK$3,$J308,0)</f>
        <v/>
      </c>
      <c r="BL308" s="46">
        <f>-IF($E308=BL$3,$G308,0)+IF($H308=BL$3,$J308,0)</f>
        <v/>
      </c>
      <c r="BM308" s="47">
        <f>-IF($E308=BM$3,$G308,0)+IF($H308=BM$3,$J308,0)</f>
        <v/>
      </c>
      <c r="BN308" s="47">
        <f>-IF($E308=BN$3,$G308,0)+IF($H308=BN$3,$J308,0)</f>
        <v/>
      </c>
      <c r="BO308" s="47">
        <f>-IF($E308=BO$3,$G308,0)+IF($H308=BO$3,$J308,0)</f>
        <v/>
      </c>
      <c r="BP308" s="47">
        <f>-IF($E308=BP$3,$G308,0)+IF($H308=BP$3,$J308,0)</f>
        <v/>
      </c>
      <c r="BQ308" s="47">
        <f>-IF($E308=BQ$3,$G308,0)+IF($H308=BQ$3,$J308,0)</f>
        <v/>
      </c>
      <c r="BR308" s="47">
        <f>-IF($E308=BR$3,$G308,0)+IF($H308=BR$3,$J308,0)</f>
        <v/>
      </c>
      <c r="BS308" s="47">
        <f>-IF($E308=BS$3,$G308,0)+IF($H308=BS$3,$J308,0)</f>
        <v/>
      </c>
      <c r="BT308" s="47">
        <f>-IF($E308=BT$3,$G308,0)+IF($H308=BT$3,$J308,0)</f>
        <v/>
      </c>
      <c r="BU308" s="46">
        <f>+G308-J308</f>
        <v/>
      </c>
      <c r="BV308" s="48">
        <f>-IF($E308=BV$3,$G308,0)+IF($H308=BV$3,$J308,0)</f>
        <v/>
      </c>
      <c r="BW308" s="3" t="n"/>
    </row>
    <row r="309" ht="15.75" customHeight="1" s="214">
      <c r="A309" s="49" t="n"/>
      <c r="B309" s="50" t="n"/>
      <c r="C309" s="51" t="n"/>
      <c r="D309" s="52" t="n"/>
      <c r="E309" s="249" t="n"/>
      <c r="F309" s="54">
        <f>IF(E309="","",IF(ISNA(VLOOKUP(E309,科目コード表!$C$4:$D$67,2,FALSE)),"該当科目なし",VLOOKUP(E309,科目コード表!$C$4:$D$67,2,FALSE)))</f>
        <v/>
      </c>
      <c r="G309" s="55" t="n"/>
      <c r="H309" s="250" t="n"/>
      <c r="I309" s="54">
        <f>IF(H309="","",IF(ISNA(VLOOKUP(H309,科目コード表!$C$4:$D$67,2,FALSE)),"該当科目なし",VLOOKUP(H309,科目コード表!$C$4:$D$67,2,FALSE)))</f>
        <v/>
      </c>
      <c r="J309" s="57" t="n"/>
      <c r="L309" s="46">
        <f>IF($E309=L$3,$G309,0)-IF($H309=L$3,$J309,0)</f>
        <v/>
      </c>
      <c r="M309" s="47">
        <f>IF($E309=M$3,$G309,0)-IF($H309=M$3,$J309,0)</f>
        <v/>
      </c>
      <c r="N309" s="47">
        <f>IF($E309=N$3,$G309,0)-IF($H309=N$3,$J309,0)</f>
        <v/>
      </c>
      <c r="O309" s="47">
        <f>IF($E309=O$3,$G309,0)-IF($H309=O$3,$J309,0)</f>
        <v/>
      </c>
      <c r="P309" s="47">
        <f>IF($E309=P$3,$G309,0)-IF($H309=P$3,$J309,0)</f>
        <v/>
      </c>
      <c r="Q309" s="47">
        <f>IF($E309=Q$3,$G309,0)-IF($H309=Q$3,$J309,0)</f>
        <v/>
      </c>
      <c r="R309" s="47">
        <f>IF($E309=R$3,$G309,0)-IF($H309=R$3,$J309,0)</f>
        <v/>
      </c>
      <c r="S309" s="47">
        <f>IF($E309=S$3,$G309,0)-IF($H309=S$3,$J309,0)</f>
        <v/>
      </c>
      <c r="T309" s="47">
        <f>IF($E309=T$3,$G309,0)-IF($H309=T$3,$J309,0)</f>
        <v/>
      </c>
      <c r="U309" s="47">
        <f>IF($E309=U$3,$G309,0)-IF($H309=U$3,$J309,0)</f>
        <v/>
      </c>
      <c r="V309" s="47">
        <f>IF($E309=V$3,$G309,0)-IF($H309=V$3,$J309,0)</f>
        <v/>
      </c>
      <c r="W309" s="47">
        <f>IF($E309=W$3,$G309,0)-IF($H309=W$3,$J309,0)</f>
        <v/>
      </c>
      <c r="X309" s="47">
        <f>IF($E309=X$3,$G309,0)-IF($H309=X$3,$J309,0)</f>
        <v/>
      </c>
      <c r="Y309" s="47">
        <f>IF($E309=Y$3,$G309,0)-IF($H309=Y$3,$J309,0)</f>
        <v/>
      </c>
      <c r="Z309" s="47">
        <f>IF($E309=Z$3,$G309,0)-IF($H309=Z$3,$J309,0)</f>
        <v/>
      </c>
      <c r="AA309" s="47">
        <f>IF($E309=AA$3,$G309,0)-IF($H309=AA$3,$J309,0)</f>
        <v/>
      </c>
      <c r="AB309" s="47">
        <f>IF($E309=AB$3,$G309,0)-IF($H309=AB$3,$J309,0)</f>
        <v/>
      </c>
      <c r="AC309" s="47">
        <f>IF($E309=AC$3,$G309,0)-IF($H309=AC$3,$J309,0)</f>
        <v/>
      </c>
      <c r="AD309" s="47">
        <f>IF($E309=AD$3,$G309,0)-IF($H309=AD$3,$J309,0)</f>
        <v/>
      </c>
      <c r="AE309" s="47">
        <f>IF($E309=AE$3,$G309,0)-IF($H309=AE$3,$J309,0)</f>
        <v/>
      </c>
      <c r="AF309" s="47">
        <f>IF($E309=AF$3,$G309,0)-IF($H309=AF$3,$J309,0)</f>
        <v/>
      </c>
      <c r="AG309" s="47">
        <f>IF($E309=AG$3,$G309,0)-IF($H309=AG$3,$J309,0)</f>
        <v/>
      </c>
      <c r="AH309" s="47">
        <f>IF($E309=AH$3,$G309,0)-IF($H309=AH$3,$J309,0)</f>
        <v/>
      </c>
      <c r="AI309" s="47">
        <f>IF($E309=AI$3,$G309,0)-IF($H309=AI$3,$J309,0)</f>
        <v/>
      </c>
      <c r="AJ309" s="47">
        <f>IF($E309=AJ$3,$G309,0)-IF($H309=AJ$3,$J309,0)</f>
        <v/>
      </c>
      <c r="AK309" s="47">
        <f>IF($E309=AK$3,$G309,0)-IF($H309=AK$3,$J309,0)</f>
        <v/>
      </c>
      <c r="AL309" s="48">
        <f>IF($E309=AL$3,$G309,0)-IF($H309=AL$3,$J309,0)</f>
        <v/>
      </c>
      <c r="AM309" s="46">
        <f>-IF($E309=AM$3,$G309,0)+IF($H309=AM$3,$J309,0)</f>
        <v/>
      </c>
      <c r="AN309" s="47">
        <f>-IF($E309=AN$3,$G309,0)+IF($H309=AN$3,$J309,0)</f>
        <v/>
      </c>
      <c r="AO309" s="48">
        <f>-IF($E309=AO$3,$G309,0)+IF($H309=AO$3,$J309,0)</f>
        <v/>
      </c>
      <c r="AP309" s="46">
        <f>IF($E309=AP$3,$G309,0)-IF($H309=AP$3,$J309,0)</f>
        <v/>
      </c>
      <c r="AQ309" s="47">
        <f>IF($E309=AQ$3,$G309,0)-IF($H309=AQ$3,$J309,0)</f>
        <v/>
      </c>
      <c r="AR309" s="47">
        <f>IF($E309=AR$3,$G309,0)-IF($H309=AR$3,$J309,0)</f>
        <v/>
      </c>
      <c r="AS309" s="47">
        <f>IF($E309=AS$3,$G309,0)-IF($H309=AS$3,$J309,0)</f>
        <v/>
      </c>
      <c r="AT309" s="47">
        <f>IF($E309=AT$3,$G309,0)-IF($H309=AT$3,$J309,0)</f>
        <v/>
      </c>
      <c r="AU309" s="47">
        <f>IF($E309=AU$3,$G309,0)-IF($H309=AU$3,$J309,0)</f>
        <v/>
      </c>
      <c r="AV309" s="47">
        <f>IF($E309=AV$3,$G309,0)-IF($H309=AV$3,$J309,0)</f>
        <v/>
      </c>
      <c r="AW309" s="47">
        <f>IF($E309=AW$3,$G309,0)-IF($H309=AW$3,$J309,0)</f>
        <v/>
      </c>
      <c r="AX309" s="47">
        <f>IF($E309=AX$3,$G309,0)-IF($H309=AX$3,$J309,0)</f>
        <v/>
      </c>
      <c r="AY309" s="47">
        <f>IF($E309=AY$3,$G309,0)-IF($H309=AY$3,$J309,0)</f>
        <v/>
      </c>
      <c r="AZ309" s="47">
        <f>IF($E309=AZ$3,$G309,0)-IF($H309=AZ$3,$J309,0)</f>
        <v/>
      </c>
      <c r="BA309" s="47">
        <f>IF($E309=BA$3,$G309,0)-IF($H309=BA$3,$J309,0)</f>
        <v/>
      </c>
      <c r="BB309" s="47">
        <f>IF($E309=BB$3,$G309,0)-IF($H309=BB$3,$J309,0)</f>
        <v/>
      </c>
      <c r="BC309" s="47">
        <f>IF($E309=BC$3,$G309,0)-IF($H309=BC$3,$J309,0)</f>
        <v/>
      </c>
      <c r="BD309" s="47">
        <f>IF($E309=BD$3,$G309,0)-IF($H309=BD$3,$J309,0)</f>
        <v/>
      </c>
      <c r="BE309" s="47">
        <f>IF($E309=BE$3,$G309,0)-IF($H309=BE$3,$J309,0)</f>
        <v/>
      </c>
      <c r="BF309" s="47">
        <f>IF($E309=BF$3,$G309,0)-IF($H309=BF$3,$J309,0)</f>
        <v/>
      </c>
      <c r="BG309" s="47">
        <f>IF($E309=BG$3,$G309,0)-IF($H309=BG$3,$J309,0)</f>
        <v/>
      </c>
      <c r="BH309" s="47">
        <f>IF($E309=BH$3,$G309,0)-IF($H309=BH$3,$J309,0)</f>
        <v/>
      </c>
      <c r="BI309" s="47">
        <f>IF($E309=BI$3,$G309,0)-IF($H309=BI$3,$J309,0)</f>
        <v/>
      </c>
      <c r="BJ309" s="47">
        <f>IF($E309=BJ$3,$G309,0)-IF($H309=BJ$3,$J309,0)</f>
        <v/>
      </c>
      <c r="BK309" s="47">
        <f>IF($E309=BK$3,$G309,0)-IF($H309=BK$3,$J309,0)</f>
        <v/>
      </c>
      <c r="BL309" s="46">
        <f>-IF($E309=BL$3,$G309,0)+IF($H309=BL$3,$J309,0)</f>
        <v/>
      </c>
      <c r="BM309" s="47">
        <f>-IF($E309=BM$3,$G309,0)+IF($H309=BM$3,$J309,0)</f>
        <v/>
      </c>
      <c r="BN309" s="47">
        <f>-IF($E309=BN$3,$G309,0)+IF($H309=BN$3,$J309,0)</f>
        <v/>
      </c>
      <c r="BO309" s="47">
        <f>-IF($E309=BO$3,$G309,0)+IF($H309=BO$3,$J309,0)</f>
        <v/>
      </c>
      <c r="BP309" s="47">
        <f>-IF($E309=BP$3,$G309,0)+IF($H309=BP$3,$J309,0)</f>
        <v/>
      </c>
      <c r="BQ309" s="47">
        <f>-IF($E309=BQ$3,$G309,0)+IF($H309=BQ$3,$J309,0)</f>
        <v/>
      </c>
      <c r="BR309" s="47">
        <f>-IF($E309=BR$3,$G309,0)+IF($H309=BR$3,$J309,0)</f>
        <v/>
      </c>
      <c r="BS309" s="47">
        <f>-IF($E309=BS$3,$G309,0)+IF($H309=BS$3,$J309,0)</f>
        <v/>
      </c>
      <c r="BT309" s="47">
        <f>-IF($E309=BT$3,$G309,0)+IF($H309=BT$3,$J309,0)</f>
        <v/>
      </c>
      <c r="BU309" s="46">
        <f>+G309-J309</f>
        <v/>
      </c>
      <c r="BV309" s="48">
        <f>-IF($E309=BV$3,$G309,0)+IF($H309=BV$3,$J309,0)</f>
        <v/>
      </c>
      <c r="BW309" s="3" t="n"/>
    </row>
    <row r="310" ht="15.75" customHeight="1" s="214" thickBot="1">
      <c r="A310" s="205" t="n"/>
      <c r="B310" s="206" t="n"/>
      <c r="C310" s="207" t="n"/>
      <c r="D310" s="208" t="n"/>
      <c r="E310" s="251" t="n"/>
      <c r="F310" s="210">
        <f>IF(E310="","",IF(ISNA(VLOOKUP(E310,科目コード表!$C$4:$D$67,2,FALSE)),"該当科目なし",VLOOKUP(E310,科目コード表!$C$4:$D$67,2,FALSE)))</f>
        <v/>
      </c>
      <c r="G310" s="211" t="n"/>
      <c r="H310" s="251" t="n"/>
      <c r="I310" s="210">
        <f>IF(H310="","",IF(ISNA(VLOOKUP(H310,科目コード表!$C$4:$D$67,2,FALSE)),"該当科目なし",VLOOKUP(H310,科目コード表!$C$4:$D$67,2,FALSE)))</f>
        <v/>
      </c>
      <c r="J310" s="212" t="n"/>
      <c r="L310" s="58">
        <f>SUM(L5:L309)</f>
        <v/>
      </c>
      <c r="M310" s="59">
        <f>SUM(M5:M309)</f>
        <v/>
      </c>
      <c r="N310" s="59">
        <f>SUM(N5:N309)</f>
        <v/>
      </c>
      <c r="O310" s="59">
        <f>SUM(O5:O309)</f>
        <v/>
      </c>
      <c r="P310" s="59">
        <f>SUM(P5:P309)</f>
        <v/>
      </c>
      <c r="Q310" s="59">
        <f>SUM(Q5:Q309)</f>
        <v/>
      </c>
      <c r="R310" s="59">
        <f>SUM(R5:R309)</f>
        <v/>
      </c>
      <c r="S310" s="59">
        <f>SUM(S5:S309)</f>
        <v/>
      </c>
      <c r="T310" s="59">
        <f>SUM(T5:T309)</f>
        <v/>
      </c>
      <c r="U310" s="59">
        <f>SUM(U5:U309)</f>
        <v/>
      </c>
      <c r="V310" s="59">
        <f>SUM(V5:V309)</f>
        <v/>
      </c>
      <c r="W310" s="59">
        <f>SUM(W5:W309)</f>
        <v/>
      </c>
      <c r="X310" s="59">
        <f>SUM(X5:X309)</f>
        <v/>
      </c>
      <c r="Y310" s="59">
        <f>SUM(Y5:Y309)</f>
        <v/>
      </c>
      <c r="Z310" s="59">
        <f>SUM(Z5:Z309)</f>
        <v/>
      </c>
      <c r="AA310" s="59">
        <f>SUM(AA5:AA309)</f>
        <v/>
      </c>
      <c r="AB310" s="59">
        <f>SUM(AB5:AB309)</f>
        <v/>
      </c>
      <c r="AC310" s="59">
        <f>SUM(AC5:AC309)</f>
        <v/>
      </c>
      <c r="AD310" s="59">
        <f>SUM(AD5:AD309)</f>
        <v/>
      </c>
      <c r="AE310" s="59">
        <f>SUM(AE5:AE309)</f>
        <v/>
      </c>
      <c r="AF310" s="59">
        <f>SUM(AF5:AF309)</f>
        <v/>
      </c>
      <c r="AG310" s="59">
        <f>SUM(AG5:AG309)</f>
        <v/>
      </c>
      <c r="AH310" s="59">
        <f>SUM(AH5:AH309)</f>
        <v/>
      </c>
      <c r="AI310" s="59">
        <f>SUM(AI5:AI309)</f>
        <v/>
      </c>
      <c r="AJ310" s="59">
        <f>SUM(AJ5:AJ309)</f>
        <v/>
      </c>
      <c r="AK310" s="59">
        <f>SUM(AK5:AK309)</f>
        <v/>
      </c>
      <c r="AL310" s="60">
        <f>SUM(AL5:AL309)</f>
        <v/>
      </c>
      <c r="AM310" s="58">
        <f>SUM(AM5:AM309)</f>
        <v/>
      </c>
      <c r="AN310" s="59">
        <f>SUM(AN5:AN309)</f>
        <v/>
      </c>
      <c r="AO310" s="60">
        <f>SUM(AO5:AO309)</f>
        <v/>
      </c>
      <c r="AP310" s="58">
        <f>SUM(AP5:AP309)</f>
        <v/>
      </c>
      <c r="AQ310" s="59">
        <f>SUM(AQ5:AQ309)</f>
        <v/>
      </c>
      <c r="AR310" s="59">
        <f>SUM(AR5:AR309)</f>
        <v/>
      </c>
      <c r="AS310" s="59">
        <f>SUM(AS5:AS309)</f>
        <v/>
      </c>
      <c r="AT310" s="59">
        <f>SUM(AT5:AT309)</f>
        <v/>
      </c>
      <c r="AU310" s="59">
        <f>SUM(AU5:AU309)</f>
        <v/>
      </c>
      <c r="AV310" s="59">
        <f>SUM(AV5:AV309)</f>
        <v/>
      </c>
      <c r="AW310" s="59">
        <f>SUM(AW5:AW309)</f>
        <v/>
      </c>
      <c r="AX310" s="59">
        <f>SUM(AX5:AX309)</f>
        <v/>
      </c>
      <c r="AY310" s="59">
        <f>SUM(AY5:AY309)</f>
        <v/>
      </c>
      <c r="AZ310" s="59">
        <f>SUM(AZ5:AZ309)</f>
        <v/>
      </c>
      <c r="BA310" s="59">
        <f>SUM(BA5:BA309)</f>
        <v/>
      </c>
      <c r="BB310" s="59">
        <f>SUM(BB5:BB309)</f>
        <v/>
      </c>
      <c r="BC310" s="59">
        <f>SUM(BC5:BC309)</f>
        <v/>
      </c>
      <c r="BD310" s="59">
        <f>SUM(BD5:BD309)</f>
        <v/>
      </c>
      <c r="BE310" s="59">
        <f>SUM(BE5:BE309)</f>
        <v/>
      </c>
      <c r="BF310" s="59">
        <f>SUM(BF5:BF309)</f>
        <v/>
      </c>
      <c r="BG310" s="59">
        <f>SUM(BG5:BG309)</f>
        <v/>
      </c>
      <c r="BH310" s="59">
        <f>SUM(BH5:BH309)</f>
        <v/>
      </c>
      <c r="BI310" s="59">
        <f>SUM(BI5:BI309)</f>
        <v/>
      </c>
      <c r="BJ310" s="59">
        <f>SUM(BJ5:BJ309)</f>
        <v/>
      </c>
      <c r="BK310" s="59">
        <f>SUM(BK5:BK309)</f>
        <v/>
      </c>
      <c r="BL310" s="58">
        <f>SUM(BL5:BL309)</f>
        <v/>
      </c>
      <c r="BM310" s="59">
        <f>SUM(BM5:BM309)</f>
        <v/>
      </c>
      <c r="BN310" s="59">
        <f>SUM(BN5:BN309)</f>
        <v/>
      </c>
      <c r="BO310" s="59">
        <f>SUM(BO5:BO309)</f>
        <v/>
      </c>
      <c r="BP310" s="59">
        <f>SUM(BP5:BP309)</f>
        <v/>
      </c>
      <c r="BQ310" s="59">
        <f>SUM(BQ5:BQ309)</f>
        <v/>
      </c>
      <c r="BR310" s="59">
        <f>SUM(BR5:BR309)</f>
        <v/>
      </c>
      <c r="BS310" s="59">
        <f>SUM(BS5:BS309)</f>
        <v/>
      </c>
      <c r="BT310" s="59">
        <f>SUM(BT5:BT309)</f>
        <v/>
      </c>
      <c r="BU310" s="58">
        <f>SUM(BU5:BU309)</f>
        <v/>
      </c>
      <c r="BV310" s="60">
        <f>SUM(BV5:BV309)</f>
        <v/>
      </c>
      <c r="BW310" s="3" t="n"/>
    </row>
    <row r="311" ht="15.75" customHeight="1" s="214">
      <c r="BW311" s="3" t="n"/>
    </row>
    <row r="312" ht="15.75" customHeight="1" s="214">
      <c r="BW312" s="3" t="n"/>
    </row>
    <row r="313" ht="15.75" customHeight="1" s="214">
      <c r="BW313" s="3" t="n"/>
    </row>
    <row r="314" ht="15.75" customHeight="1" s="214">
      <c r="BW314" s="3" t="n"/>
    </row>
    <row r="315" ht="15.75" customHeight="1" s="214">
      <c r="BW315" s="3" t="n"/>
    </row>
    <row r="316" ht="15.75" customHeight="1" s="214">
      <c r="BW316" s="3" t="n"/>
    </row>
    <row r="317" ht="15.75" customHeight="1" s="214">
      <c r="BW317" s="3" t="n"/>
    </row>
    <row r="318" ht="15.75" customHeight="1" s="214">
      <c r="BW318" s="3" t="n"/>
    </row>
    <row r="319" ht="15.75" customHeight="1" s="214">
      <c r="BW319" s="3" t="n"/>
    </row>
    <row r="320" ht="15.75" customHeight="1" s="214">
      <c r="BW320" s="3" t="n"/>
    </row>
    <row r="321" ht="15.75" customHeight="1" s="214">
      <c r="BW321" s="3" t="n"/>
    </row>
    <row r="322" ht="15.75" customHeight="1" s="214">
      <c r="BW322" s="3" t="n"/>
    </row>
    <row r="323" ht="15.75" customHeight="1" s="214">
      <c r="BW323" s="3" t="n"/>
    </row>
    <row r="324" ht="15.75" customHeight="1" s="214"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</row>
    <row r="325" ht="15.75" customHeight="1" s="214"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</row>
    <row r="326" ht="15.75" customHeight="1" s="214"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</row>
    <row r="327" ht="15.75" customHeight="1" s="214"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</row>
    <row r="328" ht="15.75" customHeight="1" s="214"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</row>
    <row r="329" ht="15.75" customHeight="1" s="214"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</row>
    <row r="330" ht="15.75" customHeight="1" s="214"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</row>
    <row r="331" ht="15.75" customHeight="1" s="214"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</row>
    <row r="332" ht="15.75" customHeight="1" s="214"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</row>
    <row r="333" ht="15.75" customHeight="1" s="214"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</row>
    <row r="334" ht="15.75" customHeight="1" s="214"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</row>
    <row r="335" ht="15.75" customHeight="1" s="214"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</row>
    <row r="336" ht="15.75" customHeight="1" s="214"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</row>
    <row r="337" ht="15.75" customFormat="1" customHeight="1" s="3"/>
    <row r="338" ht="15.75" customFormat="1" customHeight="1" s="3"/>
    <row r="339" ht="15.75" customFormat="1" customHeight="1" s="3"/>
    <row r="340" ht="15.75" customFormat="1" customHeight="1" s="3"/>
    <row r="341" ht="15.75" customFormat="1" customHeight="1" s="3"/>
    <row r="342" ht="15.75" customFormat="1" customHeight="1" s="3"/>
  </sheetData>
  <mergeCells count="1">
    <mergeCell ref="E2:G2"/>
  </mergeCells>
  <conditionalFormatting sqref="A5:J310">
    <cfRule type="expression" priority="1" dxfId="0" stopIfTrue="1">
      <formula>MOD(ROW(),2)=0</formula>
    </cfRule>
  </conditionalFormatting>
  <dataValidations count="2">
    <dataValidation sqref="A5:C310 E5:E310 G5:H310 J1 J5:J310" showDropDown="0" showInputMessage="1" showErrorMessage="1" allowBlank="1" imeMode="off"/>
    <dataValidation sqref="D5:D42 D44:D45 D47 D53:D55 D57:D310" showDropDown="0" showInputMessage="1" showErrorMessage="1" allowBlank="1" imeMode="on"/>
  </dataValidations>
  <printOptions horizontalCentered="1"/>
  <pageMargins left="0.12" right="0.12" top="0.4" bottom="0.33" header="0" footer="0"/>
  <pageSetup orientation="landscape" paperSize="9" scale="31" fitToHeight="0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99FF99"/>
    <outlinePr summaryBelow="1" summaryRight="1"/>
    <pageSetUpPr fitToPage="1"/>
  </sheetPr>
  <dimension ref="A1:I77"/>
  <sheetViews>
    <sheetView topLeftCell="A19" zoomScaleNormal="100" workbookViewId="0">
      <selection activeCell="M67" sqref="M67"/>
    </sheetView>
  </sheetViews>
  <sheetFormatPr baseColWidth="8" defaultColWidth="9" defaultRowHeight="13.5"/>
  <cols>
    <col width="5.5" customWidth="1" style="214" min="1" max="1"/>
    <col width="12.75" customWidth="1" style="214" min="2" max="2"/>
    <col width="11.375" customWidth="1" style="214" min="3" max="3"/>
    <col width="4.875" customWidth="1" style="214" min="4" max="4"/>
    <col width="15.875" customWidth="1" style="214" min="5" max="5"/>
    <col width="14" customWidth="1" style="101" min="6" max="6"/>
    <col width="9.75" bestFit="1" customWidth="1" style="214" min="9" max="9"/>
  </cols>
  <sheetData>
    <row r="1">
      <c r="F1" s="232">
        <f>+'仕訳帳 '!A1</f>
        <v/>
      </c>
    </row>
    <row r="2" ht="14.25" customHeight="1" s="214" thickBot="1">
      <c r="A2" s="252" t="inlineStr">
        <is>
          <t>貸借対照表</t>
        </is>
      </c>
      <c r="B2" s="217" t="n"/>
      <c r="C2" s="217" t="n"/>
      <c r="D2" s="217" t="n"/>
      <c r="E2" s="217" t="n"/>
      <c r="F2" s="217" t="n"/>
    </row>
    <row r="3">
      <c r="A3" s="96" t="n">
        <v>101</v>
      </c>
      <c r="B3" s="253">
        <f>VLOOKUP(A3,科目コード表!$C$4:$D$67,2,FALSE)</f>
        <v/>
      </c>
      <c r="C3" s="254">
        <f>+'仕訳帳 '!AP310</f>
        <v/>
      </c>
      <c r="D3" s="186" t="n"/>
    </row>
    <row r="4" hidden="1" s="214">
      <c r="A4" s="96" t="n">
        <v>102</v>
      </c>
      <c r="B4" s="253">
        <f>VLOOKUP(A4,科目コード表!$C$4:$D$67,2,FALSE)</f>
        <v/>
      </c>
      <c r="C4" s="254">
        <f>+'仕訳帳 '!AQ310</f>
        <v/>
      </c>
      <c r="D4" s="187" t="n"/>
    </row>
    <row r="5">
      <c r="A5" s="96" t="n">
        <v>103</v>
      </c>
      <c r="B5" s="253">
        <f>VLOOKUP(A5,科目コード表!$C$4:$D$67,2,FALSE)</f>
        <v/>
      </c>
      <c r="C5" s="254">
        <f>+'仕訳帳 '!AR310</f>
        <v/>
      </c>
      <c r="D5" s="187" t="n"/>
    </row>
    <row r="6" hidden="1" s="214">
      <c r="A6" s="96" t="n">
        <v>104</v>
      </c>
      <c r="B6" s="253">
        <f>VLOOKUP(A6,科目コード表!$C$4:$D$67,2,FALSE)</f>
        <v/>
      </c>
      <c r="C6" s="254">
        <f>+'仕訳帳 '!AS310</f>
        <v/>
      </c>
    </row>
    <row r="7" hidden="1" s="214">
      <c r="A7" s="96" t="n">
        <v>105</v>
      </c>
      <c r="B7" s="253">
        <f>VLOOKUP(A7,科目コード表!$C$4:$D$67,2,FALSE)</f>
        <v/>
      </c>
      <c r="C7" s="254">
        <f>+'仕訳帳 '!AT310</f>
        <v/>
      </c>
    </row>
    <row r="8" hidden="1" s="214">
      <c r="A8" s="96" t="n">
        <v>106</v>
      </c>
      <c r="B8" s="253">
        <f>VLOOKUP(A8,科目コード表!$C$4:$D$67,2,FALSE)</f>
        <v/>
      </c>
      <c r="C8" s="254">
        <f>+'仕訳帳 '!AU310</f>
        <v/>
      </c>
      <c r="D8" s="255" t="n">
        <v>201</v>
      </c>
      <c r="E8" s="253">
        <f>VLOOKUP(D8,科目コード表!$C$4:$D$67,2,FALSE)</f>
        <v/>
      </c>
      <c r="F8" s="254">
        <f>+'仕訳帳 '!BL310</f>
        <v/>
      </c>
    </row>
    <row r="9">
      <c r="A9" s="96" t="n">
        <v>107</v>
      </c>
      <c r="B9" s="253">
        <f>VLOOKUP(A9,科目コード表!$C$4:$D$67,2,FALSE)</f>
        <v/>
      </c>
      <c r="C9" s="254">
        <f>+'仕訳帳 '!AV310</f>
        <v/>
      </c>
      <c r="D9" s="255" t="n">
        <v>202</v>
      </c>
      <c r="E9" s="98">
        <f>VLOOKUP(D9,科目コード表!$C$4:$D$67,2,FALSE)</f>
        <v/>
      </c>
      <c r="F9" s="254">
        <f>+'仕訳帳 '!BM310</f>
        <v/>
      </c>
    </row>
    <row r="10" hidden="1" s="214">
      <c r="A10" s="96" t="n">
        <v>108</v>
      </c>
      <c r="B10" s="253">
        <f>VLOOKUP(A10,科目コード表!$C$4:$D$67,2,FALSE)</f>
        <v/>
      </c>
      <c r="C10" s="254">
        <f>+'仕訳帳 '!AW310</f>
        <v/>
      </c>
    </row>
    <row r="11">
      <c r="A11" s="96" t="n">
        <v>109</v>
      </c>
      <c r="B11" s="253">
        <f>VLOOKUP(A11,科目コード表!$C$4:$D$67,2,FALSE)</f>
        <v/>
      </c>
      <c r="C11" s="254">
        <f>+'仕訳帳 '!AX310</f>
        <v/>
      </c>
      <c r="D11" s="255" t="n">
        <v>203</v>
      </c>
      <c r="E11" s="98">
        <f>VLOOKUP(D11,科目コード表!$C$4:$D$67,2,FALSE)</f>
        <v/>
      </c>
      <c r="F11" s="254">
        <f>+'仕訳帳 '!BN310</f>
        <v/>
      </c>
    </row>
    <row r="12" hidden="1" s="214">
      <c r="A12" s="96" t="n">
        <v>110</v>
      </c>
      <c r="B12" s="253">
        <f>VLOOKUP(A12,科目コード表!$C$4:$D$67,2,FALSE)</f>
        <v/>
      </c>
      <c r="C12" s="254">
        <f>+'仕訳帳 '!AY310</f>
        <v/>
      </c>
      <c r="D12" s="255" t="n">
        <v>205</v>
      </c>
      <c r="E12" s="98">
        <f>VLOOKUP(D12,科目コード表!$C$4:$D$67,2,FALSE)</f>
        <v/>
      </c>
      <c r="F12" s="254">
        <f>+'仕訳帳 '!BP310</f>
        <v/>
      </c>
    </row>
    <row r="13" hidden="1" s="214">
      <c r="A13" s="96" t="n">
        <v>111</v>
      </c>
      <c r="B13" s="253">
        <f>VLOOKUP(A13,科目コード表!$C$4:$D$67,2,FALSE)</f>
        <v/>
      </c>
      <c r="C13" s="254">
        <f>+'仕訳帳 '!AZ310</f>
        <v/>
      </c>
      <c r="D13" s="255" t="n">
        <v>207</v>
      </c>
      <c r="E13" s="98">
        <f>VLOOKUP(D13,科目コード表!$C$4:$D$67,2,FALSE)</f>
        <v/>
      </c>
      <c r="F13" s="254">
        <f>+'仕訳帳 '!BR310</f>
        <v/>
      </c>
    </row>
    <row r="14">
      <c r="A14" s="96" t="n">
        <v>112</v>
      </c>
      <c r="B14" s="256">
        <f>VLOOKUP(A14,科目コード表!$C$4:$D$67,2,FALSE)</f>
        <v/>
      </c>
      <c r="C14" s="254">
        <f>+'仕訳帳 '!BA310</f>
        <v/>
      </c>
      <c r="D14" s="255" t="n">
        <v>204</v>
      </c>
      <c r="E14" s="98">
        <f>VLOOKUP(D14,科目コード表!$C$4:$D$67,2,FALSE)</f>
        <v/>
      </c>
      <c r="F14" s="254">
        <f>+'仕訳帳 '!BO310</f>
        <v/>
      </c>
    </row>
    <row r="15">
      <c r="A15" s="96" t="n">
        <v>113</v>
      </c>
      <c r="B15" s="257">
        <f>VLOOKUP(A15,科目コード表!$C$4:$D$67,2,FALSE)</f>
        <v/>
      </c>
      <c r="C15" s="254">
        <f>+'仕訳帳 '!BB310</f>
        <v/>
      </c>
      <c r="D15" s="255" t="n">
        <v>206</v>
      </c>
      <c r="E15" s="98">
        <f>VLOOKUP(D15,科目コード表!$C$4:$D$67,2,FALSE)</f>
        <v/>
      </c>
      <c r="F15" s="254">
        <f>+'仕訳帳 '!BQ310</f>
        <v/>
      </c>
    </row>
    <row r="16">
      <c r="A16" s="96" t="n">
        <v>114</v>
      </c>
      <c r="B16" s="257">
        <f>VLOOKUP(A16,科目コード表!$C$4:$D$67,2,FALSE)</f>
        <v/>
      </c>
      <c r="C16" s="254">
        <f>+'仕訳帳 '!BC310</f>
        <v/>
      </c>
      <c r="D16" s="255" t="n">
        <v>208</v>
      </c>
      <c r="E16" s="99">
        <f>VLOOKUP(D16,科目コード表!$C$4:$D$67,2,FALSE)</f>
        <v/>
      </c>
      <c r="F16" s="254">
        <f>+'仕訳帳 '!BS310</f>
        <v/>
      </c>
    </row>
    <row r="17">
      <c r="A17" s="96" t="n">
        <v>121</v>
      </c>
      <c r="B17" s="253">
        <f>VLOOKUP(A17,科目コード表!$C$4:$D$67,2,FALSE)</f>
        <v/>
      </c>
      <c r="C17" s="254">
        <f>+'仕訳帳 '!BD310</f>
        <v/>
      </c>
      <c r="D17" s="258" t="n"/>
      <c r="E17" s="41" t="n"/>
      <c r="F17" s="254" t="n"/>
    </row>
    <row r="18">
      <c r="A18" s="96" t="n">
        <v>122</v>
      </c>
      <c r="B18" s="253">
        <f>VLOOKUP(A18,科目コード表!$C$4:$D$67,2,FALSE)</f>
        <v/>
      </c>
      <c r="C18" s="254">
        <f>+'仕訳帳 '!BE310</f>
        <v/>
      </c>
      <c r="D18" s="258" t="n"/>
      <c r="E18" s="41" t="n"/>
      <c r="F18" s="254" t="n"/>
    </row>
    <row r="19">
      <c r="A19" s="96" t="n">
        <v>123</v>
      </c>
      <c r="B19" s="253">
        <f>VLOOKUP(A19,科目コード表!$C$4:$D$67,2,FALSE)</f>
        <v/>
      </c>
      <c r="C19" s="254">
        <f>+'仕訳帳 '!BF310</f>
        <v/>
      </c>
      <c r="D19" s="258" t="n"/>
      <c r="E19" s="41" t="n"/>
      <c r="F19" s="254" t="n"/>
    </row>
    <row r="20">
      <c r="A20" s="96" t="n">
        <v>124</v>
      </c>
      <c r="B20" s="253">
        <f>VLOOKUP(A20,科目コード表!$C$4:$D$67,2,FALSE)</f>
        <v/>
      </c>
      <c r="C20" s="254">
        <f>+'仕訳帳 '!BG310</f>
        <v/>
      </c>
      <c r="D20" s="258" t="n"/>
      <c r="E20" s="41" t="n"/>
      <c r="F20" s="254" t="n"/>
    </row>
    <row r="21">
      <c r="A21" s="96" t="n">
        <v>125</v>
      </c>
      <c r="B21" s="253">
        <f>VLOOKUP(A21,科目コード表!$C$4:$D$67,2,FALSE)</f>
        <v/>
      </c>
      <c r="C21" s="254">
        <f>+'仕訳帳 '!BH310</f>
        <v/>
      </c>
      <c r="D21" s="258" t="n"/>
      <c r="F21" s="232" t="n"/>
    </row>
    <row r="22" hidden="1" s="214">
      <c r="A22" s="96" t="n"/>
      <c r="B22" s="253" t="n"/>
      <c r="C22" s="254" t="n"/>
      <c r="D22" s="255" t="n">
        <v>209</v>
      </c>
      <c r="E22" s="99">
        <f>VLOOKUP(D22,科目コード表!$C$4:$D$67,2,FALSE)</f>
        <v/>
      </c>
      <c r="F22" s="254">
        <f>+'仕訳帳 '!BT310</f>
        <v/>
      </c>
    </row>
    <row r="23">
      <c r="A23" s="96" t="n">
        <v>126</v>
      </c>
      <c r="B23" s="253">
        <f>VLOOKUP(A23,科目コード表!$C$4:$D$67,2,FALSE)</f>
        <v/>
      </c>
      <c r="C23" s="254">
        <f>+'仕訳帳 '!BI310</f>
        <v/>
      </c>
      <c r="D23" s="255" t="n">
        <v>301</v>
      </c>
      <c r="E23" s="98">
        <f>VLOOKUP(D23,科目コード表!$C$4:$D$67,2,FALSE)</f>
        <v/>
      </c>
      <c r="F23" s="254">
        <f>+'仕訳帳 '!BU310</f>
        <v/>
      </c>
    </row>
    <row r="24">
      <c r="A24" s="96" t="n">
        <v>127</v>
      </c>
      <c r="B24" s="256">
        <f>VLOOKUP(A24,科目コード表!$C$4:$D$67,2,FALSE)</f>
        <v/>
      </c>
      <c r="C24" s="254">
        <f>+'仕訳帳 '!BJ310</f>
        <v/>
      </c>
      <c r="D24" s="255" t="n">
        <v>302</v>
      </c>
      <c r="E24" s="98">
        <f>VLOOKUP(D24,科目コード表!$C$4:$D$67,2,FALSE)</f>
        <v/>
      </c>
      <c r="F24" s="254">
        <f>+'仕訳帳 '!BV310</f>
        <v/>
      </c>
    </row>
    <row r="25">
      <c r="A25" s="96" t="n">
        <v>128</v>
      </c>
      <c r="B25" s="257">
        <f>VLOOKUP(A25,科目コード表!$C$4:$D$67,2,FALSE)</f>
        <v/>
      </c>
      <c r="C25" s="254">
        <f>+'仕訳帳 '!BK310</f>
        <v/>
      </c>
      <c r="D25" s="258" t="n"/>
      <c r="E25" s="257" t="inlineStr">
        <is>
          <t>特別控除前利益</t>
        </is>
      </c>
      <c r="F25" s="254">
        <f>+C57</f>
        <v/>
      </c>
    </row>
    <row r="26" ht="14.25" customHeight="1" s="214" thickBot="1">
      <c r="B26" s="259" t="inlineStr">
        <is>
          <t>合計</t>
        </is>
      </c>
      <c r="C26" s="260">
        <f>SUM(C3:C25)</f>
        <v/>
      </c>
      <c r="D26" s="258" t="n"/>
      <c r="E26" s="259" t="inlineStr">
        <is>
          <t>合計</t>
        </is>
      </c>
      <c r="F26" s="261">
        <f>SUM(F4:F25)</f>
        <v/>
      </c>
      <c r="G26" s="232">
        <f>IF(C26=F26,"OK","貸借不一致です！")</f>
        <v/>
      </c>
    </row>
    <row r="27" ht="14.25" customHeight="1" s="214" thickTop="1">
      <c r="B27" s="257" t="n"/>
      <c r="C27" s="254" t="n"/>
      <c r="D27" s="254" t="n"/>
      <c r="E27" s="254" t="n"/>
      <c r="F27" s="254" t="n"/>
    </row>
    <row r="28" ht="14.25" customHeight="1" s="214" thickBot="1">
      <c r="A28" s="103" t="n"/>
      <c r="B28" s="252" t="inlineStr">
        <is>
          <t>損益計算書</t>
        </is>
      </c>
      <c r="C28" s="217" t="n"/>
      <c r="D28" s="217" t="n"/>
      <c r="E28" s="217" t="n"/>
      <c r="F28" s="262" t="n"/>
    </row>
    <row r="29" hidden="1" s="214">
      <c r="A29" s="96" t="n">
        <v>501</v>
      </c>
      <c r="B29" s="253">
        <f>VLOOKUP(A29,科目コード表!$C$4:$D$67,2,FALSE)</f>
        <v/>
      </c>
      <c r="C29" s="254">
        <f>+'仕訳帳 '!L310</f>
        <v/>
      </c>
      <c r="D29" s="186" t="n"/>
      <c r="E29" s="188" t="n"/>
      <c r="F29" s="232" t="n"/>
    </row>
    <row r="30">
      <c r="A30" s="96" t="n">
        <v>502</v>
      </c>
      <c r="B30" s="253">
        <f>VLOOKUP(A30,科目コード表!$C$4:$D$67,2,FALSE)</f>
        <v/>
      </c>
      <c r="C30" s="254">
        <f>+'仕訳帳 '!M310</f>
        <v/>
      </c>
      <c r="D30" s="255" t="n">
        <v>401</v>
      </c>
      <c r="E30" s="253">
        <f>VLOOKUP(D30,科目コード表!$C$4:$D$67,2,FALSE)</f>
        <v/>
      </c>
      <c r="F30" s="254">
        <f>+'仕訳帳 '!AM310</f>
        <v/>
      </c>
    </row>
    <row r="31" hidden="1" s="214">
      <c r="A31" s="96" t="n">
        <v>503</v>
      </c>
      <c r="B31" s="253">
        <f>VLOOKUP(A31,科目コード表!$C$4:$D$67,2,FALSE)</f>
        <v/>
      </c>
      <c r="C31" s="254">
        <f>+'仕訳帳 '!N310</f>
        <v/>
      </c>
      <c r="D31" s="255" t="n"/>
      <c r="F31" s="232" t="n"/>
    </row>
    <row r="32">
      <c r="A32" s="96" t="n">
        <v>504</v>
      </c>
      <c r="B32" s="253">
        <f>VLOOKUP(A32,科目コード表!$C$4:$D$67,2,FALSE)</f>
        <v/>
      </c>
      <c r="C32" s="254">
        <f>+'仕訳帳 '!O310</f>
        <v/>
      </c>
      <c r="D32" s="255" t="n">
        <v>403</v>
      </c>
      <c r="E32" s="257">
        <f>VLOOKUP(D32,科目コード表!$C$4:$D$67,2,FALSE)</f>
        <v/>
      </c>
      <c r="F32" s="254">
        <f>+'仕訳帳 '!AO310</f>
        <v/>
      </c>
    </row>
    <row r="33">
      <c r="A33" s="96" t="n">
        <v>505</v>
      </c>
      <c r="B33" s="253">
        <f>VLOOKUP(A33,科目コード表!$C$4:$D$67,2,FALSE)</f>
        <v/>
      </c>
      <c r="C33" s="254">
        <f>+'仕訳帳 '!P310</f>
        <v/>
      </c>
      <c r="D33" s="255" t="n">
        <v>402</v>
      </c>
      <c r="E33" s="253">
        <f>VLOOKUP(D33,科目コード表!$C$4:$D$67,2,FALSE)</f>
        <v/>
      </c>
      <c r="F33" s="254">
        <f>+'仕訳帳 '!AN310</f>
        <v/>
      </c>
    </row>
    <row r="34">
      <c r="A34" s="96" t="n">
        <v>506</v>
      </c>
      <c r="B34" s="253">
        <f>VLOOKUP(A34,科目コード表!$C$4:$D$67,2,FALSE)</f>
        <v/>
      </c>
      <c r="C34" s="254">
        <f>+'仕訳帳 '!Q310</f>
        <v/>
      </c>
      <c r="D34" s="258" t="n"/>
      <c r="E34" s="253" t="n"/>
      <c r="F34" s="254" t="n"/>
    </row>
    <row r="35">
      <c r="A35" s="96" t="n">
        <v>507</v>
      </c>
      <c r="B35" s="253">
        <f>VLOOKUP(A35,科目コード表!$C$4:$D$67,2,FALSE)</f>
        <v/>
      </c>
      <c r="C35" s="254">
        <f>+'仕訳帳 '!R310</f>
        <v/>
      </c>
      <c r="D35" s="258" t="n"/>
      <c r="E35" s="257" t="n"/>
      <c r="F35" s="254" t="n"/>
    </row>
    <row r="36">
      <c r="A36" s="96" t="n">
        <v>508</v>
      </c>
      <c r="B36" s="253">
        <f>VLOOKUP(A36,科目コード表!$C$4:$D$67,2,FALSE)</f>
        <v/>
      </c>
      <c r="C36" s="254">
        <f>+'仕訳帳 '!S310</f>
        <v/>
      </c>
      <c r="D36" s="258" t="n"/>
      <c r="E36" s="257" t="n"/>
      <c r="F36" s="254" t="n"/>
    </row>
    <row r="37">
      <c r="A37" s="96" t="n">
        <v>509</v>
      </c>
      <c r="B37" s="253">
        <f>VLOOKUP(A37,科目コード表!$C$4:$D$67,2,FALSE)</f>
        <v/>
      </c>
      <c r="C37" s="254">
        <f>+'仕訳帳 '!T310</f>
        <v/>
      </c>
      <c r="D37" s="258" t="n"/>
      <c r="E37" s="257" t="n"/>
      <c r="F37" s="254" t="n"/>
    </row>
    <row r="38">
      <c r="A38" s="96" t="n">
        <v>510</v>
      </c>
      <c r="B38" s="253">
        <f>VLOOKUP(A38,科目コード表!$C$4:$D$67,2,FALSE)</f>
        <v/>
      </c>
      <c r="C38" s="254">
        <f>+'仕訳帳 '!U310</f>
        <v/>
      </c>
      <c r="D38" s="258" t="n"/>
      <c r="E38" s="257" t="n"/>
      <c r="F38" s="254" t="n"/>
    </row>
    <row r="39">
      <c r="A39" s="96" t="n">
        <v>511</v>
      </c>
      <c r="B39" s="253">
        <f>VLOOKUP(A39,科目コード表!$C$4:$D$67,2,FALSE)</f>
        <v/>
      </c>
      <c r="C39" s="254">
        <f>+'仕訳帳 '!V310</f>
        <v/>
      </c>
      <c r="D39" s="258" t="n"/>
      <c r="E39" s="257" t="n"/>
      <c r="F39" s="254" t="n"/>
    </row>
    <row r="40">
      <c r="A40" s="96" t="n">
        <v>512</v>
      </c>
      <c r="B40" s="253">
        <f>VLOOKUP(A40,科目コード表!$C$4:$D$67,2,FALSE)</f>
        <v/>
      </c>
      <c r="C40" s="254">
        <f>+'仕訳帳 '!W310</f>
        <v/>
      </c>
      <c r="D40" s="258" t="n"/>
      <c r="E40" s="257" t="n"/>
      <c r="F40" s="254" t="n"/>
    </row>
    <row r="41">
      <c r="A41" s="96" t="n">
        <v>513</v>
      </c>
      <c r="B41" s="253">
        <f>VLOOKUP(A41,科目コード表!$C$4:$D$67,2,FALSE)</f>
        <v/>
      </c>
      <c r="C41" s="254">
        <f>+'仕訳帳 '!X310</f>
        <v/>
      </c>
      <c r="D41" s="258" t="n"/>
      <c r="E41" s="257" t="n"/>
      <c r="F41" s="254" t="n"/>
    </row>
    <row r="42">
      <c r="A42" s="96" t="n">
        <v>514</v>
      </c>
      <c r="B42" s="253">
        <f>VLOOKUP(A42,科目コード表!$C$4:$D$67,2,FALSE)</f>
        <v/>
      </c>
      <c r="C42" s="254">
        <f>+'仕訳帳 '!Y310</f>
        <v/>
      </c>
      <c r="D42" s="258" t="n"/>
      <c r="E42" s="257" t="n"/>
      <c r="F42" s="254" t="n"/>
    </row>
    <row r="43">
      <c r="A43" s="96" t="n">
        <v>515</v>
      </c>
      <c r="B43" s="253">
        <f>VLOOKUP(A43,科目コード表!$C$4:$D$67,2,FALSE)</f>
        <v/>
      </c>
      <c r="C43" s="254">
        <f>+'仕訳帳 '!Z310</f>
        <v/>
      </c>
      <c r="D43" s="258" t="n"/>
      <c r="E43" s="257" t="n"/>
      <c r="F43" s="254" t="n"/>
    </row>
    <row r="44">
      <c r="A44" s="96" t="n">
        <v>516</v>
      </c>
      <c r="B44" s="253">
        <f>VLOOKUP(A44,科目コード表!$C$4:$D$67,2,FALSE)</f>
        <v/>
      </c>
      <c r="C44" s="254">
        <f>+'仕訳帳 '!AA310</f>
        <v/>
      </c>
      <c r="D44" s="258" t="n"/>
      <c r="E44" s="257" t="n"/>
      <c r="F44" s="254" t="n"/>
    </row>
    <row r="45" hidden="1" s="214">
      <c r="A45" s="96" t="n">
        <v>517</v>
      </c>
      <c r="B45" s="253">
        <f>VLOOKUP(A45,科目コード表!$C$4:$D$67,2,FALSE)</f>
        <v/>
      </c>
      <c r="C45" s="254">
        <f>+'仕訳帳 '!AB310</f>
        <v/>
      </c>
      <c r="D45" s="258" t="n"/>
      <c r="E45" s="257" t="n"/>
      <c r="F45" s="254" t="n"/>
    </row>
    <row r="46" hidden="1" s="214">
      <c r="A46" s="96" t="n">
        <v>518</v>
      </c>
      <c r="B46" s="253">
        <f>VLOOKUP(A46,科目コード表!$C$4:$D$67,2,FALSE)</f>
        <v/>
      </c>
      <c r="C46" s="254">
        <f>+'仕訳帳 '!AC310</f>
        <v/>
      </c>
      <c r="D46" s="258" t="n"/>
      <c r="E46" s="257" t="n"/>
      <c r="F46" s="254" t="n"/>
    </row>
    <row r="47">
      <c r="A47" s="96" t="n">
        <v>519</v>
      </c>
      <c r="B47" s="253">
        <f>VLOOKUP(A47,科目コード表!$C$4:$D$67,2,FALSE)</f>
        <v/>
      </c>
      <c r="C47" s="254">
        <f>+'仕訳帳 '!AD310</f>
        <v/>
      </c>
      <c r="D47" s="258" t="n"/>
      <c r="E47" s="257" t="n"/>
      <c r="F47" s="254" t="n"/>
    </row>
    <row r="48">
      <c r="A48" s="96" t="n">
        <v>520</v>
      </c>
      <c r="B48" s="253">
        <f>VLOOKUP(A48,科目コード表!$C$4:$D$67,2,FALSE)</f>
        <v/>
      </c>
      <c r="C48" s="254">
        <f>+'仕訳帳 '!AE310</f>
        <v/>
      </c>
      <c r="D48" s="258" t="n"/>
      <c r="E48" s="257" t="n"/>
      <c r="F48" s="254" t="n"/>
    </row>
    <row r="49" hidden="1" s="214">
      <c r="A49" s="96" t="n">
        <v>521</v>
      </c>
      <c r="B49" s="253">
        <f>VLOOKUP(A49,科目コード表!$C$4:$D$67,2,FALSE)</f>
        <v/>
      </c>
      <c r="C49" s="254">
        <f>+'仕訳帳 '!AF310</f>
        <v/>
      </c>
      <c r="D49" s="258" t="n"/>
      <c r="E49" s="257" t="n"/>
      <c r="F49" s="254" t="n"/>
    </row>
    <row r="50">
      <c r="A50" s="96" t="n">
        <v>522</v>
      </c>
      <c r="B50" s="257">
        <f>VLOOKUP(A50,科目コード表!$C$4:$D$67,2,FALSE)</f>
        <v/>
      </c>
      <c r="C50" s="254">
        <f>+'仕訳帳 '!AG310</f>
        <v/>
      </c>
      <c r="D50" s="258" t="n"/>
      <c r="E50" s="257" t="n"/>
      <c r="F50" s="254" t="n"/>
    </row>
    <row r="51">
      <c r="A51" s="96" t="n">
        <v>523</v>
      </c>
      <c r="B51" s="257">
        <f>VLOOKUP(A51,科目コード表!$C$4:$D$67,2,FALSE)</f>
        <v/>
      </c>
      <c r="C51" s="254">
        <f>+'仕訳帳 '!AH310</f>
        <v/>
      </c>
      <c r="D51" s="258" t="n"/>
      <c r="E51" s="257" t="n"/>
      <c r="F51" s="254" t="n"/>
    </row>
    <row r="52">
      <c r="A52" s="96" t="n">
        <v>524</v>
      </c>
      <c r="B52" s="257">
        <f>VLOOKUP(A52,科目コード表!$C$4:$D$67,2,FALSE)</f>
        <v/>
      </c>
      <c r="C52" s="254">
        <f>+'仕訳帳 '!AI310</f>
        <v/>
      </c>
      <c r="D52" s="258" t="n"/>
      <c r="E52" s="257" t="n"/>
      <c r="F52" s="254" t="n"/>
    </row>
    <row r="53">
      <c r="A53" s="96" t="n">
        <v>525</v>
      </c>
      <c r="B53" s="257">
        <f>VLOOKUP(A53,科目コード表!$C$4:$D$67,2,FALSE)</f>
        <v/>
      </c>
      <c r="C53" s="254">
        <f>+'仕訳帳 '!AJ310</f>
        <v/>
      </c>
      <c r="D53" s="258" t="n"/>
      <c r="E53" s="257" t="n"/>
      <c r="F53" s="254" t="n"/>
    </row>
    <row r="54">
      <c r="A54" s="96" t="n">
        <v>526</v>
      </c>
      <c r="B54" s="253">
        <f>VLOOKUP(A54,科目コード表!$C$4:$D$67,2,FALSE)</f>
        <v/>
      </c>
      <c r="C54" s="254">
        <f>+'仕訳帳 '!AK310</f>
        <v/>
      </c>
      <c r="D54" s="258" t="n"/>
      <c r="E54" s="257" t="n"/>
      <c r="F54" s="254" t="n"/>
    </row>
    <row r="55">
      <c r="A55" s="96" t="n">
        <v>530</v>
      </c>
      <c r="B55" s="253">
        <f>VLOOKUP(A55,科目コード表!$C$4:$D$67,2,FALSE)</f>
        <v/>
      </c>
      <c r="C55" s="263">
        <f>+'仕訳帳 '!AL310</f>
        <v/>
      </c>
      <c r="D55" s="258" t="n"/>
      <c r="E55" s="257" t="n"/>
      <c r="F55" s="264" t="n"/>
    </row>
    <row r="56">
      <c r="B56" s="259" t="inlineStr">
        <is>
          <t>計</t>
        </is>
      </c>
      <c r="C56" s="264">
        <f>SUM(C29:C55)</f>
        <v/>
      </c>
      <c r="D56" s="258" t="n"/>
      <c r="E56" s="254" t="n"/>
      <c r="F56" s="254">
        <f>SUM(F30:F55)</f>
        <v/>
      </c>
    </row>
    <row r="57">
      <c r="B57" s="257" t="inlineStr">
        <is>
          <t>特別控除前利益</t>
        </is>
      </c>
      <c r="C57" s="254">
        <f>+F56-C56</f>
        <v/>
      </c>
      <c r="D57" s="258" t="n"/>
      <c r="E57" s="254" t="n"/>
      <c r="F57" s="254" t="n"/>
    </row>
    <row r="58" ht="14.25" customHeight="1" s="214" thickBot="1">
      <c r="B58" s="259" t="inlineStr">
        <is>
          <t>合計</t>
        </is>
      </c>
      <c r="C58" s="260">
        <f>SUM(C56:C57)</f>
        <v/>
      </c>
      <c r="D58" s="258" t="n"/>
      <c r="E58" s="254" t="n"/>
      <c r="F58" s="261">
        <f>SUM(F56)</f>
        <v/>
      </c>
    </row>
    <row r="59" ht="14.25" customHeight="1" s="214" thickTop="1">
      <c r="F59" s="254" t="n"/>
    </row>
    <row r="61">
      <c r="A61" s="41" t="inlineStr">
        <is>
          <t>収入内訳一覧表</t>
        </is>
      </c>
      <c r="B61" s="41" t="n"/>
      <c r="C61" s="41" t="n"/>
      <c r="D61" s="41" t="n"/>
      <c r="E61" s="41" t="n"/>
      <c r="F61" s="164" t="n"/>
      <c r="G61" s="41" t="n"/>
      <c r="H61" s="41" t="n"/>
      <c r="I61" s="41" t="n"/>
    </row>
    <row r="62">
      <c r="A62" s="165" t="inlineStr">
        <is>
          <t>日付</t>
        </is>
      </c>
      <c r="B62" s="166" t="inlineStr">
        <is>
          <t>相手</t>
        </is>
      </c>
      <c r="C62" s="166" t="inlineStr">
        <is>
          <t>内訳</t>
        </is>
      </c>
      <c r="D62" s="166" t="n"/>
      <c r="E62" s="166" t="n"/>
      <c r="F62" s="167" t="inlineStr">
        <is>
          <t>報酬</t>
        </is>
      </c>
      <c r="G62" s="168" t="inlineStr">
        <is>
          <t>雑収入</t>
        </is>
      </c>
      <c r="H62" s="168" t="inlineStr">
        <is>
          <t>源泉税</t>
        </is>
      </c>
      <c r="I62" s="169" t="inlineStr">
        <is>
          <t xml:space="preserve">　　差引</t>
        </is>
      </c>
    </row>
    <row r="63">
      <c r="A63" s="170" t="inlineStr">
        <is>
          <t>1/31</t>
        </is>
      </c>
      <c r="B63" s="171" t="inlineStr">
        <is>
          <t>小樽商科大学後援会</t>
        </is>
      </c>
      <c r="C63" s="172" t="inlineStr">
        <is>
          <t>Web Site代</t>
        </is>
      </c>
      <c r="D63" s="171" t="n"/>
      <c r="E63" s="171" t="n"/>
      <c r="F63" s="173" t="n">
        <v>11000</v>
      </c>
      <c r="G63" s="173" t="n"/>
      <c r="H63" s="173" t="n"/>
      <c r="I63" s="174">
        <f>+F63+G63-H63</f>
        <v/>
      </c>
    </row>
    <row r="64">
      <c r="A64" s="170" t="inlineStr">
        <is>
          <t>1/31</t>
        </is>
      </c>
      <c r="B64" s="171" t="inlineStr">
        <is>
          <t>ユーユー</t>
        </is>
      </c>
      <c r="C64" s="172" t="inlineStr">
        <is>
          <t>ブログ作成費</t>
        </is>
      </c>
      <c r="D64" s="171" t="n"/>
      <c r="E64" s="171" t="n"/>
      <c r="F64" s="175" t="n">
        <v>100000</v>
      </c>
      <c r="G64" s="175" t="n"/>
      <c r="H64" s="175" t="n"/>
      <c r="I64" s="174">
        <f>+F64+G64-H64</f>
        <v/>
      </c>
    </row>
    <row r="65">
      <c r="A65" s="170" t="inlineStr">
        <is>
          <t>2/28</t>
        </is>
      </c>
      <c r="B65" s="171" t="inlineStr">
        <is>
          <t>小樽商科大学後援会</t>
        </is>
      </c>
      <c r="C65" s="172" t="inlineStr">
        <is>
          <t>Web Site代</t>
        </is>
      </c>
      <c r="D65" s="171" t="n"/>
      <c r="E65" s="171" t="n"/>
      <c r="F65" s="175" t="n">
        <v>11000</v>
      </c>
      <c r="G65" s="175" t="n"/>
      <c r="H65" s="175" t="n"/>
      <c r="I65" s="174">
        <f>+F65+G65-H65</f>
        <v/>
      </c>
    </row>
    <row r="66">
      <c r="A66" s="170" t="inlineStr">
        <is>
          <t>2/28</t>
        </is>
      </c>
      <c r="B66" s="171" t="inlineStr">
        <is>
          <t>ユーユー</t>
        </is>
      </c>
      <c r="C66" s="172" t="inlineStr">
        <is>
          <t>ブログ作成費</t>
        </is>
      </c>
      <c r="D66" s="171" t="n"/>
      <c r="E66" s="171" t="n"/>
      <c r="F66" s="175" t="n">
        <v>100000</v>
      </c>
      <c r="G66" s="175" t="n"/>
      <c r="H66" s="175" t="n"/>
      <c r="I66" s="174">
        <f>+F66+G66-H66</f>
        <v/>
      </c>
    </row>
    <row r="67">
      <c r="A67" s="170" t="inlineStr">
        <is>
          <t>2/28</t>
        </is>
      </c>
      <c r="B67" s="171" t="inlineStr">
        <is>
          <t>BASIS</t>
        </is>
      </c>
      <c r="C67" s="172" t="inlineStr">
        <is>
          <t>開発</t>
        </is>
      </c>
      <c r="D67" s="171" t="n"/>
      <c r="E67" s="171" t="n"/>
      <c r="F67" s="175" t="n">
        <v>770000</v>
      </c>
      <c r="G67" s="175" t="n"/>
      <c r="H67" s="175" t="n"/>
      <c r="I67" s="174">
        <f>+F67+G67-H67</f>
        <v/>
      </c>
    </row>
    <row r="68">
      <c r="A68" s="170" t="inlineStr">
        <is>
          <t>1/17</t>
        </is>
      </c>
      <c r="B68" s="171" t="n"/>
      <c r="C68" s="171" t="inlineStr">
        <is>
          <t>固定資産売却益</t>
        </is>
      </c>
      <c r="D68" s="171" t="n"/>
      <c r="E68" s="171" t="n"/>
      <c r="F68" s="175" t="n"/>
      <c r="G68" s="175" t="n">
        <v>329999</v>
      </c>
      <c r="H68" s="175" t="n"/>
      <c r="I68" s="174">
        <f>+F68+G68-H68</f>
        <v/>
      </c>
    </row>
    <row r="69">
      <c r="A69" s="170" t="n"/>
      <c r="B69" s="171" t="n"/>
      <c r="C69" s="171" t="n"/>
      <c r="D69" s="171" t="n"/>
      <c r="E69" s="171" t="n"/>
      <c r="F69" s="175" t="n"/>
      <c r="G69" s="175" t="n"/>
      <c r="H69" s="175" t="n"/>
      <c r="I69" s="174">
        <f>+F69+G69-H69</f>
        <v/>
      </c>
    </row>
    <row r="70">
      <c r="A70" s="170" t="n"/>
      <c r="B70" s="171" t="n"/>
      <c r="C70" s="171" t="n"/>
      <c r="D70" s="171" t="n"/>
      <c r="E70" s="171" t="n"/>
      <c r="F70" s="175" t="n"/>
      <c r="G70" s="175" t="n"/>
      <c r="H70" s="175" t="n"/>
      <c r="I70" s="174">
        <f>+F70+G70-H70</f>
        <v/>
      </c>
    </row>
    <row r="71">
      <c r="A71" s="170" t="n"/>
      <c r="B71" s="171" t="n"/>
      <c r="C71" s="171" t="n"/>
      <c r="D71" s="171" t="n"/>
      <c r="E71" s="171" t="n"/>
      <c r="F71" s="175" t="n"/>
      <c r="G71" s="175" t="n"/>
      <c r="H71" s="175" t="n"/>
      <c r="I71" s="174">
        <f>+F71+G71-H71</f>
        <v/>
      </c>
    </row>
    <row r="72">
      <c r="A72" s="170" t="n"/>
      <c r="B72" s="171" t="n"/>
      <c r="C72" s="171" t="n"/>
      <c r="D72" s="171" t="n"/>
      <c r="E72" s="171" t="n"/>
      <c r="F72" s="175" t="n"/>
      <c r="G72" s="175" t="n"/>
      <c r="H72" s="175" t="n"/>
      <c r="I72" s="174">
        <f>+F72+G72-H72</f>
        <v/>
      </c>
    </row>
    <row r="73">
      <c r="A73" s="170" t="n"/>
      <c r="B73" s="171" t="n"/>
      <c r="C73" s="171" t="n"/>
      <c r="D73" s="171" t="n"/>
      <c r="E73" s="171" t="n"/>
      <c r="F73" s="175" t="n"/>
      <c r="G73" s="175" t="n"/>
      <c r="H73" s="175" t="n"/>
      <c r="I73" s="174">
        <f>+F73+G73-H73</f>
        <v/>
      </c>
    </row>
    <row r="74">
      <c r="A74" s="170" t="n"/>
      <c r="B74" s="171" t="n"/>
      <c r="C74" s="172" t="n"/>
      <c r="D74" s="171" t="n"/>
      <c r="E74" s="171" t="n"/>
      <c r="F74" s="175" t="n"/>
      <c r="G74" s="175" t="n"/>
      <c r="H74" s="175" t="n"/>
      <c r="I74" s="174">
        <f>+F74+G74-H74</f>
        <v/>
      </c>
    </row>
    <row r="75">
      <c r="A75" s="176" t="n"/>
      <c r="B75" s="171" t="n"/>
      <c r="C75" s="172" t="n"/>
      <c r="D75" s="171" t="n"/>
      <c r="E75" s="171" t="n"/>
      <c r="F75" s="175" t="n"/>
      <c r="G75" s="175" t="n"/>
      <c r="H75" s="175" t="n"/>
      <c r="I75" s="174">
        <f>+F75+G75-H75</f>
        <v/>
      </c>
    </row>
    <row r="76">
      <c r="A76" s="177" t="n"/>
      <c r="B76" s="178" t="n"/>
      <c r="C76" s="178" t="n"/>
      <c r="D76" s="179" t="n"/>
      <c r="E76" s="179" t="n"/>
      <c r="F76" s="180" t="n"/>
      <c r="G76" s="180" t="n"/>
      <c r="H76" s="180" t="n"/>
      <c r="I76" s="181">
        <f>+F76+G76-H76</f>
        <v/>
      </c>
    </row>
    <row r="77">
      <c r="A77" s="177" t="n"/>
      <c r="B77" s="179" t="n"/>
      <c r="C77" s="179" t="n"/>
      <c r="D77" s="179" t="n"/>
      <c r="E77" s="179" t="n"/>
      <c r="F77" s="180">
        <f>SUM(F63:F76)</f>
        <v/>
      </c>
      <c r="G77" s="180">
        <f>SUM(G63:G76)</f>
        <v/>
      </c>
      <c r="H77" s="180">
        <f>SUM(H63:H76)</f>
        <v/>
      </c>
      <c r="I77" s="181">
        <f>SUM(I63:I76)</f>
        <v/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">
    <mergeCell ref="A2:F2"/>
    <mergeCell ref="B28:E28"/>
  </mergeCells>
  <pageMargins left="0.57" right="0.2362204724409449" top="0.39" bottom="0.29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FFCCCC"/>
    <outlinePr summaryBelow="1" summaryRight="1"/>
    <pageSetUpPr fitToPage="1"/>
  </sheetPr>
  <dimension ref="B1:O67"/>
  <sheetViews>
    <sheetView topLeftCell="A3" zoomScaleNormal="100" workbookViewId="0">
      <selection activeCell="C3" sqref="C3:D67"/>
    </sheetView>
  </sheetViews>
  <sheetFormatPr baseColWidth="8" defaultRowHeight="13.5"/>
  <cols>
    <col width="3.5" customWidth="1" style="214" min="1" max="2"/>
    <col width="6.125" bestFit="1" customWidth="1" style="214" min="3" max="3"/>
    <col width="13.5" customWidth="1" style="214" min="4" max="4"/>
    <col width="9" customWidth="1" style="90" min="5" max="5"/>
    <col width="3.875" customWidth="1" style="214" min="6" max="6"/>
  </cols>
  <sheetData>
    <row r="1" ht="17.25" customHeight="1" s="214">
      <c r="D1" s="232" t="inlineStr">
        <is>
          <t xml:space="preserve">　　　　　　緑色の科目は国税庁HPの標準科目です。黒色の科目は自由に変更してかまいません。</t>
        </is>
      </c>
    </row>
    <row r="2" ht="17.25" customHeight="1" s="214" thickBot="1">
      <c r="E2" s="191" t="inlineStr">
        <is>
          <t>国税庁の青色申告決算書（一般用）に標準で記載されている科目</t>
        </is>
      </c>
    </row>
    <row r="3" ht="14.25" customHeight="1" s="214" thickBot="1">
      <c r="C3" s="213" t="inlineStr">
        <is>
          <t>コード</t>
        </is>
      </c>
      <c r="D3" s="1" t="inlineStr">
        <is>
          <t>勘定科目</t>
        </is>
      </c>
      <c r="E3" s="91" t="n"/>
      <c r="H3" s="192" t="inlineStr">
        <is>
          <t>決算書と元帳兼精算表に表示した科目・・・不要な科目は非表示に、不足していれば再表示してください。</t>
        </is>
      </c>
      <c r="I3" s="192" t="n"/>
      <c r="J3" s="192" t="n"/>
      <c r="K3" s="192" t="n"/>
      <c r="L3" s="192" t="n"/>
      <c r="M3" s="192" t="n"/>
      <c r="N3" s="192" t="n"/>
      <c r="O3" s="192" t="n"/>
    </row>
    <row r="4">
      <c r="B4" s="220" t="inlineStr">
        <is>
          <t>資産</t>
        </is>
      </c>
      <c r="C4" s="18" t="n">
        <v>101</v>
      </c>
      <c r="D4" s="195" t="inlineStr">
        <is>
          <t>現金</t>
        </is>
      </c>
      <c r="E4" s="90" t="inlineStr">
        <is>
          <t>○</t>
        </is>
      </c>
      <c r="G4" s="90" t="inlineStr">
        <is>
          <t>△</t>
        </is>
      </c>
    </row>
    <row r="5">
      <c r="B5" s="221" t="n"/>
      <c r="C5" s="19" t="n">
        <v>102</v>
      </c>
      <c r="D5" s="194" t="inlineStr">
        <is>
          <t>当座預金</t>
        </is>
      </c>
      <c r="E5" s="90" t="inlineStr">
        <is>
          <t>○</t>
        </is>
      </c>
    </row>
    <row r="6">
      <c r="B6" s="221" t="n"/>
      <c r="C6" s="19" t="n">
        <v>103</v>
      </c>
      <c r="D6" s="194" t="inlineStr">
        <is>
          <t>普通預金</t>
        </is>
      </c>
      <c r="E6" s="90" t="inlineStr">
        <is>
          <t>○</t>
        </is>
      </c>
      <c r="G6" s="90" t="inlineStr">
        <is>
          <t>△</t>
        </is>
      </c>
      <c r="H6" s="190" t="inlineStr">
        <is>
          <t>(現金・普通預金は、他のソフト等から移行するときのみ使います。通常は不要です。）</t>
        </is>
      </c>
    </row>
    <row r="7">
      <c r="B7" s="221" t="n"/>
      <c r="C7" s="19" t="n">
        <v>104</v>
      </c>
      <c r="D7" s="194" t="inlineStr">
        <is>
          <t>通知預金</t>
        </is>
      </c>
      <c r="E7" s="90" t="inlineStr">
        <is>
          <t>○</t>
        </is>
      </c>
    </row>
    <row r="8">
      <c r="B8" s="221" t="n"/>
      <c r="C8" s="19" t="n">
        <v>105</v>
      </c>
      <c r="D8" s="194" t="inlineStr">
        <is>
          <t>定期預金</t>
        </is>
      </c>
      <c r="E8" s="90" t="inlineStr">
        <is>
          <t>○</t>
        </is>
      </c>
    </row>
    <row r="9">
      <c r="B9" s="221" t="n"/>
      <c r="C9" s="19" t="n">
        <v>106</v>
      </c>
      <c r="D9" s="194" t="inlineStr">
        <is>
          <t>受取手形</t>
        </is>
      </c>
      <c r="E9" s="90" t="inlineStr">
        <is>
          <t>○</t>
        </is>
      </c>
    </row>
    <row r="10">
      <c r="B10" s="221" t="n"/>
      <c r="C10" s="19" t="n">
        <v>107</v>
      </c>
      <c r="D10" s="194" t="inlineStr">
        <is>
          <t>売掛金</t>
        </is>
      </c>
      <c r="E10" s="90" t="inlineStr">
        <is>
          <t>○</t>
        </is>
      </c>
      <c r="F10" s="90" t="n"/>
      <c r="G10" s="90" t="inlineStr">
        <is>
          <t>○</t>
        </is>
      </c>
    </row>
    <row r="11">
      <c r="B11" s="221" t="n"/>
      <c r="C11" s="19" t="n">
        <v>108</v>
      </c>
      <c r="D11" s="194" t="inlineStr">
        <is>
          <t>有価証券</t>
        </is>
      </c>
      <c r="E11" s="90" t="inlineStr">
        <is>
          <t>○</t>
        </is>
      </c>
    </row>
    <row r="12">
      <c r="B12" s="221" t="n"/>
      <c r="C12" s="19" t="n">
        <v>109</v>
      </c>
      <c r="D12" s="194" t="inlineStr">
        <is>
          <t>棚卸資産</t>
        </is>
      </c>
      <c r="E12" s="90" t="inlineStr">
        <is>
          <t>○</t>
        </is>
      </c>
      <c r="F12" s="90" t="n"/>
      <c r="G12" s="90" t="inlineStr">
        <is>
          <t>○</t>
        </is>
      </c>
    </row>
    <row r="13">
      <c r="B13" s="221" t="n"/>
      <c r="C13" s="19" t="n">
        <v>110</v>
      </c>
      <c r="D13" s="194" t="inlineStr">
        <is>
          <t>前払金</t>
        </is>
      </c>
      <c r="E13" s="90" t="inlineStr">
        <is>
          <t>○</t>
        </is>
      </c>
      <c r="F13" s="90" t="n"/>
      <c r="G13" s="90" t="n"/>
    </row>
    <row r="14">
      <c r="B14" s="221" t="n"/>
      <c r="C14" s="19" t="n">
        <v>111</v>
      </c>
      <c r="D14" s="194" t="inlineStr">
        <is>
          <t>貸付金</t>
        </is>
      </c>
      <c r="E14" s="90" t="inlineStr">
        <is>
          <t>○</t>
        </is>
      </c>
    </row>
    <row r="15">
      <c r="B15" s="221" t="n"/>
      <c r="C15" s="19" t="n">
        <v>112</v>
      </c>
      <c r="D15" s="182" t="inlineStr">
        <is>
          <t>未収入金</t>
        </is>
      </c>
      <c r="F15" s="90" t="n"/>
      <c r="G15" s="90" t="inlineStr">
        <is>
          <t>○</t>
        </is>
      </c>
    </row>
    <row r="16">
      <c r="B16" s="221" t="n"/>
      <c r="C16" s="19" t="n">
        <v>113</v>
      </c>
      <c r="D16" s="183" t="inlineStr">
        <is>
          <t>仮払源泉税</t>
        </is>
      </c>
      <c r="F16" s="90" t="n"/>
      <c r="G16" s="90" t="inlineStr">
        <is>
          <t>○</t>
        </is>
      </c>
    </row>
    <row r="17">
      <c r="B17" s="221" t="n"/>
      <c r="C17" s="19" t="n">
        <v>114</v>
      </c>
      <c r="D17" s="182" t="inlineStr">
        <is>
          <t>リサイクル預託金</t>
        </is>
      </c>
      <c r="F17" s="90" t="n"/>
      <c r="G17" s="90" t="inlineStr">
        <is>
          <t>○</t>
        </is>
      </c>
    </row>
    <row r="18">
      <c r="B18" s="221" t="n"/>
      <c r="C18" s="19" t="n">
        <v>121</v>
      </c>
      <c r="D18" s="194" t="inlineStr">
        <is>
          <t>建物</t>
        </is>
      </c>
      <c r="E18" s="90" t="inlineStr">
        <is>
          <t>○</t>
        </is>
      </c>
      <c r="F18" s="90" t="n"/>
      <c r="G18" s="90" t="inlineStr">
        <is>
          <t>○</t>
        </is>
      </c>
    </row>
    <row r="19">
      <c r="B19" s="221" t="n"/>
      <c r="C19" s="19" t="n">
        <v>122</v>
      </c>
      <c r="D19" s="194" t="inlineStr">
        <is>
          <t>建物付属設備</t>
        </is>
      </c>
      <c r="E19" s="90" t="inlineStr">
        <is>
          <t>○</t>
        </is>
      </c>
      <c r="F19" s="90" t="n"/>
      <c r="G19" s="90" t="inlineStr">
        <is>
          <t>○</t>
        </is>
      </c>
    </row>
    <row r="20">
      <c r="B20" s="221" t="n"/>
      <c r="C20" s="19" t="n">
        <v>123</v>
      </c>
      <c r="D20" s="194" t="inlineStr">
        <is>
          <t>機械装置</t>
        </is>
      </c>
      <c r="E20" s="90" t="inlineStr">
        <is>
          <t>○</t>
        </is>
      </c>
    </row>
    <row r="21">
      <c r="B21" s="221" t="n"/>
      <c r="C21" s="19" t="n">
        <v>124</v>
      </c>
      <c r="D21" s="194" t="inlineStr">
        <is>
          <t>車両運搬具</t>
        </is>
      </c>
      <c r="E21" s="90" t="inlineStr">
        <is>
          <t>○</t>
        </is>
      </c>
      <c r="G21" s="90" t="inlineStr">
        <is>
          <t>○</t>
        </is>
      </c>
    </row>
    <row r="22">
      <c r="B22" s="221" t="n"/>
      <c r="C22" s="19" t="n">
        <v>125</v>
      </c>
      <c r="D22" s="194" t="inlineStr">
        <is>
          <t>工具器具備品</t>
        </is>
      </c>
      <c r="E22" s="90" t="inlineStr">
        <is>
          <t>○</t>
        </is>
      </c>
      <c r="F22" s="90" t="n"/>
      <c r="G22" s="90" t="inlineStr">
        <is>
          <t>○</t>
        </is>
      </c>
    </row>
    <row r="23">
      <c r="B23" s="221" t="n"/>
      <c r="C23" s="19" t="n">
        <v>126</v>
      </c>
      <c r="D23" s="194" t="inlineStr">
        <is>
          <t>土地</t>
        </is>
      </c>
      <c r="E23" s="90" t="inlineStr">
        <is>
          <t>○</t>
        </is>
      </c>
      <c r="F23" s="90" t="n"/>
      <c r="G23" s="90" t="inlineStr">
        <is>
          <t>○</t>
        </is>
      </c>
    </row>
    <row r="24">
      <c r="B24" s="221" t="n"/>
      <c r="C24" s="19" t="n">
        <v>127</v>
      </c>
      <c r="D24" s="185" t="inlineStr">
        <is>
          <t>構築物</t>
        </is>
      </c>
      <c r="G24" s="90" t="inlineStr">
        <is>
          <t>○</t>
        </is>
      </c>
    </row>
    <row r="25" ht="14.25" customHeight="1" s="214" thickBot="1">
      <c r="B25" s="222" t="n"/>
      <c r="C25" s="20" t="n">
        <v>128</v>
      </c>
      <c r="D25" s="184" t="inlineStr">
        <is>
          <t>その他投資</t>
        </is>
      </c>
      <c r="F25" s="90" t="n"/>
      <c r="G25" s="90" t="inlineStr">
        <is>
          <t>○</t>
        </is>
      </c>
    </row>
    <row r="26">
      <c r="B26" s="224" t="inlineStr">
        <is>
          <t>負債</t>
        </is>
      </c>
      <c r="C26" s="21" t="n">
        <v>201</v>
      </c>
      <c r="D26" s="195" t="inlineStr">
        <is>
          <t>支払手形</t>
        </is>
      </c>
      <c r="E26" s="90" t="inlineStr">
        <is>
          <t>○</t>
        </is>
      </c>
    </row>
    <row r="27">
      <c r="B27" s="221" t="n"/>
      <c r="C27" s="22" t="n">
        <v>202</v>
      </c>
      <c r="D27" s="194" t="inlineStr">
        <is>
          <t>買掛金</t>
        </is>
      </c>
      <c r="E27" s="90" t="inlineStr">
        <is>
          <t>○</t>
        </is>
      </c>
      <c r="G27" s="90" t="inlineStr">
        <is>
          <t>○</t>
        </is>
      </c>
    </row>
    <row r="28">
      <c r="B28" s="221" t="n"/>
      <c r="C28" s="22" t="n">
        <v>203</v>
      </c>
      <c r="D28" s="194" t="inlineStr">
        <is>
          <t>借入金</t>
        </is>
      </c>
      <c r="E28" s="90" t="inlineStr">
        <is>
          <t>○</t>
        </is>
      </c>
      <c r="G28" s="90" t="inlineStr">
        <is>
          <t>○</t>
        </is>
      </c>
    </row>
    <row r="29">
      <c r="B29" s="221" t="n"/>
      <c r="C29" s="22" t="n">
        <v>204</v>
      </c>
      <c r="D29" s="194" t="inlineStr">
        <is>
          <t>未払金</t>
        </is>
      </c>
      <c r="E29" s="90" t="inlineStr">
        <is>
          <t>○</t>
        </is>
      </c>
      <c r="F29" s="90" t="n"/>
      <c r="G29" s="90" t="inlineStr">
        <is>
          <t>○</t>
        </is>
      </c>
    </row>
    <row r="30">
      <c r="B30" s="221" t="n"/>
      <c r="C30" s="22" t="n">
        <v>205</v>
      </c>
      <c r="D30" s="194" t="inlineStr">
        <is>
          <t>前受金</t>
        </is>
      </c>
      <c r="E30" s="90" t="inlineStr">
        <is>
          <t>○</t>
        </is>
      </c>
      <c r="F30" s="90" t="n"/>
      <c r="G30" s="90" t="inlineStr">
        <is>
          <t>○</t>
        </is>
      </c>
    </row>
    <row r="31">
      <c r="B31" s="221" t="n"/>
      <c r="C31" s="22" t="n">
        <v>206</v>
      </c>
      <c r="D31" s="194" t="inlineStr">
        <is>
          <t>預り金</t>
        </is>
      </c>
      <c r="E31" s="90" t="inlineStr">
        <is>
          <t>○</t>
        </is>
      </c>
    </row>
    <row r="32">
      <c r="B32" s="221" t="n"/>
      <c r="C32" s="22" t="n">
        <v>207</v>
      </c>
      <c r="D32" s="194" t="inlineStr">
        <is>
          <t>貸倒引当金</t>
        </is>
      </c>
      <c r="E32" s="90" t="inlineStr">
        <is>
          <t>○</t>
        </is>
      </c>
    </row>
    <row r="33">
      <c r="B33" s="221" t="n"/>
      <c r="C33" s="22" t="n">
        <v>208</v>
      </c>
      <c r="D33" s="182" t="inlineStr">
        <is>
          <t>その他負債</t>
        </is>
      </c>
      <c r="F33" s="90" t="n"/>
      <c r="G33" s="90" t="inlineStr">
        <is>
          <t>○</t>
        </is>
      </c>
    </row>
    <row r="34" ht="14.25" customHeight="1" s="214" thickBot="1">
      <c r="B34" s="222" t="n"/>
      <c r="C34" s="23" t="n">
        <v>209</v>
      </c>
      <c r="D34" s="184" t="inlineStr">
        <is>
          <t>共有者持分</t>
        </is>
      </c>
    </row>
    <row r="35">
      <c r="B35" s="223" t="inlineStr">
        <is>
          <t>資本</t>
        </is>
      </c>
      <c r="C35" s="24" t="n">
        <v>301</v>
      </c>
      <c r="D35" s="195" t="inlineStr">
        <is>
          <t>事業主勘定</t>
        </is>
      </c>
      <c r="E35" s="90" t="inlineStr">
        <is>
          <t>○</t>
        </is>
      </c>
      <c r="F35" s="90" t="n"/>
      <c r="G35" s="90" t="inlineStr">
        <is>
          <t>○</t>
        </is>
      </c>
    </row>
    <row r="36">
      <c r="B36" s="221" t="n"/>
      <c r="C36" s="25" t="n">
        <v>302</v>
      </c>
      <c r="D36" s="194" t="inlineStr">
        <is>
          <t>元入金</t>
        </is>
      </c>
      <c r="E36" s="90" t="inlineStr">
        <is>
          <t>○</t>
        </is>
      </c>
      <c r="F36" s="90" t="n"/>
      <c r="G36" s="90" t="inlineStr">
        <is>
          <t>○</t>
        </is>
      </c>
    </row>
    <row r="37" ht="14.25" customHeight="1" s="214" thickBot="1">
      <c r="B37" s="221" t="n"/>
      <c r="C37" s="26" t="n">
        <v>303</v>
      </c>
      <c r="D37" s="184" t="inlineStr"/>
    </row>
    <row r="38">
      <c r="B38" s="225" t="inlineStr">
        <is>
          <t>収益</t>
        </is>
      </c>
      <c r="C38" s="27" t="n">
        <v>401</v>
      </c>
      <c r="D38" s="195" t="inlineStr">
        <is>
          <t>売上(報酬）</t>
        </is>
      </c>
      <c r="E38" s="90" t="inlineStr">
        <is>
          <t>○</t>
        </is>
      </c>
      <c r="F38" s="90" t="n"/>
      <c r="G38" s="90" t="inlineStr">
        <is>
          <t>○</t>
        </is>
      </c>
    </row>
    <row r="39">
      <c r="B39" s="221" t="n"/>
      <c r="C39" s="28" t="n">
        <v>402</v>
      </c>
      <c r="D39" s="194" t="inlineStr">
        <is>
          <t>雑収入</t>
        </is>
      </c>
      <c r="E39" s="90" t="inlineStr">
        <is>
          <t>○</t>
        </is>
      </c>
      <c r="F39" s="90" t="n"/>
      <c r="G39" s="90" t="inlineStr">
        <is>
          <t>○</t>
        </is>
      </c>
    </row>
    <row r="40" ht="14.25" customHeight="1" s="214" thickBot="1">
      <c r="B40" s="222" t="n"/>
      <c r="C40" s="29" t="n">
        <v>403</v>
      </c>
      <c r="D40" s="184" t="inlineStr">
        <is>
          <t>雑収入(車両売却)</t>
        </is>
      </c>
      <c r="G40" s="90" t="n"/>
    </row>
    <row r="41">
      <c r="B41" s="226" t="inlineStr">
        <is>
          <t>費用</t>
        </is>
      </c>
      <c r="C41" s="30" t="n">
        <v>501</v>
      </c>
      <c r="D41" s="195" t="inlineStr">
        <is>
          <t>期首棚卸高</t>
        </is>
      </c>
      <c r="E41" s="90" t="inlineStr">
        <is>
          <t>○</t>
        </is>
      </c>
    </row>
    <row r="42">
      <c r="B42" s="227" t="n"/>
      <c r="C42" s="31" t="n">
        <v>502</v>
      </c>
      <c r="D42" s="194" t="inlineStr">
        <is>
          <t>仕入</t>
        </is>
      </c>
      <c r="E42" s="90" t="inlineStr">
        <is>
          <t>○</t>
        </is>
      </c>
      <c r="G42" s="90" t="inlineStr">
        <is>
          <t>○</t>
        </is>
      </c>
    </row>
    <row r="43">
      <c r="B43" s="227" t="n"/>
      <c r="C43" s="31" t="n">
        <v>503</v>
      </c>
      <c r="D43" s="194" t="inlineStr">
        <is>
          <t>製造原価</t>
        </is>
      </c>
      <c r="E43" s="90" t="inlineStr">
        <is>
          <t>○</t>
        </is>
      </c>
    </row>
    <row r="44">
      <c r="B44" s="227" t="n"/>
      <c r="C44" s="31" t="n">
        <v>504</v>
      </c>
      <c r="D44" s="194" t="inlineStr">
        <is>
          <t>期末棚卸高</t>
        </is>
      </c>
      <c r="E44" s="90" t="inlineStr">
        <is>
          <t>○</t>
        </is>
      </c>
    </row>
    <row r="45">
      <c r="B45" s="227" t="n"/>
      <c r="C45" s="31" t="n">
        <v>505</v>
      </c>
      <c r="D45" s="194" t="inlineStr">
        <is>
          <t>租税公課</t>
        </is>
      </c>
      <c r="E45" s="90" t="inlineStr">
        <is>
          <t>○</t>
        </is>
      </c>
      <c r="F45" s="90" t="n"/>
      <c r="G45" s="90" t="inlineStr">
        <is>
          <t>○</t>
        </is>
      </c>
    </row>
    <row r="46">
      <c r="B46" s="227" t="n"/>
      <c r="C46" s="31" t="n">
        <v>506</v>
      </c>
      <c r="D46" s="194" t="inlineStr">
        <is>
          <t>荷造運賃</t>
        </is>
      </c>
      <c r="E46" s="90" t="inlineStr">
        <is>
          <t>○</t>
        </is>
      </c>
      <c r="F46" s="90" t="n"/>
      <c r="G46" s="90" t="inlineStr">
        <is>
          <t>○</t>
        </is>
      </c>
    </row>
    <row r="47">
      <c r="B47" s="227" t="n"/>
      <c r="C47" s="31" t="n">
        <v>507</v>
      </c>
      <c r="D47" s="194" t="inlineStr">
        <is>
          <t>水道光熱費</t>
        </is>
      </c>
      <c r="E47" s="90" t="inlineStr">
        <is>
          <t>○</t>
        </is>
      </c>
      <c r="F47" s="90" t="n"/>
      <c r="G47" s="90" t="inlineStr">
        <is>
          <t>○</t>
        </is>
      </c>
    </row>
    <row r="48">
      <c r="B48" s="227" t="n"/>
      <c r="C48" s="31" t="n">
        <v>508</v>
      </c>
      <c r="D48" s="194" t="inlineStr">
        <is>
          <t>旅費交通費</t>
        </is>
      </c>
      <c r="E48" s="90" t="inlineStr">
        <is>
          <t>○</t>
        </is>
      </c>
      <c r="F48" s="90" t="n"/>
      <c r="G48" s="90" t="inlineStr">
        <is>
          <t>○</t>
        </is>
      </c>
    </row>
    <row r="49">
      <c r="B49" s="227" t="n"/>
      <c r="C49" s="31" t="n">
        <v>509</v>
      </c>
      <c r="D49" s="194" t="inlineStr">
        <is>
          <t>通信費</t>
        </is>
      </c>
      <c r="E49" s="90" t="inlineStr">
        <is>
          <t>○</t>
        </is>
      </c>
      <c r="F49" s="90" t="n"/>
      <c r="G49" s="90" t="inlineStr">
        <is>
          <t>○</t>
        </is>
      </c>
    </row>
    <row r="50">
      <c r="B50" s="227" t="n"/>
      <c r="C50" s="31" t="n">
        <v>510</v>
      </c>
      <c r="D50" s="194" t="inlineStr">
        <is>
          <t>広告宣伝費</t>
        </is>
      </c>
      <c r="E50" s="90" t="inlineStr">
        <is>
          <t>○</t>
        </is>
      </c>
      <c r="F50" s="90" t="n"/>
      <c r="G50" s="90" t="inlineStr">
        <is>
          <t>○</t>
        </is>
      </c>
    </row>
    <row r="51">
      <c r="B51" s="227" t="n"/>
      <c r="C51" s="31" t="n">
        <v>511</v>
      </c>
      <c r="D51" s="194" t="inlineStr">
        <is>
          <t>接待交際費</t>
        </is>
      </c>
      <c r="E51" s="90" t="inlineStr">
        <is>
          <t>○</t>
        </is>
      </c>
      <c r="F51" s="90" t="n"/>
      <c r="G51" s="90" t="inlineStr">
        <is>
          <t>○</t>
        </is>
      </c>
    </row>
    <row r="52">
      <c r="B52" s="227" t="n"/>
      <c r="C52" s="31" t="n">
        <v>512</v>
      </c>
      <c r="D52" s="194" t="inlineStr">
        <is>
          <t>損害保険料</t>
        </is>
      </c>
      <c r="E52" s="90" t="inlineStr">
        <is>
          <t>○</t>
        </is>
      </c>
      <c r="F52" s="90" t="n"/>
      <c r="G52" s="90" t="inlineStr">
        <is>
          <t>○</t>
        </is>
      </c>
    </row>
    <row r="53">
      <c r="B53" s="227" t="n"/>
      <c r="C53" s="31" t="n">
        <v>513</v>
      </c>
      <c r="D53" s="194" t="inlineStr">
        <is>
          <t>修繕費</t>
        </is>
      </c>
      <c r="E53" s="90" t="inlineStr">
        <is>
          <t>○</t>
        </is>
      </c>
      <c r="F53" s="90" t="n"/>
      <c r="G53" s="90" t="inlineStr">
        <is>
          <t>○</t>
        </is>
      </c>
    </row>
    <row r="54">
      <c r="B54" s="227" t="n"/>
      <c r="C54" s="31" t="n">
        <v>514</v>
      </c>
      <c r="D54" s="194" t="inlineStr">
        <is>
          <t>消耗品費</t>
        </is>
      </c>
      <c r="E54" s="90" t="inlineStr">
        <is>
          <t>○</t>
        </is>
      </c>
      <c r="F54" s="90" t="n"/>
      <c r="G54" s="90" t="inlineStr">
        <is>
          <t>○</t>
        </is>
      </c>
    </row>
    <row r="55">
      <c r="B55" s="227" t="n"/>
      <c r="C55" s="31" t="n">
        <v>515</v>
      </c>
      <c r="D55" s="194" t="inlineStr">
        <is>
          <t>減価償却費</t>
        </is>
      </c>
      <c r="E55" s="90" t="inlineStr">
        <is>
          <t>○</t>
        </is>
      </c>
      <c r="F55" s="90" t="n"/>
      <c r="G55" s="90" t="inlineStr">
        <is>
          <t>○</t>
        </is>
      </c>
    </row>
    <row r="56">
      <c r="B56" s="227" t="n"/>
      <c r="C56" s="31" t="n">
        <v>516</v>
      </c>
      <c r="D56" s="194" t="inlineStr">
        <is>
          <t>福利厚生費</t>
        </is>
      </c>
      <c r="E56" s="90" t="inlineStr">
        <is>
          <t>○</t>
        </is>
      </c>
    </row>
    <row r="57">
      <c r="B57" s="227" t="n"/>
      <c r="C57" s="31" t="n">
        <v>517</v>
      </c>
      <c r="D57" s="194" t="inlineStr">
        <is>
          <t>給料賃金</t>
        </is>
      </c>
      <c r="E57" s="90" t="inlineStr">
        <is>
          <t>○</t>
        </is>
      </c>
    </row>
    <row r="58">
      <c r="B58" s="227" t="n"/>
      <c r="C58" s="31" t="n">
        <v>518</v>
      </c>
      <c r="D58" s="194" t="inlineStr">
        <is>
          <t>外注工賃</t>
        </is>
      </c>
      <c r="E58" s="90" t="inlineStr">
        <is>
          <t>○</t>
        </is>
      </c>
    </row>
    <row r="59">
      <c r="B59" s="227" t="n"/>
      <c r="C59" s="31" t="n">
        <v>519</v>
      </c>
      <c r="D59" s="194" t="inlineStr">
        <is>
          <t>利子割引料</t>
        </is>
      </c>
      <c r="E59" s="90" t="inlineStr">
        <is>
          <t>○</t>
        </is>
      </c>
      <c r="G59" s="90" t="inlineStr">
        <is>
          <t>○</t>
        </is>
      </c>
    </row>
    <row r="60">
      <c r="B60" s="227" t="n"/>
      <c r="C60" s="31" t="n">
        <v>520</v>
      </c>
      <c r="D60" s="194" t="inlineStr">
        <is>
          <t>地代家賃</t>
        </is>
      </c>
      <c r="E60" s="90" t="inlineStr">
        <is>
          <t>○</t>
        </is>
      </c>
      <c r="F60" s="90" t="n"/>
      <c r="G60" s="90" t="inlineStr">
        <is>
          <t>○</t>
        </is>
      </c>
    </row>
    <row r="61">
      <c r="B61" s="227" t="n"/>
      <c r="C61" s="31" t="n">
        <v>521</v>
      </c>
      <c r="D61" s="194" t="inlineStr">
        <is>
          <t>貸倒金</t>
        </is>
      </c>
      <c r="E61" s="90" t="inlineStr">
        <is>
          <t>○</t>
        </is>
      </c>
    </row>
    <row r="62">
      <c r="B62" s="227" t="n"/>
      <c r="C62" s="31" t="n">
        <v>522</v>
      </c>
      <c r="D62" s="182" t="inlineStr">
        <is>
          <t>管理費</t>
        </is>
      </c>
      <c r="F62" s="90" t="n"/>
      <c r="G62" s="90" t="inlineStr">
        <is>
          <t>○</t>
        </is>
      </c>
    </row>
    <row r="63">
      <c r="B63" s="227" t="n"/>
      <c r="C63" s="31" t="n">
        <v>523</v>
      </c>
      <c r="D63" s="182" t="inlineStr">
        <is>
          <t>車両費</t>
        </is>
      </c>
      <c r="F63" s="90" t="n"/>
      <c r="G63" s="90" t="inlineStr">
        <is>
          <t>○</t>
        </is>
      </c>
    </row>
    <row r="64">
      <c r="B64" s="227" t="n"/>
      <c r="C64" s="31" t="n">
        <v>524</v>
      </c>
      <c r="D64" s="182" t="inlineStr">
        <is>
          <t>新聞図書費</t>
        </is>
      </c>
      <c r="F64" s="90" t="n"/>
      <c r="G64" s="90" t="inlineStr">
        <is>
          <t>○</t>
        </is>
      </c>
    </row>
    <row r="65">
      <c r="B65" s="227" t="n"/>
      <c r="C65" s="31" t="n">
        <v>525</v>
      </c>
      <c r="D65" s="185" t="inlineStr">
        <is>
          <t>リース・賃借料</t>
        </is>
      </c>
      <c r="F65" s="90" t="n"/>
      <c r="G65" s="90" t="inlineStr">
        <is>
          <t>○</t>
        </is>
      </c>
    </row>
    <row r="66">
      <c r="B66" s="227" t="n"/>
      <c r="C66" s="31" t="n">
        <v>526</v>
      </c>
      <c r="D66" s="194" t="inlineStr">
        <is>
          <t>専従者給与</t>
        </is>
      </c>
      <c r="E66" s="90" t="inlineStr">
        <is>
          <t>○</t>
        </is>
      </c>
      <c r="G66" s="90" t="inlineStr">
        <is>
          <t>○</t>
        </is>
      </c>
    </row>
    <row r="67" ht="14.25" customHeight="1" s="214" thickBot="1">
      <c r="B67" s="228" t="n"/>
      <c r="C67" s="32" t="n">
        <v>530</v>
      </c>
      <c r="D67" s="196" t="inlineStr">
        <is>
          <t>雑費</t>
        </is>
      </c>
      <c r="E67" s="90" t="inlineStr">
        <is>
          <t>○</t>
        </is>
      </c>
      <c r="F67" s="90" t="n"/>
      <c r="G67" s="90" t="inlineStr">
        <is>
          <t>○</t>
        </is>
      </c>
    </row>
  </sheetData>
  <mergeCells count="5">
    <mergeCell ref="B4:B25"/>
    <mergeCell ref="B35:B37"/>
    <mergeCell ref="B26:B34"/>
    <mergeCell ref="B38:B40"/>
    <mergeCell ref="B41:B67"/>
  </mergeCells>
  <pageMargins left="0.16" right="0.4" top="0.54" bottom="0.31" header="0.5118110236220472" footer="0.5118110236220472"/>
  <pageSetup orientation="portrait" paperSize="9" scale="76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I12" sqref="I12"/>
    </sheetView>
  </sheetViews>
  <sheetFormatPr baseColWidth="8" defaultRowHeight="13.5"/>
  <cols>
    <col width="4.75" customWidth="1" style="214" min="1" max="1"/>
    <col width="22.25" customWidth="1" style="214" min="2" max="2"/>
    <col width="6.375" customWidth="1" style="90" min="3" max="3"/>
    <col width="4.125" customWidth="1" style="90" min="4" max="4"/>
    <col width="13.625" customWidth="1" style="107" min="5" max="6"/>
    <col hidden="1" width="10.875" customWidth="1" style="107" min="7" max="7"/>
    <col width="5.5" customWidth="1" style="90" min="9" max="9"/>
    <col width="6.375" customWidth="1" style="90" min="10" max="10"/>
    <col width="5.625" customWidth="1" style="107" min="11" max="11"/>
    <col hidden="1" width="10.875" customWidth="1" style="107" min="12" max="12"/>
    <col width="13.625" customWidth="1" style="265" min="13" max="13"/>
    <col width="8.75" customWidth="1" style="107" min="14" max="14"/>
    <col width="13.625" customWidth="1" style="107" min="15" max="15"/>
    <col width="13.625" customWidth="1" style="214" min="16" max="16"/>
  </cols>
  <sheetData>
    <row r="1" ht="21" customHeight="1" s="214">
      <c r="A1" s="104" t="inlineStr">
        <is>
          <t>簡易減価償却・固定資産台帳</t>
        </is>
      </c>
      <c r="B1" s="105" t="n"/>
      <c r="D1" s="106" t="inlineStr">
        <is>
          <t>平成19（2007）年4月1日以降に取得した減価償却資産、定額法のみ</t>
        </is>
      </c>
      <c r="K1" s="90" t="n"/>
      <c r="M1" s="108" t="inlineStr">
        <is>
          <t>（償却率を使用する）</t>
        </is>
      </c>
      <c r="N1" s="265" t="n"/>
      <c r="P1" s="107" t="n"/>
    </row>
    <row r="2" ht="14.25" customHeight="1" s="214" thickBot="1">
      <c r="K2" s="90" t="n"/>
      <c r="M2" s="107" t="n"/>
      <c r="N2" s="265" t="n"/>
      <c r="P2" s="107" t="n"/>
    </row>
    <row r="3" ht="40.5" customHeight="1" s="214">
      <c r="A3" s="110" t="inlineStr">
        <is>
          <t>No.</t>
        </is>
      </c>
      <c r="B3" s="111" t="inlineStr">
        <is>
          <t>減価償却資産の名称</t>
        </is>
      </c>
      <c r="C3" s="111" t="inlineStr">
        <is>
          <t>取得年</t>
        </is>
      </c>
      <c r="D3" s="111" t="inlineStr">
        <is>
          <t>月</t>
        </is>
      </c>
      <c r="E3" s="112" t="inlineStr">
        <is>
          <t>取得価額</t>
        </is>
      </c>
      <c r="F3" s="113" t="inlineStr">
        <is>
          <t>前年末
未償却残高</t>
        </is>
      </c>
      <c r="G3" s="113" t="inlineStr">
        <is>
          <t>未償却残高</t>
        </is>
      </c>
      <c r="H3" s="111" t="inlineStr">
        <is>
          <t>償却方法</t>
        </is>
      </c>
      <c r="I3" s="114" t="inlineStr">
        <is>
          <t>耐用
年数</t>
        </is>
      </c>
      <c r="J3" s="115" t="inlineStr">
        <is>
          <t>償却率</t>
        </is>
      </c>
      <c r="K3" s="114" t="inlineStr">
        <is>
          <t>償却月数/12</t>
        </is>
      </c>
      <c r="L3" s="113" t="inlineStr">
        <is>
          <t>普通償却費
(仮）</t>
        </is>
      </c>
      <c r="M3" s="112" t="inlineStr">
        <is>
          <t>普通償却費</t>
        </is>
      </c>
      <c r="N3" s="266" t="inlineStr">
        <is>
          <t>経費
割合（％）</t>
        </is>
      </c>
      <c r="O3" s="112" t="inlineStr">
        <is>
          <t>経費算入額</t>
        </is>
      </c>
      <c r="P3" s="117" t="inlineStr">
        <is>
          <t>未償却残高</t>
        </is>
      </c>
    </row>
    <row r="4" ht="27" customHeight="1" s="214">
      <c r="A4" s="118" t="n">
        <v>1</v>
      </c>
      <c r="B4" s="119" t="inlineStr">
        <is>
          <t>デミオ(車両)</t>
        </is>
      </c>
      <c r="C4" s="120" t="inlineStr">
        <is>
          <t>H27</t>
        </is>
      </c>
      <c r="D4" s="120" t="n">
        <v>6</v>
      </c>
      <c r="E4" s="121" t="n">
        <v>2000000</v>
      </c>
      <c r="F4" s="121" t="n">
        <v>1</v>
      </c>
      <c r="G4" s="122">
        <f>IF(F4="",E4,F4)</f>
        <v/>
      </c>
      <c r="H4" s="123" t="inlineStr">
        <is>
          <t>定額法</t>
        </is>
      </c>
      <c r="I4" s="120" t="n">
        <v>6</v>
      </c>
      <c r="J4" s="123">
        <f>IF(I4="","",VLOOKUP(I4,$A$32:$B$80,2))</f>
        <v/>
      </c>
      <c r="K4" s="120" t="n">
        <v>12</v>
      </c>
      <c r="L4" s="122">
        <f>IF(I4="",0,+ROUNDUP(E4*J4*K4/12,0))</f>
        <v/>
      </c>
      <c r="M4" s="124">
        <f>IF(G4=0,0,IF((G4-L4)&gt;=1,L4,(G4-1)))</f>
        <v/>
      </c>
      <c r="N4" s="267" t="n">
        <v>0.5</v>
      </c>
      <c r="O4" s="124">
        <f>+ROUNDUP(M4*N4,0)</f>
        <v/>
      </c>
      <c r="P4" s="126">
        <f>+G4-M4</f>
        <v/>
      </c>
    </row>
    <row r="5" ht="27" customHeight="1" s="214">
      <c r="A5" s="118" t="n">
        <v>2</v>
      </c>
      <c r="B5" s="119" t="inlineStr">
        <is>
          <t>川崎市麻生区白鳥 自宅</t>
        </is>
      </c>
      <c r="C5" s="120" t="inlineStr">
        <is>
          <t>H28</t>
        </is>
      </c>
      <c r="D5" s="120" t="n">
        <v>4</v>
      </c>
      <c r="E5" s="121" t="n">
        <v>25614216</v>
      </c>
      <c r="F5" s="121" t="n">
        <v>13983214</v>
      </c>
      <c r="G5" s="122">
        <f>IF(F5="",E5,F5)</f>
        <v/>
      </c>
      <c r="H5" s="123" t="inlineStr">
        <is>
          <t>定額法</t>
        </is>
      </c>
      <c r="I5" s="120" t="n">
        <v>22</v>
      </c>
      <c r="J5" s="123">
        <f>IF(I5="","",VLOOKUP(I5,$A$32:$B$80,2))</f>
        <v/>
      </c>
      <c r="K5" s="120" t="n">
        <v>12</v>
      </c>
      <c r="L5" s="122">
        <f>IF(I5="",0,+ROUNDUP(E5*J5*K5/12,0))</f>
        <v/>
      </c>
      <c r="M5" s="124">
        <f>IF(G5=0,0,IF((G5-L5)&gt;=1,L5,(G5-1)))</f>
        <v/>
      </c>
      <c r="N5" s="267" t="n">
        <v>0.3</v>
      </c>
      <c r="O5" s="124">
        <f>+ROUNDUP(M5*N5,0)</f>
        <v/>
      </c>
      <c r="P5" s="126">
        <f>+G5-M5</f>
        <v/>
      </c>
    </row>
    <row r="6" ht="27" customHeight="1" s="214">
      <c r="A6" s="118" t="n">
        <v>3</v>
      </c>
      <c r="B6" s="119" t="inlineStr">
        <is>
          <t>庭、駐車場など外構工事</t>
        </is>
      </c>
      <c r="C6" s="120" t="inlineStr">
        <is>
          <t>H28</t>
        </is>
      </c>
      <c r="D6" s="120" t="n">
        <v>8</v>
      </c>
      <c r="E6" s="121" t="n">
        <v>2462400</v>
      </c>
      <c r="F6" s="121" t="n">
        <v>1303020</v>
      </c>
      <c r="G6" s="122">
        <f>IF(F6="",E6,F6)</f>
        <v/>
      </c>
      <c r="H6" s="123" t="inlineStr">
        <is>
          <t>定額法</t>
        </is>
      </c>
      <c r="I6" s="120" t="n">
        <v>20</v>
      </c>
      <c r="J6" s="123">
        <f>IF(I6="","",VLOOKUP(I6,$A$32:$B$80,2))</f>
        <v/>
      </c>
      <c r="K6" s="120" t="n">
        <v>12</v>
      </c>
      <c r="L6" s="122">
        <f>IF(I6="",0,+ROUNDUP(E6*J6*K6/12,0))</f>
        <v/>
      </c>
      <c r="M6" s="124">
        <f>IF(G6=0,0,IF((G6-L6)&gt;=1,L6,(G6-1)))</f>
        <v/>
      </c>
      <c r="N6" s="267" t="n">
        <v>0.3</v>
      </c>
      <c r="O6" s="124">
        <f>+ROUNDUP(M6*N6,0)</f>
        <v/>
      </c>
      <c r="P6" s="126">
        <f>+G6-M6</f>
        <v/>
      </c>
    </row>
    <row r="7" ht="27" customHeight="1" s="214">
      <c r="A7" s="118" t="n">
        <v>4</v>
      </c>
      <c r="B7" s="119" t="inlineStr">
        <is>
          <t>シエンタ(車両)</t>
        </is>
      </c>
      <c r="C7" s="120" t="inlineStr">
        <is>
          <t>R8</t>
        </is>
      </c>
      <c r="D7" s="120" t="n">
        <v>1</v>
      </c>
      <c r="E7" s="121" t="n">
        <v>3057480</v>
      </c>
      <c r="F7" s="121" t="n"/>
      <c r="G7" s="122">
        <f>IF(F7="",E7,F7)</f>
        <v/>
      </c>
      <c r="H7" s="123" t="inlineStr">
        <is>
          <t>定額法</t>
        </is>
      </c>
      <c r="I7" s="120" t="n">
        <v>6</v>
      </c>
      <c r="J7" s="123">
        <f>IF(I7="","",VLOOKUP(I7,$A$32:$B$80,2))</f>
        <v/>
      </c>
      <c r="K7" s="120" t="n">
        <v>12</v>
      </c>
      <c r="L7" s="122">
        <f>IF(I7="",0,+ROUNDUP(E7*J7*K7/12,0))</f>
        <v/>
      </c>
      <c r="M7" s="124">
        <f>IF(G7=0,0,IF((G7-L7)&gt;=1,L7,(G7-1)))</f>
        <v/>
      </c>
      <c r="N7" s="267" t="n">
        <v>0.5</v>
      </c>
      <c r="O7" s="124">
        <f>+ROUNDUP(M7*N7,0)</f>
        <v/>
      </c>
      <c r="P7" s="126">
        <f>+G7-M7</f>
        <v/>
      </c>
    </row>
    <row r="8" ht="27" customHeight="1" s="214">
      <c r="A8" s="118" t="n">
        <v>5</v>
      </c>
      <c r="B8" s="119" t="n"/>
      <c r="C8" s="120" t="n"/>
      <c r="D8" s="120" t="n"/>
      <c r="E8" s="121" t="n"/>
      <c r="F8" s="121" t="n"/>
      <c r="G8" s="122">
        <f>IF(F8="",E8,F8)</f>
        <v/>
      </c>
      <c r="H8" s="123" t="inlineStr">
        <is>
          <t>定額法</t>
        </is>
      </c>
      <c r="I8" s="120" t="n"/>
      <c r="J8" s="123">
        <f>IF(I8="","",VLOOKUP(I8,$A$32:$B$80,2))</f>
        <v/>
      </c>
      <c r="K8" s="120" t="n"/>
      <c r="L8" s="122">
        <f>IF(I8="",0,+ROUNDUP(E8*J8*K8/12,0))</f>
        <v/>
      </c>
      <c r="M8" s="124">
        <f>IF(G8=0,0,IF((G8-L8)&gt;=1,L8,(G8-1)))</f>
        <v/>
      </c>
      <c r="N8" s="267" t="n"/>
      <c r="O8" s="124">
        <f>+ROUNDUP(M8*N8,0)</f>
        <v/>
      </c>
      <c r="P8" s="126">
        <f>+G8-M8</f>
        <v/>
      </c>
    </row>
    <row r="9" ht="27" customHeight="1" s="214">
      <c r="A9" s="118" t="n">
        <v>6</v>
      </c>
      <c r="B9" s="119" t="n"/>
      <c r="C9" s="120" t="n"/>
      <c r="D9" s="120" t="n"/>
      <c r="E9" s="121" t="n"/>
      <c r="F9" s="121" t="n"/>
      <c r="G9" s="122">
        <f>IF(F9="",E9,F9)</f>
        <v/>
      </c>
      <c r="H9" s="123" t="inlineStr">
        <is>
          <t>定額法</t>
        </is>
      </c>
      <c r="I9" s="120" t="n"/>
      <c r="J9" s="123">
        <f>IF(I9="","",VLOOKUP(I9,$A$32:$B$80,2))</f>
        <v/>
      </c>
      <c r="K9" s="120" t="n"/>
      <c r="L9" s="122">
        <f>IF(I9="",0,+ROUNDUP(E9*J9*K9/12,0))</f>
        <v/>
      </c>
      <c r="M9" s="124">
        <f>IF(G9=0,0,IF((G9-L9)&gt;=1,L9,(G9-1)))</f>
        <v/>
      </c>
      <c r="N9" s="267" t="n"/>
      <c r="O9" s="124">
        <f>+ROUNDUP(M9*N9,0)</f>
        <v/>
      </c>
      <c r="P9" s="126">
        <f>+G9-M9</f>
        <v/>
      </c>
    </row>
    <row r="10" ht="27" customHeight="1" s="214">
      <c r="A10" s="118" t="n">
        <v>7</v>
      </c>
      <c r="B10" s="119" t="n"/>
      <c r="C10" s="120" t="n"/>
      <c r="D10" s="120" t="n"/>
      <c r="E10" s="121" t="n"/>
      <c r="F10" s="121" t="n"/>
      <c r="G10" s="122">
        <f>IF(F10="",E10,F10)</f>
        <v/>
      </c>
      <c r="H10" s="123" t="inlineStr">
        <is>
          <t>定額法</t>
        </is>
      </c>
      <c r="I10" s="120" t="n"/>
      <c r="J10" s="123">
        <f>IF(I10="","",VLOOKUP(I10,$A$32:$B$80,2))</f>
        <v/>
      </c>
      <c r="K10" s="120" t="n"/>
      <c r="L10" s="122">
        <f>IF(I10="",0,+ROUNDUP(E10*J10*K10/12,0))</f>
        <v/>
      </c>
      <c r="M10" s="124">
        <f>IF(G10=0,0,IF((G10-L10)&gt;=1,L10,(G10-1)))</f>
        <v/>
      </c>
      <c r="N10" s="267" t="n"/>
      <c r="O10" s="124">
        <f>+ROUNDUP(M10*N10,0)</f>
        <v/>
      </c>
      <c r="P10" s="126">
        <f>+G10-M10</f>
        <v/>
      </c>
    </row>
    <row r="11" ht="27" customHeight="1" s="214">
      <c r="A11" s="118" t="n">
        <v>8</v>
      </c>
      <c r="B11" s="119" t="n"/>
      <c r="C11" s="120" t="n"/>
      <c r="D11" s="120" t="n"/>
      <c r="E11" s="121" t="n"/>
      <c r="F11" s="121" t="n"/>
      <c r="G11" s="122">
        <f>IF(F11="",E11,F11)</f>
        <v/>
      </c>
      <c r="H11" s="123" t="inlineStr">
        <is>
          <t>定額法</t>
        </is>
      </c>
      <c r="I11" s="120" t="n"/>
      <c r="J11" s="123">
        <f>IF(I11="","",VLOOKUP(I11,$A$32:$B$80,2))</f>
        <v/>
      </c>
      <c r="K11" s="120" t="n"/>
      <c r="L11" s="122">
        <f>IF(I11="",0,+ROUNDUP(E11*J11*K11/12,0))</f>
        <v/>
      </c>
      <c r="M11" s="124">
        <f>IF(G11=0,0,IF((G11-L11)&gt;=1,L11,(G11-1)))</f>
        <v/>
      </c>
      <c r="N11" s="267" t="n"/>
      <c r="O11" s="124">
        <f>+ROUNDUP(M11*N11,0)</f>
        <v/>
      </c>
      <c r="P11" s="126">
        <f>+G11-M11</f>
        <v/>
      </c>
    </row>
    <row r="12" ht="27" customHeight="1" s="214">
      <c r="A12" s="118" t="n">
        <v>9</v>
      </c>
      <c r="B12" s="119" t="n"/>
      <c r="C12" s="120" t="n"/>
      <c r="D12" s="120" t="n"/>
      <c r="E12" s="121" t="n"/>
      <c r="F12" s="121" t="n"/>
      <c r="G12" s="122">
        <f>IF(F12="",E12,F12)</f>
        <v/>
      </c>
      <c r="H12" s="123" t="inlineStr">
        <is>
          <t>定額法</t>
        </is>
      </c>
      <c r="I12" s="120" t="n"/>
      <c r="J12" s="123">
        <f>IF(I12="","",VLOOKUP(I12,$A$32:$B$80,2))</f>
        <v/>
      </c>
      <c r="K12" s="120" t="n"/>
      <c r="L12" s="122">
        <f>IF(I12="",0,+ROUNDUP(E12*J12*K12/12,0))</f>
        <v/>
      </c>
      <c r="M12" s="124">
        <f>IF(G12=0,0,IF((G12-L12)&gt;=1,L12,(G12-1)))</f>
        <v/>
      </c>
      <c r="N12" s="267" t="n"/>
      <c r="O12" s="124">
        <f>+ROUNDUP(M12*N12,0)</f>
        <v/>
      </c>
      <c r="P12" s="126">
        <f>+G12-M12</f>
        <v/>
      </c>
    </row>
    <row r="13" ht="27" customHeight="1" s="214">
      <c r="A13" s="118" t="n">
        <v>10</v>
      </c>
      <c r="B13" s="119" t="n"/>
      <c r="C13" s="120" t="n"/>
      <c r="D13" s="120" t="n"/>
      <c r="E13" s="121" t="n"/>
      <c r="F13" s="121" t="n"/>
      <c r="G13" s="122">
        <f>IF(F13="",E13,F13)</f>
        <v/>
      </c>
      <c r="H13" s="123" t="inlineStr">
        <is>
          <t>定額法</t>
        </is>
      </c>
      <c r="I13" s="120" t="n"/>
      <c r="J13" s="123">
        <f>IF(I13="","",VLOOKUP(I13,$A$32:$B$80,2))</f>
        <v/>
      </c>
      <c r="K13" s="120" t="n"/>
      <c r="L13" s="122">
        <f>IF(I13="",0,+ROUNDUP(E13*J13*K13/12,0))</f>
        <v/>
      </c>
      <c r="M13" s="124">
        <f>IF(G13=0,0,IF((G13-L13)&gt;=1,L13,(G13-1)))</f>
        <v/>
      </c>
      <c r="N13" s="267" t="n"/>
      <c r="O13" s="124">
        <f>+ROUNDUP(M13*N13,0)</f>
        <v/>
      </c>
      <c r="P13" s="126">
        <f>+G13-M13</f>
        <v/>
      </c>
    </row>
    <row r="14" ht="27" customHeight="1" s="214">
      <c r="A14" s="118" t="n">
        <v>11</v>
      </c>
      <c r="B14" s="119" t="n"/>
      <c r="C14" s="120" t="n"/>
      <c r="D14" s="120" t="n"/>
      <c r="E14" s="121" t="n"/>
      <c r="F14" s="121" t="n"/>
      <c r="G14" s="122">
        <f>IF(F14="",E14,F14)</f>
        <v/>
      </c>
      <c r="H14" s="123" t="inlineStr">
        <is>
          <t>定額法</t>
        </is>
      </c>
      <c r="I14" s="120" t="n"/>
      <c r="J14" s="123">
        <f>IF(I14="","",VLOOKUP(I14,$A$32:$B$80,2))</f>
        <v/>
      </c>
      <c r="K14" s="120" t="n"/>
      <c r="L14" s="122">
        <f>IF(I14="",0,+ROUNDUP(E14*J14*K14/12,0))</f>
        <v/>
      </c>
      <c r="M14" s="124">
        <f>IF(G14=0,0,IF((G14-L14)&gt;=1,L14,(G14-1)))</f>
        <v/>
      </c>
      <c r="N14" s="267" t="n"/>
      <c r="O14" s="124">
        <f>+ROUNDUP(M14*N14,0)</f>
        <v/>
      </c>
      <c r="P14" s="126">
        <f>+G14-M14</f>
        <v/>
      </c>
    </row>
    <row r="15" ht="27" customHeight="1" s="214" thickBot="1">
      <c r="A15" s="127" t="n">
        <v>12</v>
      </c>
      <c r="B15" s="128" t="n"/>
      <c r="C15" s="129" t="n"/>
      <c r="D15" s="129" t="n"/>
      <c r="E15" s="130" t="n"/>
      <c r="F15" s="130" t="n"/>
      <c r="G15" s="131">
        <f>IF(F15="",E15,F15)</f>
        <v/>
      </c>
      <c r="H15" s="132" t="inlineStr">
        <is>
          <t>定額法</t>
        </is>
      </c>
      <c r="I15" s="129" t="n"/>
      <c r="J15" s="132">
        <f>IF(I15="","",VLOOKUP(I15,$A$32:$B$80,2))</f>
        <v/>
      </c>
      <c r="K15" s="129" t="n"/>
      <c r="L15" s="122">
        <f>IF(I15="",0,+ROUNDUP(E15*J15*K15/12,0))</f>
        <v/>
      </c>
      <c r="M15" s="133">
        <f>IF(G15=0,0,IF((G15-L15)&gt;=1,L15,(G15-1)))</f>
        <v/>
      </c>
      <c r="N15" s="268" t="n"/>
      <c r="O15" s="133">
        <f>+ROUNDUP(M15*N15,0)</f>
        <v/>
      </c>
      <c r="P15" s="135">
        <f>+G15-M15</f>
        <v/>
      </c>
    </row>
    <row r="16">
      <c r="K16" s="90" t="n"/>
      <c r="M16" s="136" t="n"/>
      <c r="N16" s="265" t="n"/>
      <c r="P16" s="107" t="n"/>
    </row>
    <row r="17" ht="8.25" customHeight="1" s="214">
      <c r="K17" s="90" t="n"/>
      <c r="M17" s="137" t="n"/>
      <c r="N17" s="265" t="n"/>
      <c r="P17" s="107" t="n"/>
    </row>
    <row r="18" ht="17.25" customHeight="1" s="214">
      <c r="K18" s="90" t="n"/>
      <c r="M18" s="138" t="inlineStr">
        <is>
          <t>翌年はこちらへ（金額を移す）</t>
        </is>
      </c>
      <c r="N18" s="265" t="n"/>
      <c r="P18" s="107" t="n"/>
    </row>
    <row r="31" ht="24" customHeight="1" s="214">
      <c r="A31" s="139" t="inlineStr">
        <is>
          <t>耐用年数</t>
        </is>
      </c>
      <c r="B31" s="140" t="inlineStr">
        <is>
          <t>償却率</t>
        </is>
      </c>
    </row>
    <row r="32">
      <c r="A32" s="141" t="n">
        <v>2</v>
      </c>
      <c r="B32" s="142" t="inlineStr">
        <is>
          <t>0.500</t>
        </is>
      </c>
    </row>
    <row r="33">
      <c r="A33" s="143" t="n">
        <v>3</v>
      </c>
      <c r="B33" s="144" t="inlineStr">
        <is>
          <t>0.334</t>
        </is>
      </c>
    </row>
    <row r="34">
      <c r="A34" s="143" t="n">
        <v>4</v>
      </c>
      <c r="B34" s="144" t="inlineStr">
        <is>
          <t>0.250</t>
        </is>
      </c>
    </row>
    <row r="35">
      <c r="A35" s="143" t="n">
        <v>5</v>
      </c>
      <c r="B35" s="144" t="inlineStr">
        <is>
          <t>0.200</t>
        </is>
      </c>
    </row>
    <row r="36">
      <c r="A36" s="143" t="n">
        <v>6</v>
      </c>
      <c r="B36" s="144" t="inlineStr">
        <is>
          <t>0.167</t>
        </is>
      </c>
    </row>
    <row r="37">
      <c r="A37" s="143" t="n">
        <v>7</v>
      </c>
      <c r="B37" s="144" t="inlineStr">
        <is>
          <t>0.143</t>
        </is>
      </c>
    </row>
    <row r="38">
      <c r="A38" s="143" t="n">
        <v>8</v>
      </c>
      <c r="B38" s="144" t="inlineStr">
        <is>
          <t>0.125</t>
        </is>
      </c>
    </row>
    <row r="39">
      <c r="A39" s="143" t="n">
        <v>9</v>
      </c>
      <c r="B39" s="144" t="inlineStr">
        <is>
          <t>0.112</t>
        </is>
      </c>
    </row>
    <row r="40">
      <c r="A40" s="143" t="n">
        <v>10</v>
      </c>
      <c r="B40" s="144" t="inlineStr">
        <is>
          <t>0.100</t>
        </is>
      </c>
    </row>
    <row r="41">
      <c r="A41" s="143" t="n">
        <v>11</v>
      </c>
      <c r="B41" s="144" t="inlineStr">
        <is>
          <t>0.091</t>
        </is>
      </c>
    </row>
    <row r="42">
      <c r="A42" s="143" t="n">
        <v>12</v>
      </c>
      <c r="B42" s="144" t="inlineStr">
        <is>
          <t>0.084</t>
        </is>
      </c>
    </row>
    <row r="43">
      <c r="A43" s="143" t="n">
        <v>13</v>
      </c>
      <c r="B43" s="144" t="inlineStr">
        <is>
          <t>0.077</t>
        </is>
      </c>
    </row>
    <row r="44">
      <c r="A44" s="143" t="n">
        <v>14</v>
      </c>
      <c r="B44" s="144" t="inlineStr">
        <is>
          <t>0.072</t>
        </is>
      </c>
    </row>
    <row r="45">
      <c r="A45" s="143" t="n">
        <v>15</v>
      </c>
      <c r="B45" s="144" t="inlineStr">
        <is>
          <t>0.067</t>
        </is>
      </c>
    </row>
    <row r="46">
      <c r="A46" s="143" t="n">
        <v>16</v>
      </c>
      <c r="B46" s="144" t="inlineStr">
        <is>
          <t>0.063</t>
        </is>
      </c>
    </row>
    <row r="47">
      <c r="A47" s="143" t="n">
        <v>17</v>
      </c>
      <c r="B47" s="144" t="inlineStr">
        <is>
          <t>0.059</t>
        </is>
      </c>
    </row>
    <row r="48">
      <c r="A48" s="143" t="n">
        <v>18</v>
      </c>
      <c r="B48" s="144" t="inlineStr">
        <is>
          <t>0.056</t>
        </is>
      </c>
    </row>
    <row r="49">
      <c r="A49" s="143" t="n">
        <v>19</v>
      </c>
      <c r="B49" s="144" t="inlineStr">
        <is>
          <t>0.053</t>
        </is>
      </c>
    </row>
    <row r="50">
      <c r="A50" s="143" t="n">
        <v>20</v>
      </c>
      <c r="B50" s="144" t="inlineStr">
        <is>
          <t>0.050</t>
        </is>
      </c>
    </row>
    <row r="51">
      <c r="A51" s="143" t="n">
        <v>21</v>
      </c>
      <c r="B51" s="144" t="inlineStr">
        <is>
          <t>0.048</t>
        </is>
      </c>
    </row>
    <row r="52">
      <c r="A52" s="143" t="n">
        <v>22</v>
      </c>
      <c r="B52" s="144" t="inlineStr">
        <is>
          <t>0.046</t>
        </is>
      </c>
    </row>
    <row r="53">
      <c r="A53" s="143" t="n">
        <v>23</v>
      </c>
      <c r="B53" s="144" t="inlineStr">
        <is>
          <t>0.044</t>
        </is>
      </c>
    </row>
    <row r="54">
      <c r="A54" s="143" t="n">
        <v>24</v>
      </c>
      <c r="B54" s="144" t="inlineStr">
        <is>
          <t>0.042</t>
        </is>
      </c>
    </row>
    <row r="55">
      <c r="A55" s="143" t="n">
        <v>25</v>
      </c>
      <c r="B55" s="144" t="inlineStr">
        <is>
          <t>0.040</t>
        </is>
      </c>
    </row>
    <row r="56">
      <c r="A56" s="143" t="n">
        <v>26</v>
      </c>
      <c r="B56" s="144" t="inlineStr">
        <is>
          <t>0.039</t>
        </is>
      </c>
    </row>
    <row r="57">
      <c r="A57" s="143" t="n">
        <v>27</v>
      </c>
      <c r="B57" s="144" t="inlineStr">
        <is>
          <t>0.038</t>
        </is>
      </c>
    </row>
    <row r="58">
      <c r="A58" s="143" t="n">
        <v>28</v>
      </c>
      <c r="B58" s="144" t="inlineStr">
        <is>
          <t>0.036</t>
        </is>
      </c>
    </row>
    <row r="59">
      <c r="A59" s="143" t="n">
        <v>29</v>
      </c>
      <c r="B59" s="144" t="inlineStr">
        <is>
          <t>0.035</t>
        </is>
      </c>
    </row>
    <row r="60">
      <c r="A60" s="143" t="n">
        <v>30</v>
      </c>
      <c r="B60" s="144" t="inlineStr">
        <is>
          <t>0.034</t>
        </is>
      </c>
    </row>
    <row r="61">
      <c r="A61" s="143" t="n">
        <v>31</v>
      </c>
      <c r="B61" s="144" t="inlineStr">
        <is>
          <t>0.033</t>
        </is>
      </c>
    </row>
    <row r="62">
      <c r="A62" s="143" t="n">
        <v>32</v>
      </c>
      <c r="B62" s="144" t="inlineStr">
        <is>
          <t>0.032</t>
        </is>
      </c>
    </row>
    <row r="63">
      <c r="A63" s="143" t="n">
        <v>33</v>
      </c>
      <c r="B63" s="144" t="inlineStr">
        <is>
          <t>0.031</t>
        </is>
      </c>
    </row>
    <row r="64">
      <c r="A64" s="143" t="n">
        <v>34</v>
      </c>
      <c r="B64" s="144" t="inlineStr">
        <is>
          <t>0.030</t>
        </is>
      </c>
    </row>
    <row r="65">
      <c r="A65" s="143" t="n">
        <v>35</v>
      </c>
      <c r="B65" s="144" t="inlineStr">
        <is>
          <t>0.029</t>
        </is>
      </c>
    </row>
    <row r="66">
      <c r="A66" s="143" t="n">
        <v>36</v>
      </c>
      <c r="B66" s="144" t="inlineStr">
        <is>
          <t>0.028</t>
        </is>
      </c>
    </row>
    <row r="67">
      <c r="A67" s="143" t="n">
        <v>37</v>
      </c>
      <c r="B67" s="144" t="inlineStr">
        <is>
          <t>0.028</t>
        </is>
      </c>
    </row>
    <row r="68">
      <c r="A68" s="143" t="n">
        <v>38</v>
      </c>
      <c r="B68" s="144" t="inlineStr">
        <is>
          <t>0.027</t>
        </is>
      </c>
    </row>
    <row r="69">
      <c r="A69" s="143" t="n">
        <v>39</v>
      </c>
      <c r="B69" s="144" t="inlineStr">
        <is>
          <t>0.026</t>
        </is>
      </c>
    </row>
    <row r="70">
      <c r="A70" s="143" t="n">
        <v>40</v>
      </c>
      <c r="B70" s="144" t="inlineStr">
        <is>
          <t>0.025</t>
        </is>
      </c>
    </row>
    <row r="71">
      <c r="A71" s="143" t="n">
        <v>41</v>
      </c>
      <c r="B71" s="144" t="inlineStr">
        <is>
          <t>0.025</t>
        </is>
      </c>
    </row>
    <row r="72">
      <c r="A72" s="143" t="n">
        <v>42</v>
      </c>
      <c r="B72" s="144" t="inlineStr">
        <is>
          <t>0.024</t>
        </is>
      </c>
    </row>
    <row r="73">
      <c r="A73" s="143" t="n">
        <v>43</v>
      </c>
      <c r="B73" s="144" t="inlineStr">
        <is>
          <t>0.024</t>
        </is>
      </c>
    </row>
    <row r="74">
      <c r="A74" s="143" t="n">
        <v>44</v>
      </c>
      <c r="B74" s="144" t="inlineStr">
        <is>
          <t>0.023</t>
        </is>
      </c>
    </row>
    <row r="75">
      <c r="A75" s="143" t="n">
        <v>45</v>
      </c>
      <c r="B75" s="144" t="inlineStr">
        <is>
          <t>0.023</t>
        </is>
      </c>
    </row>
    <row r="76">
      <c r="A76" s="143" t="n">
        <v>46</v>
      </c>
      <c r="B76" s="144" t="inlineStr">
        <is>
          <t>0.022</t>
        </is>
      </c>
    </row>
    <row r="77">
      <c r="A77" s="143" t="n">
        <v>47</v>
      </c>
      <c r="B77" s="144" t="inlineStr">
        <is>
          <t>0.022</t>
        </is>
      </c>
    </row>
    <row r="78">
      <c r="A78" s="143" t="n">
        <v>48</v>
      </c>
      <c r="B78" s="144" t="inlineStr">
        <is>
          <t>0.021</t>
        </is>
      </c>
    </row>
    <row r="79">
      <c r="A79" s="143" t="n">
        <v>49</v>
      </c>
      <c r="B79" s="144" t="inlineStr">
        <is>
          <t>0.021</t>
        </is>
      </c>
    </row>
    <row r="80">
      <c r="A80" s="145" t="n">
        <v>50</v>
      </c>
      <c r="B80" s="146" t="inlineStr">
        <is>
          <t>0.020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E8" sqref="E8"/>
    </sheetView>
  </sheetViews>
  <sheetFormatPr baseColWidth="8" defaultRowHeight="20.25" customHeight="1"/>
  <cols>
    <col width="11.625" customWidth="1" style="151" min="1" max="1"/>
    <col width="14.125" bestFit="1" customWidth="1" style="151" min="2" max="2"/>
    <col width="29.375" customWidth="1" style="148" min="3" max="3"/>
    <col width="13" customWidth="1" style="107" min="4" max="4"/>
    <col width="24.875" customWidth="1" style="214" min="5" max="5"/>
  </cols>
  <sheetData>
    <row r="1" ht="20.25" customHeight="1" s="214" thickBot="1">
      <c r="A1" s="154" t="inlineStr">
        <is>
          <t>交通費精算書</t>
        </is>
      </c>
      <c r="B1" s="147" t="n"/>
      <c r="C1" s="147" t="n"/>
      <c r="E1" s="90" t="inlineStr">
        <is>
          <t>（伝票No.　　　　　　　　）</t>
        </is>
      </c>
    </row>
    <row r="2" ht="20.25" customFormat="1" customHeight="1" s="149">
      <c r="A2" s="155" t="inlineStr">
        <is>
          <t>年 月 日</t>
        </is>
      </c>
      <c r="B2" s="156" t="inlineStr">
        <is>
          <t>交通機関</t>
        </is>
      </c>
      <c r="C2" s="157" t="inlineStr">
        <is>
          <t>経　　路</t>
        </is>
      </c>
      <c r="D2" s="158" t="inlineStr">
        <is>
          <t>金　額</t>
        </is>
      </c>
      <c r="E2" s="159" t="inlineStr">
        <is>
          <t>用　　件</t>
        </is>
      </c>
    </row>
    <row r="3" ht="20.25" customHeight="1" s="214">
      <c r="A3" s="160" t="inlineStr">
        <is>
          <t>2026/1/26</t>
        </is>
      </c>
      <c r="B3" s="150" t="inlineStr">
        <is>
          <t>小田急・地下鉄</t>
        </is>
      </c>
      <c r="C3" s="153" t="inlineStr">
        <is>
          <t>栗平 -&gt; 湯島</t>
        </is>
      </c>
      <c r="D3" s="152" t="n">
        <v>545</v>
      </c>
      <c r="E3" s="161" t="inlineStr">
        <is>
          <t>BASISで打ち合わせ</t>
        </is>
      </c>
    </row>
    <row r="4" ht="20.25" customHeight="1" s="214">
      <c r="A4" s="160" t="inlineStr">
        <is>
          <t>2026/1/26</t>
        </is>
      </c>
      <c r="B4" s="150" t="inlineStr">
        <is>
          <t>小田急・地下鉄</t>
        </is>
      </c>
      <c r="C4" s="153" t="inlineStr">
        <is>
          <t>湯島 -&gt; 栗平</t>
        </is>
      </c>
      <c r="D4" s="152" t="n">
        <v>545</v>
      </c>
      <c r="E4" s="161" t="inlineStr">
        <is>
          <t>同上</t>
        </is>
      </c>
    </row>
    <row r="5" ht="20.25" customHeight="1" s="214">
      <c r="A5" s="160" t="inlineStr">
        <is>
          <t>2026/1/31</t>
        </is>
      </c>
      <c r="B5" s="150" t="inlineStr">
        <is>
          <t>小田急・地下鉄</t>
        </is>
      </c>
      <c r="C5" s="153" t="inlineStr">
        <is>
          <t>栗平 -&gt; 神保町</t>
        </is>
      </c>
      <c r="D5" s="152" t="n">
        <v>502</v>
      </c>
      <c r="E5" s="161" t="inlineStr">
        <is>
          <t>神保町で打ち合わせ</t>
        </is>
      </c>
    </row>
    <row r="6" ht="20.25" customHeight="1" s="214">
      <c r="A6" s="160" t="inlineStr">
        <is>
          <t>2026/1/31</t>
        </is>
      </c>
      <c r="B6" s="150" t="inlineStr">
        <is>
          <t>JR</t>
        </is>
      </c>
      <c r="C6" s="153" t="inlineStr">
        <is>
          <t>東京 -&gt; 新宿</t>
        </is>
      </c>
      <c r="D6" s="152" t="n">
        <v>208</v>
      </c>
      <c r="E6" s="161" t="inlineStr">
        <is>
          <t>ちょっと八重洲で飲んで帰り</t>
        </is>
      </c>
    </row>
    <row r="7" ht="20.25" customHeight="1" s="214">
      <c r="A7" s="160" t="inlineStr">
        <is>
          <t>2026/1/31</t>
        </is>
      </c>
      <c r="B7" s="150" t="inlineStr">
        <is>
          <t>小田急</t>
        </is>
      </c>
      <c r="C7" s="153" t="inlineStr">
        <is>
          <t>新宿 -&gt; 栗平</t>
        </is>
      </c>
      <c r="D7" s="152" t="n">
        <v>324</v>
      </c>
      <c r="E7" s="161" t="inlineStr">
        <is>
          <t>帰り</t>
        </is>
      </c>
    </row>
    <row r="8" ht="20.25" customHeight="1" s="214">
      <c r="A8" s="160" t="inlineStr">
        <is>
          <t>2026/2/25</t>
        </is>
      </c>
      <c r="B8" s="150" t="inlineStr">
        <is>
          <t>小田急・地下鉄</t>
        </is>
      </c>
      <c r="C8" s="153" t="inlineStr">
        <is>
          <t>栗平 -&gt; 湯島</t>
        </is>
      </c>
      <c r="D8" s="152" t="n">
        <v>545</v>
      </c>
      <c r="E8" s="161" t="inlineStr">
        <is>
          <t>BASISで打ち合わせ</t>
        </is>
      </c>
    </row>
    <row r="9" ht="20.25" customHeight="1" s="214">
      <c r="A9" s="160" t="inlineStr">
        <is>
          <t>2026/2/25</t>
        </is>
      </c>
      <c r="B9" s="150" t="inlineStr">
        <is>
          <t>小田急・地下鉄</t>
        </is>
      </c>
      <c r="C9" s="153" t="inlineStr">
        <is>
          <t>湯島 -&gt; 栗平</t>
        </is>
      </c>
      <c r="D9" s="152" t="n">
        <v>545</v>
      </c>
      <c r="E9" s="161" t="inlineStr">
        <is>
          <t>同上</t>
        </is>
      </c>
    </row>
    <row r="10" ht="20.25" customHeight="1" s="214">
      <c r="A10" s="160" t="n"/>
      <c r="B10" s="150" t="n"/>
      <c r="C10" s="153" t="n"/>
      <c r="D10" s="152" t="n"/>
      <c r="E10" s="161" t="n"/>
    </row>
    <row r="11" ht="20.25" customHeight="1" s="214">
      <c r="A11" s="160" t="n"/>
      <c r="B11" s="150" t="n"/>
      <c r="C11" s="153" t="n"/>
      <c r="D11" s="152" t="n"/>
      <c r="E11" s="161" t="n"/>
    </row>
    <row r="12" ht="20.25" customHeight="1" s="214">
      <c r="A12" s="160" t="n"/>
      <c r="B12" s="150" t="n"/>
      <c r="C12" s="153" t="n"/>
      <c r="D12" s="152" t="n"/>
      <c r="E12" s="161" t="n"/>
    </row>
    <row r="13" ht="20.25" customHeight="1" s="214">
      <c r="A13" s="160" t="n"/>
      <c r="B13" s="150" t="n"/>
      <c r="C13" s="153" t="n"/>
      <c r="D13" s="152" t="n"/>
      <c r="E13" s="161" t="n"/>
    </row>
    <row r="14" ht="20.25" customHeight="1" s="214">
      <c r="A14" s="160" t="n"/>
      <c r="B14" s="150" t="n"/>
      <c r="C14" s="153" t="n"/>
      <c r="D14" s="152" t="n"/>
      <c r="E14" s="161" t="n"/>
    </row>
    <row r="15" ht="20.25" customHeight="1" s="214">
      <c r="A15" s="160" t="n"/>
      <c r="B15" s="150" t="n"/>
      <c r="C15" s="153" t="n"/>
      <c r="D15" s="152" t="n"/>
      <c r="E15" s="161" t="n"/>
    </row>
    <row r="16" ht="20.25" customHeight="1" s="214">
      <c r="A16" s="160" t="n"/>
      <c r="B16" s="150" t="n"/>
      <c r="C16" s="153" t="n"/>
      <c r="D16" s="152" t="n"/>
      <c r="E16" s="161" t="n"/>
    </row>
    <row r="17" ht="20.25" customHeight="1" s="214" thickBot="1">
      <c r="A17" s="229" t="inlineStr">
        <is>
          <t>合計</t>
        </is>
      </c>
      <c r="B17" s="230" t="n"/>
      <c r="C17" s="230" t="n"/>
      <c r="D17" s="162">
        <f>SUM(D3:D16)</f>
        <v/>
      </c>
      <c r="E17" s="163" t="n"/>
    </row>
    <row r="20" ht="20.25" customHeight="1" s="214">
      <c r="A20" s="189" t="inlineStr">
        <is>
          <t>この表は自由に修正して使ってください。（どことも連動していません。）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A17:C17"/>
  </mergeCells>
  <pageMargins left="0.54" right="0.7" top="0.64" bottom="0.75" header="0.3" footer="0.3"/>
  <pageSetup orientation="landscape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B5" sqref="B5"/>
    </sheetView>
  </sheetViews>
  <sheetFormatPr baseColWidth="8" defaultRowHeight="13.5"/>
  <cols>
    <col width="57.125" customWidth="1" style="214" min="2" max="2"/>
  </cols>
  <sheetData>
    <row r="2">
      <c r="B2" s="232" t="inlineStr">
        <is>
          <t>電気料金、2月分のみpaypayで払ったが、1月分はどこで払っているのか</t>
        </is>
      </c>
    </row>
    <row r="3">
      <c r="B3" s="232" t="inlineStr">
        <is>
          <t>仕訳帳をpivotすると、月別残高試算表ができるはず</t>
        </is>
      </c>
    </row>
    <row r="4">
      <c r="B4" s="232" t="inlineStr">
        <is>
          <t>総勘定元帳は、仕訳帳のソートを変える、、だけじゃダメか。Python書くかな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E23"/>
  <sheetViews>
    <sheetView tabSelected="1" workbookViewId="0">
      <selection activeCell="A3" sqref="A3"/>
    </sheetView>
  </sheetViews>
  <sheetFormatPr baseColWidth="8" defaultRowHeight="13.5"/>
  <cols>
    <col width="20.5" bestFit="1" customWidth="1" style="214" min="1" max="1"/>
    <col width="12" bestFit="1" customWidth="1" style="214" min="2" max="2"/>
    <col width="8.5" bestFit="1" customWidth="1" style="214" min="3" max="3"/>
    <col width="7.375" bestFit="1" customWidth="1" style="214" min="4" max="4"/>
    <col width="10.75" bestFit="1" customWidth="1" style="214" min="5" max="5"/>
    <col width="17" bestFit="1" customWidth="1" style="214" min="6" max="7"/>
    <col width="24.5" bestFit="1" customWidth="1" style="214" min="8" max="9"/>
  </cols>
  <sheetData>
    <row r="3">
      <c r="A3" s="231" t="inlineStr">
        <is>
          <t>合計 / 残高</t>
        </is>
      </c>
      <c r="B3" s="231" t="inlineStr">
        <is>
          <t>列ラベル</t>
        </is>
      </c>
    </row>
    <row r="4">
      <c r="A4" s="231" t="inlineStr">
        <is>
          <t>行ラベル</t>
        </is>
      </c>
      <c r="B4" s="232" t="n">
        <v>1</v>
      </c>
      <c r="C4" s="232" t="n">
        <v>2</v>
      </c>
      <c r="D4" s="232" t="n">
        <v>3</v>
      </c>
      <c r="E4" s="232" t="inlineStr">
        <is>
          <t>総計</t>
        </is>
      </c>
    </row>
    <row r="5">
      <c r="A5" s="106" t="inlineStr">
        <is>
          <t>101 現金</t>
        </is>
      </c>
      <c r="B5" s="232" t="n">
        <v>0</v>
      </c>
      <c r="C5" s="232" t="n"/>
      <c r="D5" s="232" t="n"/>
      <c r="E5" s="232" t="n">
        <v>0</v>
      </c>
    </row>
    <row r="6">
      <c r="A6" s="106" t="inlineStr">
        <is>
          <t>103 普通預金</t>
        </is>
      </c>
      <c r="B6" s="232" t="n">
        <v>0</v>
      </c>
      <c r="C6" s="232" t="n"/>
      <c r="D6" s="232" t="n"/>
      <c r="E6" s="232" t="n">
        <v>0</v>
      </c>
    </row>
    <row r="7">
      <c r="A7" s="106" t="inlineStr">
        <is>
          <t>107 売掛金</t>
        </is>
      </c>
      <c r="B7" s="232" t="n">
        <v>144000</v>
      </c>
      <c r="C7" s="232" t="n">
        <v>781000</v>
      </c>
      <c r="D7" s="232" t="n"/>
      <c r="E7" s="232" t="n">
        <v>925000</v>
      </c>
    </row>
    <row r="8">
      <c r="A8" s="106" t="inlineStr">
        <is>
          <t>114 リサイクル預託金</t>
        </is>
      </c>
      <c r="B8" s="232" t="n">
        <v>11650</v>
      </c>
      <c r="C8" s="232" t="n"/>
      <c r="D8" s="232" t="n"/>
      <c r="E8" s="232" t="n">
        <v>11650</v>
      </c>
    </row>
    <row r="9">
      <c r="A9" s="106" t="inlineStr">
        <is>
          <t>121 建物</t>
        </is>
      </c>
      <c r="B9" s="232" t="n">
        <v>14597430</v>
      </c>
      <c r="C9" s="232" t="n"/>
      <c r="D9" s="232" t="n"/>
      <c r="E9" s="232" t="n">
        <v>14597430</v>
      </c>
    </row>
    <row r="10">
      <c r="A10" s="106" t="inlineStr">
        <is>
          <t>124 車両運搬具</t>
        </is>
      </c>
      <c r="B10" s="232" t="n">
        <v>3057480</v>
      </c>
      <c r="C10" s="232" t="n"/>
      <c r="D10" s="232" t="n"/>
      <c r="E10" s="232" t="n">
        <v>3057480</v>
      </c>
    </row>
    <row r="11">
      <c r="A11" s="106" t="inlineStr">
        <is>
          <t>127 構築物</t>
        </is>
      </c>
      <c r="B11" s="232" t="n">
        <v>1303020</v>
      </c>
      <c r="C11" s="232" t="n"/>
      <c r="D11" s="232" t="n"/>
      <c r="E11" s="232" t="n">
        <v>1303020</v>
      </c>
    </row>
    <row r="12">
      <c r="A12" s="106" t="inlineStr">
        <is>
          <t>204 未払金</t>
        </is>
      </c>
      <c r="B12" s="232" t="n">
        <v>0</v>
      </c>
      <c r="C12" s="232" t="n"/>
      <c r="D12" s="232" t="n"/>
      <c r="E12" s="232" t="n">
        <v>0</v>
      </c>
    </row>
    <row r="13">
      <c r="A13" s="106" t="inlineStr">
        <is>
          <t>302 元入金</t>
        </is>
      </c>
      <c r="B13" s="232" t="n">
        <v>-28740668</v>
      </c>
      <c r="C13" s="232" t="n"/>
      <c r="D13" s="232" t="n"/>
      <c r="E13" s="232" t="n">
        <v>-28740668</v>
      </c>
    </row>
    <row r="14">
      <c r="A14" s="106" t="inlineStr">
        <is>
          <t>401 売上(報酬）</t>
        </is>
      </c>
      <c r="B14" s="232" t="n">
        <v>-111000</v>
      </c>
      <c r="C14" s="232" t="n">
        <v>-881000</v>
      </c>
      <c r="D14" s="232" t="n"/>
      <c r="E14" s="232" t="n">
        <v>-992000</v>
      </c>
    </row>
    <row r="15">
      <c r="A15" s="106" t="inlineStr">
        <is>
          <t>403 雑収入(車両売却)</t>
        </is>
      </c>
      <c r="B15" s="232" t="n">
        <v>-329999</v>
      </c>
      <c r="C15" s="232" t="n"/>
      <c r="D15" s="232" t="n"/>
      <c r="E15" s="232" t="n">
        <v>-329999</v>
      </c>
    </row>
    <row r="16">
      <c r="A16" s="106" t="inlineStr">
        <is>
          <t>507 水道光熱費</t>
        </is>
      </c>
      <c r="B16" s="232" t="n">
        <v>10715</v>
      </c>
      <c r="C16" s="232" t="n">
        <v>2618</v>
      </c>
      <c r="D16" s="232" t="n">
        <v>10343</v>
      </c>
      <c r="E16" s="232" t="n">
        <v>23676</v>
      </c>
    </row>
    <row r="17">
      <c r="A17" s="106" t="inlineStr">
        <is>
          <t>511 接待交際費</t>
        </is>
      </c>
      <c r="B17" s="232" t="n"/>
      <c r="C17" s="232" t="n">
        <v>16354</v>
      </c>
      <c r="D17" s="232" t="n"/>
      <c r="E17" s="232" t="n">
        <v>16354</v>
      </c>
    </row>
    <row r="18">
      <c r="A18" s="106" t="inlineStr">
        <is>
          <t>514 消耗品費</t>
        </is>
      </c>
      <c r="B18" s="232" t="n">
        <v>1190</v>
      </c>
      <c r="C18" s="232" t="n">
        <v>33402</v>
      </c>
      <c r="D18" s="232" t="n">
        <v>14369</v>
      </c>
      <c r="E18" s="232" t="n">
        <v>48961</v>
      </c>
    </row>
    <row r="19">
      <c r="A19" s="106" t="inlineStr">
        <is>
          <t>520 地代家賃</t>
        </is>
      </c>
      <c r="B19" s="232" t="n">
        <v>20000</v>
      </c>
      <c r="C19" s="232" t="n">
        <v>20000</v>
      </c>
      <c r="D19" s="232" t="n">
        <v>20000</v>
      </c>
      <c r="E19" s="232" t="n">
        <v>60000</v>
      </c>
    </row>
    <row r="20">
      <c r="A20" s="106" t="inlineStr">
        <is>
          <t>523 車両費</t>
        </is>
      </c>
      <c r="B20" s="232" t="n">
        <v>20752</v>
      </c>
      <c r="C20" s="232" t="n">
        <v>929</v>
      </c>
      <c r="D20" s="232" t="n">
        <v>11645</v>
      </c>
      <c r="E20" s="232" t="n">
        <v>33326</v>
      </c>
    </row>
    <row r="21">
      <c r="A21" s="106" t="inlineStr">
        <is>
          <t>524 新聞図書費</t>
        </is>
      </c>
      <c r="B21" s="232" t="n">
        <v>980</v>
      </c>
      <c r="C21" s="232" t="n">
        <v>20228</v>
      </c>
      <c r="D21" s="232" t="n">
        <v>10012</v>
      </c>
      <c r="E21" s="232" t="n">
        <v>31220</v>
      </c>
    </row>
    <row r="22">
      <c r="A22" s="106" t="inlineStr">
        <is>
          <t>525 リース・賃借料</t>
        </is>
      </c>
      <c r="B22" s="232" t="n">
        <v>12369</v>
      </c>
      <c r="C22" s="232" t="n">
        <v>7834</v>
      </c>
      <c r="D22" s="232" t="n"/>
      <c r="E22" s="232" t="n">
        <v>20203</v>
      </c>
    </row>
    <row r="23">
      <c r="A23" s="106" t="inlineStr">
        <is>
          <t>総計</t>
        </is>
      </c>
      <c r="B23" s="232" t="n">
        <v>-10002081</v>
      </c>
      <c r="C23" s="232" t="n">
        <v>1365</v>
      </c>
      <c r="D23" s="232" t="n">
        <v>66369</v>
      </c>
      <c r="E23" s="232" t="n">
        <v>-9934347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style="214" min="1" max="1"/>
    <col width="20" customWidth="1" style="214" min="2" max="2"/>
    <col width="15" customWidth="1" style="214" min="3" max="3"/>
    <col width="15" customWidth="1" style="214" min="4" max="4"/>
    <col width="15" customWidth="1" style="214" min="5" max="5"/>
  </cols>
  <sheetData>
    <row r="1">
      <c r="A1" s="269" t="inlineStr">
        <is>
          <t>月</t>
        </is>
      </c>
      <c r="B1" s="269" t="inlineStr">
        <is>
          <t>科目</t>
        </is>
      </c>
      <c r="C1" s="269" t="inlineStr">
        <is>
          <t>借方合計</t>
        </is>
      </c>
      <c r="D1" s="269" t="inlineStr">
        <is>
          <t>貸方合計</t>
        </is>
      </c>
      <c r="E1" s="269" t="inlineStr">
        <is>
          <t>残高</t>
        </is>
      </c>
    </row>
    <row r="2">
      <c r="A2" t="n">
        <v>1</v>
      </c>
      <c r="B2" t="inlineStr">
        <is>
          <t>101 現金</t>
        </is>
      </c>
      <c r="C2" t="n">
        <v>1046520</v>
      </c>
      <c r="D2" t="n">
        <v>1046520</v>
      </c>
      <c r="E2" t="n">
        <v>0</v>
      </c>
    </row>
    <row r="3">
      <c r="A3" t="n">
        <v>1</v>
      </c>
      <c r="B3" t="inlineStr">
        <is>
          <t>103 普通預金</t>
        </is>
      </c>
      <c r="C3" t="n">
        <v>10475394</v>
      </c>
      <c r="D3" t="n">
        <v>10475394</v>
      </c>
      <c r="E3" t="n">
        <v>0</v>
      </c>
    </row>
    <row r="4">
      <c r="A4" t="n">
        <v>1</v>
      </c>
      <c r="B4" t="inlineStr">
        <is>
          <t>107 売掛金</t>
        </is>
      </c>
      <c r="C4" t="n">
        <v>1481500</v>
      </c>
      <c r="D4" t="n">
        <v>1337500</v>
      </c>
      <c r="E4" t="n">
        <v>144000</v>
      </c>
    </row>
    <row r="5">
      <c r="A5" t="n">
        <v>2</v>
      </c>
      <c r="B5" t="inlineStr">
        <is>
          <t>107 売掛金</t>
        </is>
      </c>
      <c r="C5" t="n">
        <v>881000</v>
      </c>
      <c r="D5" t="n">
        <v>100000</v>
      </c>
      <c r="E5" t="n">
        <v>781000</v>
      </c>
    </row>
    <row r="6">
      <c r="A6" t="n">
        <v>1</v>
      </c>
      <c r="B6" t="inlineStr">
        <is>
          <t>114 リサイクル預託金</t>
        </is>
      </c>
      <c r="C6" t="n">
        <v>20780</v>
      </c>
      <c r="D6" t="n">
        <v>9130</v>
      </c>
      <c r="E6" t="n">
        <v>11650</v>
      </c>
    </row>
    <row r="7">
      <c r="A7" t="n">
        <v>1</v>
      </c>
      <c r="B7" t="inlineStr">
        <is>
          <t>121 建物</t>
        </is>
      </c>
      <c r="C7" t="n">
        <v>14597430</v>
      </c>
      <c r="D7" t="n">
        <v>0</v>
      </c>
      <c r="E7" t="n">
        <v>14597430</v>
      </c>
    </row>
    <row r="8">
      <c r="A8" t="n">
        <v>1</v>
      </c>
      <c r="B8" t="inlineStr">
        <is>
          <t>124 車両運搬具</t>
        </is>
      </c>
      <c r="C8" t="n">
        <v>3057481</v>
      </c>
      <c r="D8" t="n">
        <v>1</v>
      </c>
      <c r="E8" t="n">
        <v>3057480</v>
      </c>
    </row>
    <row r="9">
      <c r="A9" t="n">
        <v>1</v>
      </c>
      <c r="B9" t="inlineStr">
        <is>
          <t>127 構築物</t>
        </is>
      </c>
      <c r="C9" t="n">
        <v>1303020</v>
      </c>
      <c r="D9" t="n">
        <v>0</v>
      </c>
      <c r="E9" t="n">
        <v>1303020</v>
      </c>
    </row>
    <row r="10">
      <c r="A10" t="n">
        <v>1</v>
      </c>
      <c r="B10" t="inlineStr">
        <is>
          <t>204 未払金</t>
        </is>
      </c>
      <c r="C10" t="n">
        <v>61327</v>
      </c>
      <c r="D10" t="n">
        <v>61327</v>
      </c>
      <c r="E10" t="n">
        <v>0</v>
      </c>
    </row>
    <row r="11">
      <c r="A11" t="n">
        <v>1</v>
      </c>
      <c r="B11" t="inlineStr">
        <is>
          <t>302 元入金</t>
        </is>
      </c>
      <c r="C11" t="n">
        <v>0</v>
      </c>
      <c r="D11" t="n">
        <v>28740668</v>
      </c>
      <c r="E11" t="n">
        <v>-28740668</v>
      </c>
    </row>
    <row r="12">
      <c r="A12" t="n">
        <v>1</v>
      </c>
      <c r="B12" t="inlineStr">
        <is>
          <t>401 売上(報酬）</t>
        </is>
      </c>
      <c r="C12" t="n">
        <v>0</v>
      </c>
      <c r="D12" t="n">
        <v>111000</v>
      </c>
      <c r="E12" t="n">
        <v>-111000</v>
      </c>
    </row>
    <row r="13">
      <c r="A13" t="n">
        <v>2</v>
      </c>
      <c r="B13" t="inlineStr">
        <is>
          <t>401 売上(報酬）</t>
        </is>
      </c>
      <c r="C13" t="n">
        <v>0</v>
      </c>
      <c r="D13" t="n">
        <v>881000</v>
      </c>
      <c r="E13" t="n">
        <v>-881000</v>
      </c>
    </row>
    <row r="14">
      <c r="A14" t="n">
        <v>1</v>
      </c>
      <c r="B14" t="inlineStr">
        <is>
          <t>403 雑収入(車両売却)</t>
        </is>
      </c>
      <c r="C14" t="n">
        <v>0</v>
      </c>
      <c r="D14" t="n">
        <v>329999</v>
      </c>
      <c r="E14" t="n">
        <v>-329999</v>
      </c>
    </row>
    <row r="15">
      <c r="A15" t="n">
        <v>1</v>
      </c>
      <c r="B15" t="inlineStr">
        <is>
          <t>507 水道光熱費</t>
        </is>
      </c>
      <c r="C15" t="n">
        <v>10715</v>
      </c>
      <c r="D15" t="n">
        <v>0</v>
      </c>
      <c r="E15" t="n">
        <v>10715</v>
      </c>
    </row>
    <row r="16">
      <c r="A16" t="n">
        <v>2</v>
      </c>
      <c r="B16" t="inlineStr">
        <is>
          <t>507 水道光熱費</t>
        </is>
      </c>
      <c r="C16" t="n">
        <v>2618</v>
      </c>
      <c r="D16" t="n">
        <v>0</v>
      </c>
      <c r="E16" t="n">
        <v>2618</v>
      </c>
    </row>
    <row r="17">
      <c r="A17" t="n">
        <v>3</v>
      </c>
      <c r="B17" t="inlineStr">
        <is>
          <t>507 水道光熱費</t>
        </is>
      </c>
      <c r="C17" t="n">
        <v>10343</v>
      </c>
      <c r="D17" t="n">
        <v>0</v>
      </c>
      <c r="E17" t="n">
        <v>10343</v>
      </c>
    </row>
    <row r="18">
      <c r="A18" t="n">
        <v>2</v>
      </c>
      <c r="B18" t="inlineStr">
        <is>
          <t>511 接待交際費</t>
        </is>
      </c>
      <c r="C18" t="n">
        <v>16354</v>
      </c>
      <c r="D18" t="n">
        <v>0</v>
      </c>
      <c r="E18" t="n">
        <v>16354</v>
      </c>
    </row>
    <row r="19">
      <c r="A19" t="n">
        <v>1</v>
      </c>
      <c r="B19" t="inlineStr">
        <is>
          <t>514 消耗品費</t>
        </is>
      </c>
      <c r="C19" t="n">
        <v>1190</v>
      </c>
      <c r="D19" t="n">
        <v>0</v>
      </c>
      <c r="E19" t="n">
        <v>1190</v>
      </c>
    </row>
    <row r="20">
      <c r="A20" t="n">
        <v>2</v>
      </c>
      <c r="B20" t="inlineStr">
        <is>
          <t>514 消耗品費</t>
        </is>
      </c>
      <c r="C20" t="n">
        <v>33402</v>
      </c>
      <c r="D20" t="n">
        <v>0</v>
      </c>
      <c r="E20" t="n">
        <v>33402</v>
      </c>
    </row>
    <row r="21">
      <c r="A21" t="n">
        <v>3</v>
      </c>
      <c r="B21" t="inlineStr">
        <is>
          <t>514 消耗品費</t>
        </is>
      </c>
      <c r="C21" t="n">
        <v>14369</v>
      </c>
      <c r="D21" t="n">
        <v>0</v>
      </c>
      <c r="E21" t="n">
        <v>14369</v>
      </c>
    </row>
    <row r="22">
      <c r="A22" t="n">
        <v>1</v>
      </c>
      <c r="B22" t="inlineStr">
        <is>
          <t>520 地代家賃</t>
        </is>
      </c>
      <c r="C22" t="n">
        <v>20000</v>
      </c>
      <c r="D22" t="n">
        <v>0</v>
      </c>
      <c r="E22" t="n">
        <v>20000</v>
      </c>
    </row>
    <row r="23">
      <c r="A23" t="n">
        <v>2</v>
      </c>
      <c r="B23" t="inlineStr">
        <is>
          <t>520 地代家賃</t>
        </is>
      </c>
      <c r="C23" t="n">
        <v>20000</v>
      </c>
      <c r="D23" t="n">
        <v>0</v>
      </c>
      <c r="E23" t="n">
        <v>20000</v>
      </c>
    </row>
    <row r="24">
      <c r="A24" t="n">
        <v>3</v>
      </c>
      <c r="B24" t="inlineStr">
        <is>
          <t>520 地代家賃</t>
        </is>
      </c>
      <c r="C24" t="n">
        <v>20000</v>
      </c>
      <c r="D24" t="n">
        <v>0</v>
      </c>
      <c r="E24" t="n">
        <v>20000</v>
      </c>
    </row>
    <row r="25">
      <c r="A25" t="n">
        <v>1</v>
      </c>
      <c r="B25" t="inlineStr">
        <is>
          <t>523 車両費</t>
        </is>
      </c>
      <c r="C25" t="n">
        <v>20752</v>
      </c>
      <c r="D25" t="n">
        <v>0</v>
      </c>
      <c r="E25" t="n">
        <v>20752</v>
      </c>
    </row>
    <row r="26">
      <c r="A26" t="n">
        <v>2</v>
      </c>
      <c r="B26" t="inlineStr">
        <is>
          <t>523 車両費</t>
        </is>
      </c>
      <c r="C26" t="n">
        <v>929</v>
      </c>
      <c r="D26" t="n">
        <v>0</v>
      </c>
      <c r="E26" t="n">
        <v>929</v>
      </c>
    </row>
    <row r="27">
      <c r="A27" t="n">
        <v>3</v>
      </c>
      <c r="B27" t="inlineStr">
        <is>
          <t>523 車両費</t>
        </is>
      </c>
      <c r="C27" t="n">
        <v>11645</v>
      </c>
      <c r="D27" t="n">
        <v>0</v>
      </c>
      <c r="E27" t="n">
        <v>11645</v>
      </c>
    </row>
    <row r="28">
      <c r="A28" t="n">
        <v>1</v>
      </c>
      <c r="B28" t="inlineStr">
        <is>
          <t>524 新聞図書費</t>
        </is>
      </c>
      <c r="C28" t="n">
        <v>980</v>
      </c>
      <c r="D28" t="n">
        <v>0</v>
      </c>
      <c r="E28" t="n">
        <v>980</v>
      </c>
    </row>
    <row r="29">
      <c r="A29" t="n">
        <v>2</v>
      </c>
      <c r="B29" t="inlineStr">
        <is>
          <t>524 新聞図書費</t>
        </is>
      </c>
      <c r="C29" t="n">
        <v>20228</v>
      </c>
      <c r="D29" t="n">
        <v>0</v>
      </c>
      <c r="E29" t="n">
        <v>20228</v>
      </c>
    </row>
    <row r="30">
      <c r="A30" t="n">
        <v>3</v>
      </c>
      <c r="B30" t="inlineStr">
        <is>
          <t>524 新聞図書費</t>
        </is>
      </c>
      <c r="C30" t="n">
        <v>10012</v>
      </c>
      <c r="D30" t="n">
        <v>0</v>
      </c>
      <c r="E30" t="n">
        <v>10012</v>
      </c>
    </row>
    <row r="31">
      <c r="A31" t="n">
        <v>1</v>
      </c>
      <c r="B31" t="inlineStr">
        <is>
          <t>525 リース・賃借料</t>
        </is>
      </c>
      <c r="C31" t="n">
        <v>12369</v>
      </c>
      <c r="D31" t="n">
        <v>0</v>
      </c>
      <c r="E31" t="n">
        <v>12369</v>
      </c>
    </row>
    <row r="32">
      <c r="A32" t="n">
        <v>2</v>
      </c>
      <c r="B32" t="inlineStr">
        <is>
          <t>525 リース・賃借料</t>
        </is>
      </c>
      <c r="C32" t="n">
        <v>7834</v>
      </c>
      <c r="D32" t="n">
        <v>0</v>
      </c>
      <c r="E32" t="n">
        <v>7834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0" customWidth="1" style="214" min="1" max="1"/>
    <col width="12" customWidth="1" style="214" min="2" max="2"/>
    <col width="30" customWidth="1" style="214" min="3" max="3"/>
    <col width="20" customWidth="1" style="214" min="4" max="4"/>
    <col width="15" customWidth="1" style="214" min="5" max="5"/>
    <col width="15" customWidth="1" style="214" min="6" max="6"/>
    <col width="15" customWidth="1" style="214" min="7" max="7"/>
  </cols>
  <sheetData>
    <row r="1">
      <c r="A1" s="269" t="inlineStr">
        <is>
          <t>科目</t>
        </is>
      </c>
      <c r="B1" s="269" t="inlineStr">
        <is>
          <t>日付</t>
        </is>
      </c>
      <c r="C1" s="269" t="inlineStr">
        <is>
          <t>摘要</t>
        </is>
      </c>
      <c r="D1" s="269" t="inlineStr">
        <is>
          <t>相手科目</t>
        </is>
      </c>
      <c r="E1" s="269" t="inlineStr">
        <is>
          <t>借方</t>
        </is>
      </c>
      <c r="F1" s="269" t="inlineStr">
        <is>
          <t>貸方</t>
        </is>
      </c>
      <c r="G1" s="269" t="inlineStr">
        <is>
          <t>残高</t>
        </is>
      </c>
    </row>
    <row r="2">
      <c r="A2" t="inlineStr">
        <is>
          <t>101 現金</t>
        </is>
      </c>
      <c r="B2" t="inlineStr">
        <is>
          <t>1月1日</t>
        </is>
      </c>
      <c r="C2" t="inlineStr">
        <is>
          <t>前年繰越 現金</t>
        </is>
      </c>
      <c r="D2" t="inlineStr"/>
      <c r="E2" t="n">
        <v>1046520</v>
      </c>
      <c r="F2" t="n">
        <v/>
      </c>
      <c r="G2" t="n">
        <v>1046520</v>
      </c>
    </row>
    <row r="3">
      <c r="A3" t="inlineStr">
        <is>
          <t>101 現金</t>
        </is>
      </c>
      <c r="B3" t="inlineStr">
        <is>
          <t>1月1日</t>
        </is>
      </c>
      <c r="C3" t="inlineStr">
        <is>
          <t>現金を事業主へ戻し</t>
        </is>
      </c>
      <c r="D3" t="inlineStr"/>
      <c r="E3" t="n">
        <v/>
      </c>
      <c r="F3" t="n">
        <v>1046520</v>
      </c>
      <c r="G3" t="n">
        <v>0</v>
      </c>
    </row>
    <row r="4">
      <c r="A4" t="inlineStr">
        <is>
          <t>103 普通預金</t>
        </is>
      </c>
      <c r="B4" t="inlineStr">
        <is>
          <t>1月1日</t>
        </is>
      </c>
      <c r="C4" t="inlineStr">
        <is>
          <t>前年繰越 普通預金</t>
        </is>
      </c>
      <c r="D4" t="inlineStr"/>
      <c r="E4" t="n">
        <v>10475394</v>
      </c>
      <c r="F4" t="n">
        <v/>
      </c>
      <c r="G4" t="n">
        <v>10475394</v>
      </c>
    </row>
    <row r="5">
      <c r="A5" t="inlineStr">
        <is>
          <t>103 普通預金</t>
        </is>
      </c>
      <c r="B5" t="inlineStr">
        <is>
          <t>1月1日</t>
        </is>
      </c>
      <c r="C5" t="inlineStr">
        <is>
          <t>普通預金を事業主へ戻し</t>
        </is>
      </c>
      <c r="D5" t="inlineStr"/>
      <c r="E5" t="n">
        <v/>
      </c>
      <c r="F5" t="n">
        <v>10475394</v>
      </c>
      <c r="G5" t="n">
        <v>0</v>
      </c>
    </row>
    <row r="6">
      <c r="A6" t="inlineStr">
        <is>
          <t>107 売掛金</t>
        </is>
      </c>
      <c r="B6" t="inlineStr">
        <is>
          <t>1月1日</t>
        </is>
      </c>
      <c r="C6" t="inlineStr">
        <is>
          <t>前年繰越 売掛金</t>
        </is>
      </c>
      <c r="D6" t="inlineStr"/>
      <c r="E6" t="n">
        <v>1370500</v>
      </c>
      <c r="F6" t="n">
        <v/>
      </c>
      <c r="G6" t="n">
        <v>1370500</v>
      </c>
    </row>
    <row r="7">
      <c r="A7" t="inlineStr">
        <is>
          <t>107 売掛金</t>
        </is>
      </c>
      <c r="B7" t="inlineStr">
        <is>
          <t>1月15日</t>
        </is>
      </c>
      <c r="C7" t="inlineStr">
        <is>
          <t>セレサ川崎 ユーユー入金</t>
        </is>
      </c>
      <c r="D7" t="inlineStr"/>
      <c r="E7" t="n">
        <v/>
      </c>
      <c r="F7" t="n">
        <v>100000</v>
      </c>
      <c r="G7" t="n">
        <v>1270500</v>
      </c>
    </row>
    <row r="8">
      <c r="A8" t="inlineStr">
        <is>
          <t>107 売掛金</t>
        </is>
      </c>
      <c r="B8" t="inlineStr">
        <is>
          <t>1月30日</t>
        </is>
      </c>
      <c r="C8" t="inlineStr">
        <is>
          <t>セレサ川崎 BASIS入金</t>
        </is>
      </c>
      <c r="D8" t="inlineStr"/>
      <c r="E8" t="n">
        <v/>
      </c>
      <c r="F8" t="n">
        <v>1237500</v>
      </c>
      <c r="G8" t="n">
        <v>33000</v>
      </c>
    </row>
    <row r="9">
      <c r="A9" t="inlineStr">
        <is>
          <t>107 売掛金</t>
        </is>
      </c>
      <c r="B9" t="inlineStr">
        <is>
          <t>1月31日</t>
        </is>
      </c>
      <c r="C9" t="inlineStr">
        <is>
          <t>売上 小樽商科大学後援会</t>
        </is>
      </c>
      <c r="D9" t="inlineStr">
        <is>
          <t>売上(報酬）</t>
        </is>
      </c>
      <c r="E9" t="n">
        <v>11000</v>
      </c>
      <c r="F9" t="n">
        <v/>
      </c>
      <c r="G9" t="n">
        <v>44000</v>
      </c>
    </row>
    <row r="10">
      <c r="A10" t="inlineStr">
        <is>
          <t>107 売掛金</t>
        </is>
      </c>
      <c r="B10" t="inlineStr">
        <is>
          <t>1月31日</t>
        </is>
      </c>
      <c r="C10" t="inlineStr">
        <is>
          <t>売上 ユーユー</t>
        </is>
      </c>
      <c r="D10" t="inlineStr">
        <is>
          <t>売上(報酬）</t>
        </is>
      </c>
      <c r="E10" t="n">
        <v>100000</v>
      </c>
      <c r="F10" t="n">
        <v/>
      </c>
      <c r="G10" t="n">
        <v>144000</v>
      </c>
    </row>
    <row r="11">
      <c r="A11" t="inlineStr">
        <is>
          <t>107 売掛金</t>
        </is>
      </c>
      <c r="B11" t="inlineStr">
        <is>
          <t>2月13日</t>
        </is>
      </c>
      <c r="C11" t="inlineStr">
        <is>
          <t>セレサ川崎 ユーユー入金</t>
        </is>
      </c>
      <c r="D11" t="inlineStr"/>
      <c r="E11" t="n">
        <v/>
      </c>
      <c r="F11" t="n">
        <v>100000</v>
      </c>
      <c r="G11" t="n">
        <v>44000</v>
      </c>
    </row>
    <row r="12">
      <c r="A12" t="inlineStr">
        <is>
          <t>107 売掛金</t>
        </is>
      </c>
      <c r="B12" t="inlineStr">
        <is>
          <t>2月28日</t>
        </is>
      </c>
      <c r="C12" t="inlineStr">
        <is>
          <t>売上 小樽商科大学後援会</t>
        </is>
      </c>
      <c r="D12" t="inlineStr">
        <is>
          <t>売上(報酬）</t>
        </is>
      </c>
      <c r="E12" t="n">
        <v>11000</v>
      </c>
      <c r="F12" t="n">
        <v/>
      </c>
      <c r="G12" t="n">
        <v>55000</v>
      </c>
    </row>
    <row r="13">
      <c r="A13" t="inlineStr">
        <is>
          <t>107 売掛金</t>
        </is>
      </c>
      <c r="B13" t="inlineStr">
        <is>
          <t>2月28日</t>
        </is>
      </c>
      <c r="C13" t="inlineStr">
        <is>
          <t>売上 ユーユー</t>
        </is>
      </c>
      <c r="D13" t="inlineStr">
        <is>
          <t>売上(報酬）</t>
        </is>
      </c>
      <c r="E13" t="n">
        <v>100000</v>
      </c>
      <c r="F13" t="n">
        <v/>
      </c>
      <c r="G13" t="n">
        <v>155000</v>
      </c>
    </row>
    <row r="14">
      <c r="A14" t="inlineStr">
        <is>
          <t>107 売掛金</t>
        </is>
      </c>
      <c r="B14" t="inlineStr">
        <is>
          <t>2月28日</t>
        </is>
      </c>
      <c r="C14" t="inlineStr">
        <is>
          <t>売上BASIS</t>
        </is>
      </c>
      <c r="D14" t="inlineStr">
        <is>
          <t>売上(報酬）</t>
        </is>
      </c>
      <c r="E14" t="n">
        <v>770000</v>
      </c>
      <c r="F14" t="n">
        <v/>
      </c>
      <c r="G14" t="n">
        <v>925000</v>
      </c>
    </row>
    <row r="15">
      <c r="A15" t="inlineStr">
        <is>
          <t>114 リサイクル預託金</t>
        </is>
      </c>
      <c r="B15" t="inlineStr">
        <is>
          <t>1月1日</t>
        </is>
      </c>
      <c r="C15" t="inlineStr">
        <is>
          <t>前年繰越 リサイクル預託金</t>
        </is>
      </c>
      <c r="D15" t="inlineStr"/>
      <c r="E15" t="n">
        <v>9130</v>
      </c>
      <c r="F15" t="n">
        <v/>
      </c>
      <c r="G15" t="n">
        <v>9130</v>
      </c>
    </row>
    <row r="16">
      <c r="A16" t="inlineStr">
        <is>
          <t>114 リサイクル預託金</t>
        </is>
      </c>
      <c r="B16" t="inlineStr">
        <is>
          <t>1月17日</t>
        </is>
      </c>
      <c r="C16" t="inlineStr">
        <is>
          <t>リサイクル預託金</t>
        </is>
      </c>
      <c r="D16" t="inlineStr"/>
      <c r="E16" t="n">
        <v/>
      </c>
      <c r="F16" t="n">
        <v>9130</v>
      </c>
      <c r="G16" t="n">
        <v>0</v>
      </c>
    </row>
    <row r="17">
      <c r="A17" t="inlineStr">
        <is>
          <t>114 リサイクル預託金</t>
        </is>
      </c>
      <c r="B17" t="inlineStr">
        <is>
          <t>1月17日</t>
        </is>
      </c>
      <c r="C17" t="inlineStr">
        <is>
          <t>シエンタのリサイクル預託金</t>
        </is>
      </c>
      <c r="D17" t="inlineStr"/>
      <c r="E17" t="n">
        <v>11650</v>
      </c>
      <c r="F17" t="n">
        <v/>
      </c>
      <c r="G17" t="n">
        <v>11650</v>
      </c>
    </row>
    <row r="18">
      <c r="A18" t="inlineStr">
        <is>
          <t>121 建物</t>
        </is>
      </c>
      <c r="B18" t="inlineStr">
        <is>
          <t>1月1日</t>
        </is>
      </c>
      <c r="C18" t="inlineStr">
        <is>
          <t>前年繰越 建物</t>
        </is>
      </c>
      <c r="D18" t="inlineStr"/>
      <c r="E18" t="n">
        <v>14597430</v>
      </c>
      <c r="F18" t="n">
        <v/>
      </c>
      <c r="G18" t="n">
        <v>14597430</v>
      </c>
    </row>
    <row r="19">
      <c r="A19" t="inlineStr">
        <is>
          <t>124 車両運搬具</t>
        </is>
      </c>
      <c r="B19" t="inlineStr">
        <is>
          <t>1月1日</t>
        </is>
      </c>
      <c r="C19" t="inlineStr">
        <is>
          <t>前年繰越 車両運搬具</t>
        </is>
      </c>
      <c r="D19" t="inlineStr"/>
      <c r="E19" t="n">
        <v>1</v>
      </c>
      <c r="F19" t="n">
        <v/>
      </c>
      <c r="G19" t="n">
        <v>1</v>
      </c>
    </row>
    <row r="20">
      <c r="A20" t="inlineStr">
        <is>
          <t>124 車両運搬具</t>
        </is>
      </c>
      <c r="B20" t="inlineStr">
        <is>
          <t>1月17日</t>
        </is>
      </c>
      <c r="C20" t="inlineStr">
        <is>
          <t>デミオを売却</t>
        </is>
      </c>
      <c r="D20" t="inlineStr"/>
      <c r="E20" t="n">
        <v/>
      </c>
      <c r="F20" t="n">
        <v>1</v>
      </c>
      <c r="G20" t="n">
        <v>0</v>
      </c>
    </row>
    <row r="21">
      <c r="A21" t="inlineStr">
        <is>
          <t>124 車両運搬具</t>
        </is>
      </c>
      <c r="B21" t="inlineStr">
        <is>
          <t>1月17日</t>
        </is>
      </c>
      <c r="C21" t="inlineStr">
        <is>
          <t>シエンタ(車両)購入</t>
        </is>
      </c>
      <c r="D21" t="inlineStr"/>
      <c r="E21" t="n">
        <v>3057480</v>
      </c>
      <c r="F21" t="n">
        <v/>
      </c>
      <c r="G21" t="n">
        <v>3057480</v>
      </c>
    </row>
    <row r="22">
      <c r="A22" t="inlineStr">
        <is>
          <t>127 構築物</t>
        </is>
      </c>
      <c r="B22" t="inlineStr">
        <is>
          <t>1月1日</t>
        </is>
      </c>
      <c r="C22" t="inlineStr">
        <is>
          <t>前年繰越 構築物</t>
        </is>
      </c>
      <c r="D22" t="inlineStr"/>
      <c r="E22" t="n">
        <v>1303020</v>
      </c>
      <c r="F22" t="n">
        <v/>
      </c>
      <c r="G22" t="n">
        <v>1303020</v>
      </c>
    </row>
    <row r="23">
      <c r="A23" t="inlineStr">
        <is>
          <t>204 未払金</t>
        </is>
      </c>
      <c r="B23" t="inlineStr">
        <is>
          <t>1月1日</t>
        </is>
      </c>
      <c r="C23" t="inlineStr">
        <is>
          <t>前年繰越 未払金</t>
        </is>
      </c>
      <c r="D23" t="inlineStr"/>
      <c r="E23" t="n">
        <v/>
      </c>
      <c r="F23" t="n">
        <v>61327</v>
      </c>
      <c r="G23" t="n">
        <v>-61327</v>
      </c>
    </row>
    <row r="24">
      <c r="A24" t="inlineStr">
        <is>
          <t>204 未払金</t>
        </is>
      </c>
      <c r="B24" t="inlineStr">
        <is>
          <t>1月1日</t>
        </is>
      </c>
      <c r="C24" t="inlineStr">
        <is>
          <t>振り戻し 未払金</t>
        </is>
      </c>
      <c r="D24" t="inlineStr"/>
      <c r="E24" t="n">
        <v>61327</v>
      </c>
      <c r="F24" t="n">
        <v/>
      </c>
      <c r="G24" t="n">
        <v>0</v>
      </c>
    </row>
    <row r="25">
      <c r="A25" t="inlineStr">
        <is>
          <t>302 元入金</t>
        </is>
      </c>
      <c r="B25" t="inlineStr">
        <is>
          <t>1月1日</t>
        </is>
      </c>
      <c r="C25" t="inlineStr">
        <is>
          <t>前年繰越 元入金</t>
        </is>
      </c>
      <c r="D25" t="inlineStr"/>
      <c r="E25" t="n">
        <v/>
      </c>
      <c r="F25" t="n">
        <v>25846530</v>
      </c>
      <c r="G25" t="n">
        <v>-25846530</v>
      </c>
    </row>
    <row r="26">
      <c r="A26" t="inlineStr">
        <is>
          <t>302 元入金</t>
        </is>
      </c>
      <c r="B26" t="inlineStr">
        <is>
          <t>1月1日</t>
        </is>
      </c>
      <c r="C26" t="inlineStr">
        <is>
          <t>前年繰越 控除前利益</t>
        </is>
      </c>
      <c r="D26" t="inlineStr"/>
      <c r="E26" t="n">
        <v/>
      </c>
      <c r="F26" t="n">
        <v>2894138</v>
      </c>
      <c r="G26" t="n">
        <v>-28740668</v>
      </c>
    </row>
    <row r="27">
      <c r="A27" t="inlineStr">
        <is>
          <t>401 売上(報酬）</t>
        </is>
      </c>
      <c r="B27" t="inlineStr">
        <is>
          <t>1月31日</t>
        </is>
      </c>
      <c r="C27" t="inlineStr">
        <is>
          <t>売上 小樽商科大学後援会</t>
        </is>
      </c>
      <c r="D27" t="inlineStr">
        <is>
          <t>売掛金</t>
        </is>
      </c>
      <c r="E27" t="n">
        <v/>
      </c>
      <c r="F27" t="n">
        <v>11000</v>
      </c>
      <c r="G27" t="n">
        <v>-11000</v>
      </c>
    </row>
    <row r="28">
      <c r="A28" t="inlineStr">
        <is>
          <t>401 売上(報酬）</t>
        </is>
      </c>
      <c r="B28" t="inlineStr">
        <is>
          <t>1月31日</t>
        </is>
      </c>
      <c r="C28" t="inlineStr">
        <is>
          <t>売上 ユーユー</t>
        </is>
      </c>
      <c r="D28" t="inlineStr">
        <is>
          <t>売掛金</t>
        </is>
      </c>
      <c r="E28" t="n">
        <v/>
      </c>
      <c r="F28" t="n">
        <v>100000</v>
      </c>
      <c r="G28" t="n">
        <v>-111000</v>
      </c>
    </row>
    <row r="29">
      <c r="A29" t="inlineStr">
        <is>
          <t>401 売上(報酬）</t>
        </is>
      </c>
      <c r="B29" t="inlineStr">
        <is>
          <t>2月28日</t>
        </is>
      </c>
      <c r="C29" t="inlineStr">
        <is>
          <t>売上 小樽商科大学後援会</t>
        </is>
      </c>
      <c r="D29" t="inlineStr">
        <is>
          <t>売掛金</t>
        </is>
      </c>
      <c r="E29" t="n">
        <v/>
      </c>
      <c r="F29" t="n">
        <v>11000</v>
      </c>
      <c r="G29" t="n">
        <v>-122000</v>
      </c>
    </row>
    <row r="30">
      <c r="A30" t="inlineStr">
        <is>
          <t>401 売上(報酬）</t>
        </is>
      </c>
      <c r="B30" t="inlineStr">
        <is>
          <t>2月28日</t>
        </is>
      </c>
      <c r="C30" t="inlineStr">
        <is>
          <t>売上 ユーユー</t>
        </is>
      </c>
      <c r="D30" t="inlineStr">
        <is>
          <t>売掛金</t>
        </is>
      </c>
      <c r="E30" t="n">
        <v/>
      </c>
      <c r="F30" t="n">
        <v>100000</v>
      </c>
      <c r="G30" t="n">
        <v>-222000</v>
      </c>
    </row>
    <row r="31">
      <c r="A31" t="inlineStr">
        <is>
          <t>401 売上(報酬）</t>
        </is>
      </c>
      <c r="B31" t="inlineStr">
        <is>
          <t>2月28日</t>
        </is>
      </c>
      <c r="C31" t="inlineStr">
        <is>
          <t>売上BASIS</t>
        </is>
      </c>
      <c r="D31" t="inlineStr">
        <is>
          <t>売掛金</t>
        </is>
      </c>
      <c r="E31" t="n">
        <v/>
      </c>
      <c r="F31" t="n">
        <v>770000</v>
      </c>
      <c r="G31" t="n">
        <v>-992000</v>
      </c>
    </row>
    <row r="32">
      <c r="A32" t="inlineStr">
        <is>
          <t>403 雑収入(車両売却)</t>
        </is>
      </c>
      <c r="B32" t="inlineStr">
        <is>
          <t>1月17日</t>
        </is>
      </c>
      <c r="C32" t="inlineStr">
        <is>
          <t>固定資産売却益</t>
        </is>
      </c>
      <c r="D32" t="inlineStr"/>
      <c r="E32" t="n">
        <v/>
      </c>
      <c r="F32" t="n">
        <v>329999</v>
      </c>
      <c r="G32" t="n">
        <v>-329999</v>
      </c>
    </row>
    <row r="33">
      <c r="A33" t="inlineStr">
        <is>
          <t>507 水道光熱費</t>
        </is>
      </c>
      <c r="B33" t="inlineStr">
        <is>
          <t>1月28日</t>
        </is>
      </c>
      <c r="C33" t="inlineStr">
        <is>
          <t>エポス 東京ガス</t>
        </is>
      </c>
      <c r="D33" t="inlineStr"/>
      <c r="E33" t="n">
        <v>10715</v>
      </c>
      <c r="F33" t="n">
        <v/>
      </c>
      <c r="G33" t="n">
        <v>10715</v>
      </c>
    </row>
    <row r="34">
      <c r="A34" t="inlineStr">
        <is>
          <t>507 水道光熱費</t>
        </is>
      </c>
      <c r="B34" t="inlineStr">
        <is>
          <t>2月3日</t>
        </is>
      </c>
      <c r="C34" t="inlineStr">
        <is>
          <t>エポス 水道料金</t>
        </is>
      </c>
      <c r="D34" t="inlineStr"/>
      <c r="E34" t="n">
        <v>2618</v>
      </c>
      <c r="F34" t="n">
        <v/>
      </c>
      <c r="G34" t="n">
        <v>13333</v>
      </c>
    </row>
    <row r="35">
      <c r="A35" t="inlineStr">
        <is>
          <t>507 水道光熱費</t>
        </is>
      </c>
      <c r="B35" t="inlineStr">
        <is>
          <t>3月5日</t>
        </is>
      </c>
      <c r="C35" t="inlineStr">
        <is>
          <t>2月分 電気料金</t>
        </is>
      </c>
      <c r="D35" t="inlineStr"/>
      <c r="E35" t="n">
        <v>10343</v>
      </c>
      <c r="F35" t="n">
        <v/>
      </c>
      <c r="G35" t="n">
        <v>23676</v>
      </c>
    </row>
    <row r="36">
      <c r="A36" t="inlineStr">
        <is>
          <t>511 接待交際費</t>
        </is>
      </c>
      <c r="B36" t="inlineStr">
        <is>
          <t>2月14日</t>
        </is>
      </c>
      <c r="C36" t="inlineStr">
        <is>
          <t>ニャーベトナム交際費</t>
        </is>
      </c>
      <c r="D36" t="inlineStr"/>
      <c r="E36" t="n">
        <v>8500</v>
      </c>
      <c r="F36" t="n">
        <v/>
      </c>
      <c r="G36" t="n">
        <v>8500</v>
      </c>
    </row>
    <row r="37">
      <c r="A37" t="inlineStr">
        <is>
          <t>511 接待交際費</t>
        </is>
      </c>
      <c r="B37" t="inlineStr">
        <is>
          <t>2月22日</t>
        </is>
      </c>
      <c r="C37" t="inlineStr">
        <is>
          <t>BigBoy交際費</t>
        </is>
      </c>
      <c r="D37" t="inlineStr"/>
      <c r="E37" t="n">
        <v>7854</v>
      </c>
      <c r="F37" t="n">
        <v/>
      </c>
      <c r="G37" t="n">
        <v>16354</v>
      </c>
    </row>
    <row r="38">
      <c r="A38" t="inlineStr">
        <is>
          <t>514 消耗品費</t>
        </is>
      </c>
      <c r="B38" t="inlineStr">
        <is>
          <t>1月21日</t>
        </is>
      </c>
      <c r="C38" t="inlineStr">
        <is>
          <t>Bluetooth 5.4 対応 USB</t>
        </is>
      </c>
      <c r="D38" t="inlineStr"/>
      <c r="E38" t="n">
        <v>1190</v>
      </c>
      <c r="F38" t="n">
        <v/>
      </c>
      <c r="G38" t="n">
        <v>1190</v>
      </c>
    </row>
    <row r="39">
      <c r="A39" t="inlineStr">
        <is>
          <t>514 消耗品費</t>
        </is>
      </c>
      <c r="B39" t="inlineStr">
        <is>
          <t>2月18日</t>
        </is>
      </c>
      <c r="C39" t="inlineStr">
        <is>
          <t>M.2 NVMe SSD 外付けケース</t>
        </is>
      </c>
      <c r="D39" t="inlineStr"/>
      <c r="E39" t="n">
        <v>1602</v>
      </c>
      <c r="F39" t="n">
        <v/>
      </c>
      <c r="G39" t="n">
        <v>2792</v>
      </c>
    </row>
    <row r="40">
      <c r="A40" t="inlineStr">
        <is>
          <t>514 消耗品費</t>
        </is>
      </c>
      <c r="B40" t="inlineStr">
        <is>
          <t>2月24日</t>
        </is>
      </c>
      <c r="C40" t="inlineStr">
        <is>
          <t>ScanSnap購入</t>
        </is>
      </c>
      <c r="D40" t="inlineStr"/>
      <c r="E40" t="n">
        <v>31800</v>
      </c>
      <c r="F40" t="n">
        <v/>
      </c>
      <c r="G40" t="n">
        <v>34592</v>
      </c>
    </row>
    <row r="41">
      <c r="A41" t="inlineStr">
        <is>
          <t>514 消耗品費</t>
        </is>
      </c>
      <c r="B41" t="inlineStr">
        <is>
          <t>3月2日</t>
        </is>
      </c>
      <c r="C41" t="inlineStr">
        <is>
          <t>トラスコ中山(TRUSCO) オリコン 薄型軽量折りたたみコンテナ 透明 50L 超軽量</t>
        </is>
      </c>
      <c r="D41" t="inlineStr"/>
      <c r="E41" t="n">
        <v>960</v>
      </c>
      <c r="F41" t="n">
        <v/>
      </c>
      <c r="G41" t="n">
        <v>35552</v>
      </c>
    </row>
    <row r="42">
      <c r="A42" t="inlineStr">
        <is>
          <t>514 消耗品費</t>
        </is>
      </c>
      <c r="B42" t="inlineStr">
        <is>
          <t>3月6日</t>
        </is>
      </c>
      <c r="C42" t="inlineStr">
        <is>
          <t>やよいの青色申告 26 通常版＜令和7年分確定申告対応＞</t>
        </is>
      </c>
      <c r="D42" t="inlineStr"/>
      <c r="E42" t="n">
        <v>13409</v>
      </c>
      <c r="F42" t="n">
        <v/>
      </c>
      <c r="G42" t="n">
        <v>48961</v>
      </c>
    </row>
    <row r="43">
      <c r="A43" t="inlineStr">
        <is>
          <t>520 地代家賃</t>
        </is>
      </c>
      <c r="B43" t="inlineStr">
        <is>
          <t>1月5日</t>
        </is>
      </c>
      <c r="C43" t="inlineStr">
        <is>
          <t>中尾洋一へ地代振込</t>
        </is>
      </c>
      <c r="D43" t="inlineStr"/>
      <c r="E43" t="n">
        <v>20000</v>
      </c>
      <c r="F43" t="n">
        <v/>
      </c>
      <c r="G43" t="n">
        <v>20000</v>
      </c>
    </row>
    <row r="44">
      <c r="A44" t="inlineStr">
        <is>
          <t>520 地代家賃</t>
        </is>
      </c>
      <c r="B44" t="inlineStr">
        <is>
          <t>2月2日</t>
        </is>
      </c>
      <c r="C44" t="inlineStr">
        <is>
          <t>中尾洋一へ地代振込</t>
        </is>
      </c>
      <c r="D44" t="inlineStr"/>
      <c r="E44" t="n">
        <v>20000</v>
      </c>
      <c r="F44" t="n">
        <v/>
      </c>
      <c r="G44" t="n">
        <v>40000</v>
      </c>
    </row>
    <row r="45">
      <c r="A45" t="inlineStr">
        <is>
          <t>520 地代家賃</t>
        </is>
      </c>
      <c r="B45" t="inlineStr">
        <is>
          <t>3月2日</t>
        </is>
      </c>
      <c r="C45" t="inlineStr">
        <is>
          <t>中尾洋一へ地代振込</t>
        </is>
      </c>
      <c r="D45" t="inlineStr"/>
      <c r="E45" t="n">
        <v>20000</v>
      </c>
      <c r="F45" t="n">
        <v/>
      </c>
      <c r="G45" t="n">
        <v>60000</v>
      </c>
    </row>
    <row r="46">
      <c r="A46" t="inlineStr">
        <is>
          <t>523 車両費</t>
        </is>
      </c>
      <c r="B46" t="inlineStr">
        <is>
          <t>1月4日</t>
        </is>
      </c>
      <c r="C46" t="inlineStr">
        <is>
          <t>ドア保護フィルム</t>
        </is>
      </c>
      <c r="D46" t="inlineStr"/>
      <c r="E46" t="n">
        <v>1905</v>
      </c>
      <c r="F46" t="n">
        <v/>
      </c>
      <c r="G46" t="n">
        <v>1905</v>
      </c>
    </row>
    <row r="47">
      <c r="A47" t="inlineStr">
        <is>
          <t>523 車両費</t>
        </is>
      </c>
      <c r="B47" t="inlineStr">
        <is>
          <t>1月4日</t>
        </is>
      </c>
      <c r="C47" t="inlineStr">
        <is>
          <t>ナビ保護フィルム</t>
        </is>
      </c>
      <c r="D47" t="inlineStr"/>
      <c r="E47" t="n">
        <v>3196</v>
      </c>
      <c r="F47" t="n">
        <v/>
      </c>
      <c r="G47" t="n">
        <v>5101</v>
      </c>
    </row>
    <row r="48">
      <c r="A48" t="inlineStr">
        <is>
          <t>523 車両費</t>
        </is>
      </c>
      <c r="B48" t="inlineStr">
        <is>
          <t>1月4日</t>
        </is>
      </c>
      <c r="C48" t="inlineStr">
        <is>
          <t>ラゲッジマット</t>
        </is>
      </c>
      <c r="D48" t="inlineStr"/>
      <c r="E48" t="n">
        <v>4122</v>
      </c>
      <c r="F48" t="n">
        <v/>
      </c>
      <c r="G48" t="n">
        <v>9223</v>
      </c>
    </row>
    <row r="49">
      <c r="A49" t="inlineStr">
        <is>
          <t>523 車両費</t>
        </is>
      </c>
      <c r="B49" t="inlineStr">
        <is>
          <t>1月19日</t>
        </is>
      </c>
      <c r="C49" t="inlineStr">
        <is>
          <t>エポス ガソリン代</t>
        </is>
      </c>
      <c r="D49" t="inlineStr"/>
      <c r="E49" t="n">
        <v>3097</v>
      </c>
      <c r="F49" t="n">
        <v/>
      </c>
      <c r="G49" t="n">
        <v>12320</v>
      </c>
    </row>
    <row r="50">
      <c r="A50" t="inlineStr">
        <is>
          <t>523 車両費</t>
        </is>
      </c>
      <c r="B50" t="inlineStr">
        <is>
          <t>1月21日</t>
        </is>
      </c>
      <c r="C50" t="inlineStr">
        <is>
          <t>ドアプロテクター</t>
        </is>
      </c>
      <c r="D50" t="inlineStr"/>
      <c r="E50" t="n">
        <v>859</v>
      </c>
      <c r="F50" t="n">
        <v/>
      </c>
      <c r="G50" t="n">
        <v>13179</v>
      </c>
    </row>
    <row r="51">
      <c r="A51" t="inlineStr">
        <is>
          <t>523 車両費</t>
        </is>
      </c>
      <c r="B51" t="inlineStr">
        <is>
          <t>1月22日</t>
        </is>
      </c>
      <c r="C51" t="inlineStr">
        <is>
          <t>トランクネット</t>
        </is>
      </c>
      <c r="D51" t="inlineStr"/>
      <c r="E51" t="n">
        <v>999</v>
      </c>
      <c r="F51" t="n">
        <v/>
      </c>
      <c r="G51" t="n">
        <v>14178</v>
      </c>
    </row>
    <row r="52">
      <c r="A52" t="inlineStr">
        <is>
          <t>523 車両費</t>
        </is>
      </c>
      <c r="B52" t="inlineStr">
        <is>
          <t>1月22日</t>
        </is>
      </c>
      <c r="C52" t="inlineStr">
        <is>
          <t>荷掛けフック</t>
        </is>
      </c>
      <c r="D52" t="inlineStr"/>
      <c r="E52" t="n">
        <v>849</v>
      </c>
      <c r="F52" t="n">
        <v/>
      </c>
      <c r="G52" t="n">
        <v>15027</v>
      </c>
    </row>
    <row r="53">
      <c r="A53" t="inlineStr">
        <is>
          <t>523 車両費</t>
        </is>
      </c>
      <c r="B53" t="inlineStr">
        <is>
          <t>1月24日</t>
        </is>
      </c>
      <c r="C53" t="inlineStr">
        <is>
          <t>クランプノブ M4</t>
        </is>
      </c>
      <c r="D53" t="inlineStr"/>
      <c r="E53" t="n">
        <v>999</v>
      </c>
      <c r="F53" t="n">
        <v/>
      </c>
      <c r="G53" t="n">
        <v>16026</v>
      </c>
    </row>
    <row r="54">
      <c r="A54" t="inlineStr">
        <is>
          <t>523 車両費</t>
        </is>
      </c>
      <c r="B54" t="inlineStr">
        <is>
          <t>1月24日</t>
        </is>
      </c>
      <c r="C54" t="inlineStr">
        <is>
          <t>楽天 ナビ保護フィルム</t>
        </is>
      </c>
      <c r="D54" t="inlineStr"/>
      <c r="E54" t="n">
        <v>1280</v>
      </c>
      <c r="F54" t="n">
        <v/>
      </c>
      <c r="G54" t="n">
        <v>17306</v>
      </c>
    </row>
    <row r="55">
      <c r="A55" t="inlineStr">
        <is>
          <t>523 車両費</t>
        </is>
      </c>
      <c r="B55" t="inlineStr">
        <is>
          <t>1月25日</t>
        </is>
      </c>
      <c r="C55" t="inlineStr">
        <is>
          <t>スマホスタンド ホルダー</t>
        </is>
      </c>
      <c r="D55" t="inlineStr"/>
      <c r="E55" t="n">
        <v>899</v>
      </c>
      <c r="F55" t="n">
        <v/>
      </c>
      <c r="G55" t="n">
        <v>18205</v>
      </c>
    </row>
    <row r="56">
      <c r="A56" t="inlineStr">
        <is>
          <t>523 車両費</t>
        </is>
      </c>
      <c r="B56" t="inlineStr">
        <is>
          <t>1月25日</t>
        </is>
      </c>
      <c r="C56" t="inlineStr">
        <is>
          <t>キーケース 電波遮断</t>
        </is>
      </c>
      <c r="D56" t="inlineStr"/>
      <c r="E56" t="n">
        <v>747</v>
      </c>
      <c r="F56" t="n">
        <v/>
      </c>
      <c r="G56" t="n">
        <v>18952</v>
      </c>
    </row>
    <row r="57">
      <c r="A57" t="inlineStr">
        <is>
          <t>523 車両費</t>
        </is>
      </c>
      <c r="B57" t="inlineStr">
        <is>
          <t>1月29日</t>
        </is>
      </c>
      <c r="C57" t="inlineStr">
        <is>
          <t>ロング水切りワイパー</t>
        </is>
      </c>
      <c r="D57" t="inlineStr"/>
      <c r="E57" t="n">
        <v>1800</v>
      </c>
      <c r="F57" t="n">
        <v/>
      </c>
      <c r="G57" t="n">
        <v>20752</v>
      </c>
    </row>
    <row r="58">
      <c r="A58" t="inlineStr">
        <is>
          <t>523 車両費</t>
        </is>
      </c>
      <c r="B58" t="inlineStr">
        <is>
          <t>2月10日</t>
        </is>
      </c>
      <c r="C58" t="inlineStr">
        <is>
          <t xml:space="preserve"> 水切りワイパー</t>
        </is>
      </c>
      <c r="D58" t="inlineStr"/>
      <c r="E58" t="n">
        <v>729</v>
      </c>
      <c r="F58" t="n">
        <v/>
      </c>
      <c r="G58" t="n">
        <v>21481</v>
      </c>
    </row>
    <row r="59">
      <c r="A59" t="inlineStr">
        <is>
          <t>523 車両費</t>
        </is>
      </c>
      <c r="B59" t="inlineStr">
        <is>
          <t>2月16日</t>
        </is>
      </c>
      <c r="C59" t="inlineStr">
        <is>
          <t>駐車場代</t>
        </is>
      </c>
      <c r="D59" t="inlineStr"/>
      <c r="E59" t="n">
        <v>200</v>
      </c>
      <c r="F59" t="n">
        <v/>
      </c>
      <c r="G59" t="n">
        <v>21681</v>
      </c>
    </row>
    <row r="60">
      <c r="A60" t="inlineStr">
        <is>
          <t>523 車両費</t>
        </is>
      </c>
      <c r="B60" t="inlineStr">
        <is>
          <t>3月6日</t>
        </is>
      </c>
      <c r="C60" t="inlineStr">
        <is>
          <t>Cartist 新型シエンタ 10系 に適用 MXP フロアマット 5人乗り用 3Dフロアマット カーマット セカンドマット SIENTA MXPL10G/15G MXPC10G 2022年8月～現行 防水マット 滑り防止 耐汚れ TPE素材 立体カーマット 車種専用設計 取付簡単 カスタムパーツ アクセサリー カー用品 4PCSセット</t>
        </is>
      </c>
      <c r="D60" t="inlineStr"/>
      <c r="E60" t="n">
        <v>8060</v>
      </c>
      <c r="F60" t="n">
        <v/>
      </c>
      <c r="G60" t="n">
        <v>29741</v>
      </c>
    </row>
    <row r="61">
      <c r="A61" t="inlineStr">
        <is>
          <t>523 車両費</t>
        </is>
      </c>
      <c r="B61" t="inlineStr">
        <is>
          <t>3月8日</t>
        </is>
      </c>
      <c r="C61" t="inlineStr">
        <is>
          <t>ガソリン代</t>
        </is>
      </c>
      <c r="D61" t="inlineStr"/>
      <c r="E61" t="n">
        <v>2985</v>
      </c>
      <c r="F61" t="n">
        <v/>
      </c>
      <c r="G61" t="n">
        <v>32726</v>
      </c>
    </row>
    <row r="62">
      <c r="A62" t="inlineStr">
        <is>
          <t>523 車両費</t>
        </is>
      </c>
      <c r="B62" t="inlineStr">
        <is>
          <t>3月8日</t>
        </is>
      </c>
      <c r="C62" t="inlineStr">
        <is>
          <t>洗車</t>
        </is>
      </c>
      <c r="D62" t="inlineStr"/>
      <c r="E62" t="n">
        <v>600</v>
      </c>
      <c r="F62" t="n">
        <v/>
      </c>
      <c r="G62" t="n">
        <v>33326</v>
      </c>
    </row>
    <row r="63">
      <c r="A63" t="inlineStr">
        <is>
          <t>524 新聞図書費</t>
        </is>
      </c>
      <c r="B63" t="inlineStr">
        <is>
          <t>1月16日</t>
        </is>
      </c>
      <c r="C63" t="inlineStr">
        <is>
          <t>Kindle Unlimited会費</t>
        </is>
      </c>
      <c r="D63" t="inlineStr"/>
      <c r="E63" t="n">
        <v>980</v>
      </c>
      <c r="F63" t="n">
        <v/>
      </c>
      <c r="G63" t="n">
        <v>980</v>
      </c>
    </row>
    <row r="64">
      <c r="A64" t="inlineStr">
        <is>
          <t>524 新聞図書費</t>
        </is>
      </c>
      <c r="B64" t="inlineStr">
        <is>
          <t>2月6日</t>
        </is>
      </c>
      <c r="C64" t="inlineStr">
        <is>
          <t>年金生活者・定年退職者のための確定申告</t>
        </is>
      </c>
      <c r="D64" t="inlineStr"/>
      <c r="E64" t="n">
        <v>1650</v>
      </c>
      <c r="F64" t="n">
        <v/>
      </c>
      <c r="G64" t="n">
        <v>2630</v>
      </c>
    </row>
    <row r="65">
      <c r="A65" t="inlineStr">
        <is>
          <t>524 新聞図書費</t>
        </is>
      </c>
      <c r="B65" t="inlineStr">
        <is>
          <t>2月16日</t>
        </is>
      </c>
      <c r="C65" t="inlineStr">
        <is>
          <t>Kindle Unlimited会費</t>
        </is>
      </c>
      <c r="D65" t="inlineStr"/>
      <c r="E65" t="n">
        <v>980</v>
      </c>
      <c r="F65" t="n">
        <v/>
      </c>
      <c r="G65" t="n">
        <v>3610</v>
      </c>
    </row>
    <row r="66">
      <c r="A66" t="inlineStr">
        <is>
          <t>524 新聞図書費</t>
        </is>
      </c>
      <c r="B66" t="inlineStr">
        <is>
          <t>2月25日</t>
        </is>
      </c>
      <c r="C66" t="inlineStr">
        <is>
          <t>Power Automate for desktop業務自動化最強レシピ RPAツールによる自動化＆効率化ノウハウ</t>
        </is>
      </c>
      <c r="D66" t="inlineStr"/>
      <c r="E66" t="n">
        <v>3300</v>
      </c>
      <c r="F66" t="n">
        <v/>
      </c>
      <c r="G66" t="n">
        <v>6910</v>
      </c>
    </row>
    <row r="67">
      <c r="A67" t="inlineStr">
        <is>
          <t>524 新聞図書費</t>
        </is>
      </c>
      <c r="B67" t="inlineStr">
        <is>
          <t>2月27日</t>
        </is>
      </c>
      <c r="C67" t="inlineStr">
        <is>
          <t>杉村太蔵の推し株「骨太」投資術</t>
        </is>
      </c>
      <c r="D67" t="inlineStr"/>
      <c r="E67" t="n">
        <v>1800</v>
      </c>
      <c r="F67" t="n">
        <v/>
      </c>
      <c r="G67" t="n">
        <v>8710</v>
      </c>
    </row>
    <row r="68">
      <c r="A68" t="inlineStr">
        <is>
          <t>524 新聞図書費</t>
        </is>
      </c>
      <c r="B68" t="inlineStr">
        <is>
          <t>2月27日</t>
        </is>
      </c>
      <c r="C68" t="inlineStr">
        <is>
          <t>会社四季報プロ500 2026年春号</t>
        </is>
      </c>
      <c r="D68" t="inlineStr"/>
      <c r="E68" t="n">
        <v>1880</v>
      </c>
      <c r="F68" t="n">
        <v/>
      </c>
      <c r="G68" t="n">
        <v>10590</v>
      </c>
    </row>
    <row r="69">
      <c r="A69" t="inlineStr">
        <is>
          <t>524 新聞図書費</t>
        </is>
      </c>
      <c r="B69" t="inlineStr">
        <is>
          <t>2月27日</t>
        </is>
      </c>
      <c r="C69" t="inlineStr">
        <is>
          <t>エミン流「会社四季報」最強の読み方</t>
        </is>
      </c>
      <c r="D69" t="inlineStr"/>
      <c r="E69" t="n">
        <v>1683</v>
      </c>
      <c r="F69" t="n">
        <v/>
      </c>
      <c r="G69" t="n">
        <v>12273</v>
      </c>
    </row>
    <row r="70">
      <c r="A70" t="inlineStr">
        <is>
          <t>524 新聞図書費</t>
        </is>
      </c>
      <c r="B70" t="inlineStr">
        <is>
          <t>2月27日</t>
        </is>
      </c>
      <c r="C70" t="inlineStr">
        <is>
          <t>高速取引・AI・アルゴのやっかいな値動きに負けない　弱者でも勝ち続ける「株」投資術</t>
        </is>
      </c>
      <c r="D70" t="inlineStr"/>
      <c r="E70" t="n">
        <v>1725</v>
      </c>
      <c r="F70" t="n">
        <v/>
      </c>
      <c r="G70" t="n">
        <v>13998</v>
      </c>
    </row>
    <row r="71">
      <c r="A71" t="inlineStr">
        <is>
          <t>524 新聞図書費</t>
        </is>
      </c>
      <c r="B71" t="inlineStr">
        <is>
          <t>2月28日</t>
        </is>
      </c>
      <c r="C71" t="inlineStr">
        <is>
          <t>Interface(インターフェース) 2026年4月号</t>
        </is>
      </c>
      <c r="D71" t="inlineStr"/>
      <c r="E71" t="n">
        <v>1430</v>
      </c>
      <c r="F71" t="n">
        <v/>
      </c>
      <c r="G71" t="n">
        <v>15428</v>
      </c>
    </row>
    <row r="72">
      <c r="A72" t="inlineStr">
        <is>
          <t>524 新聞図書費</t>
        </is>
      </c>
      <c r="B72" t="inlineStr">
        <is>
          <t>2月28日</t>
        </is>
      </c>
      <c r="C72" t="inlineStr">
        <is>
          <t>Interface(インターフェース) 2026年3月号</t>
        </is>
      </c>
      <c r="D72" t="inlineStr"/>
      <c r="E72" t="n">
        <v>1430</v>
      </c>
      <c r="F72" t="n">
        <v/>
      </c>
      <c r="G72" t="n">
        <v>16858</v>
      </c>
    </row>
    <row r="73">
      <c r="A73" t="inlineStr">
        <is>
          <t>524 新聞図書費</t>
        </is>
      </c>
      <c r="B73" t="inlineStr">
        <is>
          <t>2月28日</t>
        </is>
      </c>
      <c r="C73" t="inlineStr">
        <is>
          <t>Interface(インターフェース) 2025年12号</t>
        </is>
      </c>
      <c r="D73" t="inlineStr"/>
      <c r="E73" t="n">
        <v>1430</v>
      </c>
      <c r="F73" t="n">
        <v/>
      </c>
      <c r="G73" t="n">
        <v>18288</v>
      </c>
    </row>
    <row r="74">
      <c r="A74" t="inlineStr">
        <is>
          <t>524 新聞図書費</t>
        </is>
      </c>
      <c r="B74" t="inlineStr">
        <is>
          <t>2月28日</t>
        </is>
      </c>
      <c r="C74" t="inlineStr">
        <is>
          <t>Interface(インターフェース) 2026年 1月号</t>
        </is>
      </c>
      <c r="D74" t="inlineStr"/>
      <c r="E74" t="n">
        <v>1430</v>
      </c>
      <c r="F74" t="n">
        <v/>
      </c>
      <c r="G74" t="n">
        <v>19718</v>
      </c>
    </row>
    <row r="75">
      <c r="A75" t="inlineStr">
        <is>
          <t>524 新聞図書費</t>
        </is>
      </c>
      <c r="B75" t="inlineStr">
        <is>
          <t>2月28日</t>
        </is>
      </c>
      <c r="C75" t="inlineStr">
        <is>
          <t>Interface(インターフェース) 2026年2月号</t>
        </is>
      </c>
      <c r="D75" t="inlineStr"/>
      <c r="E75" t="n">
        <v>1490</v>
      </c>
      <c r="F75" t="n">
        <v/>
      </c>
      <c r="G75" t="n">
        <v>21208</v>
      </c>
    </row>
    <row r="76">
      <c r="A76" t="inlineStr">
        <is>
          <t>524 新聞図書費</t>
        </is>
      </c>
      <c r="B76" t="inlineStr">
        <is>
          <t>3月9日</t>
        </is>
      </c>
      <c r="C76" t="inlineStr">
        <is>
          <t>書籍 超シンプルな青色申告、教えてもらいました!</t>
        </is>
      </c>
      <c r="D76" t="inlineStr"/>
      <c r="E76" t="n">
        <v>1870</v>
      </c>
      <c r="F76" t="n">
        <v/>
      </c>
      <c r="G76" t="n">
        <v>23078</v>
      </c>
    </row>
    <row r="77">
      <c r="A77" t="inlineStr">
        <is>
          <t>524 新聞図書費</t>
        </is>
      </c>
      <c r="B77" t="inlineStr">
        <is>
          <t>3月9日</t>
        </is>
      </c>
      <c r="C77" t="inlineStr">
        <is>
          <t>Kindle超シンプルな青色申告、教えてもらいました！</t>
        </is>
      </c>
      <c r="D77" t="inlineStr"/>
      <c r="E77" t="n">
        <v>1515</v>
      </c>
      <c r="F77" t="n">
        <v/>
      </c>
      <c r="G77" t="n">
        <v>24593</v>
      </c>
    </row>
    <row r="78">
      <c r="A78" t="inlineStr">
        <is>
          <t>524 新聞図書費</t>
        </is>
      </c>
      <c r="B78" t="inlineStr">
        <is>
          <t>3月10日</t>
        </is>
      </c>
      <c r="C78" t="inlineStr">
        <is>
          <t>ChatGPTで身につけるGoogle Apps Script</t>
        </is>
      </c>
      <c r="D78" t="inlineStr"/>
      <c r="E78" t="n">
        <v>2772</v>
      </c>
      <c r="F78" t="n">
        <v/>
      </c>
      <c r="G78" t="n">
        <v>27365</v>
      </c>
    </row>
    <row r="79">
      <c r="A79" t="inlineStr">
        <is>
          <t>524 新聞図書費</t>
        </is>
      </c>
      <c r="B79" t="inlineStr">
        <is>
          <t>3月10日</t>
        </is>
      </c>
      <c r="C79" t="inlineStr">
        <is>
          <t xml:space="preserve">できる 仕事がはかどるGoogle Apps Script自動処理 全部入り。 </t>
        </is>
      </c>
      <c r="D79" t="inlineStr"/>
      <c r="E79" t="n">
        <v>1105</v>
      </c>
      <c r="F79" t="n">
        <v/>
      </c>
      <c r="G79" t="n">
        <v>28470</v>
      </c>
    </row>
    <row r="80">
      <c r="A80" t="inlineStr">
        <is>
          <t>524 新聞図書費</t>
        </is>
      </c>
      <c r="B80" t="inlineStr">
        <is>
          <t>3月10日</t>
        </is>
      </c>
      <c r="C80" t="inlineStr">
        <is>
          <t>日経マネー 2026/4</t>
        </is>
      </c>
      <c r="D80" t="inlineStr"/>
      <c r="E80" t="n">
        <v>880</v>
      </c>
      <c r="F80" t="n">
        <v/>
      </c>
      <c r="G80" t="n">
        <v>29350</v>
      </c>
    </row>
    <row r="81">
      <c r="A81" t="inlineStr">
        <is>
          <t>524 新聞図書費</t>
        </is>
      </c>
      <c r="B81" t="inlineStr">
        <is>
          <t>3月10日</t>
        </is>
      </c>
      <c r="C81" t="inlineStr">
        <is>
          <t>５年で１億貯める株式投資</t>
        </is>
      </c>
      <c r="D81" t="inlineStr"/>
      <c r="E81" t="n">
        <v>1870</v>
      </c>
      <c r="F81" t="n">
        <v/>
      </c>
      <c r="G81" t="n">
        <v>31220</v>
      </c>
    </row>
    <row r="82">
      <c r="A82" t="inlineStr">
        <is>
          <t>525 リース・賃借料</t>
        </is>
      </c>
      <c r="B82" t="inlineStr">
        <is>
          <t>1月18日</t>
        </is>
      </c>
      <c r="C82" t="inlineStr">
        <is>
          <t>エポス Github</t>
        </is>
      </c>
      <c r="D82" t="inlineStr"/>
      <c r="E82" t="n">
        <v>1813</v>
      </c>
      <c r="F82" t="n">
        <v/>
      </c>
      <c r="G82" t="n">
        <v>1813</v>
      </c>
    </row>
    <row r="83">
      <c r="A83" t="inlineStr">
        <is>
          <t>525 リース・賃借料</t>
        </is>
      </c>
      <c r="B83" t="inlineStr">
        <is>
          <t>1月20日</t>
        </is>
      </c>
      <c r="C83" t="inlineStr">
        <is>
          <t>エポス Microsoft</t>
        </is>
      </c>
      <c r="D83" t="inlineStr"/>
      <c r="E83" t="n">
        <v>2856</v>
      </c>
      <c r="F83" t="n">
        <v/>
      </c>
      <c r="G83" t="n">
        <v>4669</v>
      </c>
    </row>
    <row r="84">
      <c r="A84" t="inlineStr">
        <is>
          <t>525 リース・賃借料</t>
        </is>
      </c>
      <c r="B84" t="inlineStr">
        <is>
          <t>1月29日</t>
        </is>
      </c>
      <c r="C84" t="inlineStr">
        <is>
          <t>エポス さくらインターネット</t>
        </is>
      </c>
      <c r="D84" t="inlineStr"/>
      <c r="E84" t="n">
        <v>7700</v>
      </c>
      <c r="F84" t="n">
        <v/>
      </c>
      <c r="G84" t="n">
        <v>12369</v>
      </c>
    </row>
    <row r="85">
      <c r="A85" t="inlineStr">
        <is>
          <t>525 リース・賃借料</t>
        </is>
      </c>
      <c r="B85" t="inlineStr">
        <is>
          <t>2月18日</t>
        </is>
      </c>
      <c r="C85" t="inlineStr">
        <is>
          <t>エポス Github</t>
        </is>
      </c>
      <c r="D85" t="inlineStr"/>
      <c r="E85" t="n">
        <v>1758</v>
      </c>
      <c r="F85" t="n">
        <v/>
      </c>
      <c r="G85" t="n">
        <v>14127</v>
      </c>
    </row>
    <row r="86">
      <c r="A86" t="inlineStr">
        <is>
          <t>525 リース・賃借料</t>
        </is>
      </c>
      <c r="B86" t="inlineStr">
        <is>
          <t>2月20日</t>
        </is>
      </c>
      <c r="C86" t="inlineStr">
        <is>
          <t>エポス Microsoft</t>
        </is>
      </c>
      <c r="D86" t="inlineStr"/>
      <c r="E86" t="n">
        <v>2856</v>
      </c>
      <c r="F86" t="n">
        <v/>
      </c>
      <c r="G86" t="n">
        <v>16983</v>
      </c>
    </row>
    <row r="87">
      <c r="A87" t="inlineStr">
        <is>
          <t>525 リース・賃借料</t>
        </is>
      </c>
      <c r="B87" t="inlineStr">
        <is>
          <t>2月29日</t>
        </is>
      </c>
      <c r="C87" t="inlineStr">
        <is>
          <t>エポス さくらインターネット</t>
        </is>
      </c>
      <c r="D87" t="inlineStr"/>
      <c r="E87" t="n">
        <v>3220</v>
      </c>
      <c r="F87" t="n">
        <v/>
      </c>
      <c r="G87" t="n">
        <v>20203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FJ-USER</dc:creator>
  <dcterms:created xsi:type="dcterms:W3CDTF">2003-03-09T10:45:08Z</dcterms:created>
  <dcterms:modified xsi:type="dcterms:W3CDTF">2026-03-11T07:25:23Z</dcterms:modified>
  <cp:lastModifiedBy>山下宣章</cp:lastModifiedBy>
  <cp:lastPrinted>2021-08-24T07:09:58Z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TC010593811041</vt:lpwstr>
  </property>
</Properties>
</file>